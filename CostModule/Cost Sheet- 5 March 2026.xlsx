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pana\Desktop\"/>
    </mc:Choice>
  </mc:AlternateContent>
  <xr:revisionPtr revIDLastSave="0" documentId="13_ncr:1_{D870F1B4-C634-46C7-B236-4F50328835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urope" sheetId="1" r:id="rId1"/>
  </sheets>
  <definedNames>
    <definedName name="_xlnm._FilterDatabase" localSheetId="0" hidden="1">Europe!$C$1:$K$261</definedName>
    <definedName name="_xlnm.Print_Area" localSheetId="0">Europe!$A$1:$H$261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2" i="1" l="1"/>
  <c r="E237" i="1"/>
  <c r="E236" i="1"/>
  <c r="E241" i="1"/>
  <c r="E240" i="1"/>
  <c r="E239" i="1"/>
  <c r="E238" i="1"/>
  <c r="E235" i="1"/>
  <c r="E232" i="1"/>
  <c r="E248" i="1"/>
  <c r="E247" i="1"/>
  <c r="E246" i="1"/>
  <c r="E251" i="1"/>
  <c r="E252" i="1"/>
  <c r="E250" i="1"/>
  <c r="E249" i="1"/>
  <c r="E245" i="1"/>
  <c r="E243" i="1"/>
  <c r="E242" i="1"/>
  <c r="E244" i="1"/>
  <c r="E225" i="1"/>
  <c r="E259" i="1"/>
  <c r="E14" i="1"/>
  <c r="E132" i="1" l="1"/>
  <c r="E88" i="1" l="1"/>
  <c r="E87" i="1"/>
  <c r="E86" i="1"/>
  <c r="E208" i="1" l="1"/>
  <c r="E159" i="1" l="1"/>
  <c r="E15" i="1" l="1"/>
  <c r="E81" i="1" l="1"/>
  <c r="E82" i="1"/>
  <c r="E83" i="1"/>
  <c r="E136" i="1" l="1"/>
  <c r="E137" i="1"/>
  <c r="E138" i="1"/>
  <c r="E203" i="1"/>
  <c r="E155" i="1" l="1"/>
  <c r="E160" i="1"/>
  <c r="K6" i="1"/>
  <c r="E215" i="1"/>
  <c r="E144" i="1"/>
  <c r="E214" i="1"/>
  <c r="E212" i="1"/>
  <c r="E211" i="1"/>
  <c r="E210" i="1"/>
  <c r="E209" i="1"/>
  <c r="E207" i="1"/>
  <c r="E206" i="1"/>
  <c r="E205" i="1"/>
  <c r="E202" i="1"/>
  <c r="E201" i="1"/>
  <c r="E200" i="1"/>
  <c r="E199" i="1"/>
  <c r="E198" i="1"/>
  <c r="E184" i="1"/>
  <c r="E197" i="1"/>
  <c r="E196" i="1"/>
  <c r="E146" i="1"/>
  <c r="E145" i="1"/>
  <c r="E195" i="1"/>
  <c r="E194" i="1"/>
  <c r="E193" i="1"/>
  <c r="E192" i="1"/>
  <c r="E191" i="1"/>
  <c r="E190" i="1"/>
  <c r="E189" i="1"/>
  <c r="E188" i="1"/>
  <c r="E187" i="1"/>
  <c r="E186" i="1"/>
  <c r="E124" i="1"/>
  <c r="E183" i="1"/>
  <c r="E213" i="1"/>
  <c r="E224" i="1"/>
  <c r="E130" i="1"/>
  <c r="E129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6" i="1"/>
  <c r="E165" i="1"/>
  <c r="E164" i="1"/>
  <c r="E163" i="1"/>
  <c r="E162" i="1"/>
  <c r="E204" i="1" l="1"/>
  <c r="D204" i="1" s="1"/>
  <c r="E260" i="1"/>
  <c r="E84" i="1" l="1"/>
  <c r="E6" i="1" l="1"/>
  <c r="E218" i="1" l="1"/>
  <c r="E97" i="1" l="1"/>
  <c r="E105" i="1" l="1"/>
  <c r="E167" i="1" l="1"/>
  <c r="E113" i="1" l="1"/>
  <c r="E125" i="1" l="1"/>
  <c r="E21" i="1"/>
  <c r="E22" i="1"/>
  <c r="E23" i="1"/>
  <c r="E24" i="1"/>
  <c r="E4" i="1" l="1"/>
  <c r="E5" i="1"/>
  <c r="E123" i="1" l="1"/>
  <c r="E122" i="1"/>
  <c r="E121" i="1"/>
  <c r="E3" i="1" l="1"/>
  <c r="E120" i="1" l="1"/>
  <c r="E104" i="1" l="1"/>
  <c r="E99" i="1" l="1"/>
  <c r="E100" i="1"/>
  <c r="E135" i="1" l="1"/>
  <c r="E98" i="1"/>
  <c r="E101" i="1"/>
  <c r="E103" i="1"/>
  <c r="E10" i="1"/>
  <c r="E11" i="1" l="1"/>
  <c r="E257" i="1" l="1"/>
  <c r="E254" i="1"/>
  <c r="E253" i="1"/>
  <c r="E258" i="1"/>
  <c r="D256" i="1" l="1"/>
  <c r="E13" i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0" i="1" l="1"/>
  <c r="E79" i="1"/>
  <c r="E78" i="1"/>
  <c r="E50" i="1"/>
  <c r="E49" i="1"/>
  <c r="E48" i="1"/>
  <c r="E233" i="1" l="1"/>
  <c r="E151" i="1" l="1"/>
  <c r="E152" i="1"/>
  <c r="E153" i="1"/>
  <c r="E149" i="1"/>
  <c r="E150" i="1"/>
  <c r="E126" i="1"/>
  <c r="E231" i="1" l="1"/>
  <c r="E60" i="1" l="1"/>
  <c r="E168" i="1" l="1"/>
  <c r="E169" i="1" l="1"/>
  <c r="E161" i="1" s="1"/>
  <c r="D161" i="1" s="1"/>
  <c r="E62" i="1" l="1"/>
  <c r="E59" i="1"/>
  <c r="E115" i="1" l="1"/>
  <c r="E44" i="1"/>
  <c r="E40" i="1"/>
  <c r="E41" i="1"/>
  <c r="E229" i="1" l="1"/>
  <c r="E114" i="1"/>
  <c r="E116" i="1"/>
  <c r="E133" i="1" l="1"/>
  <c r="E148" i="1" l="1"/>
  <c r="E140" i="1" l="1"/>
  <c r="E131" i="1" l="1"/>
  <c r="E95" i="1" l="1"/>
  <c r="E117" i="1" l="1"/>
  <c r="E67" i="1" l="1"/>
  <c r="E68" i="1"/>
  <c r="E71" i="1"/>
  <c r="E74" i="1"/>
  <c r="E29" i="1"/>
  <c r="E30" i="1"/>
  <c r="E9" i="1"/>
  <c r="E8" i="1"/>
  <c r="E7" i="1"/>
  <c r="E2" i="1" l="1"/>
  <c r="D2" i="1" s="1"/>
  <c r="E255" i="1"/>
  <c r="E234" i="1"/>
  <c r="E142" i="1"/>
  <c r="E157" i="1" l="1"/>
  <c r="E143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89" i="1"/>
  <c r="E90" i="1"/>
  <c r="E91" i="1"/>
  <c r="E93" i="1"/>
  <c r="E94" i="1"/>
  <c r="E96" i="1"/>
  <c r="E107" i="1"/>
  <c r="E108" i="1"/>
  <c r="E109" i="1"/>
  <c r="E110" i="1"/>
  <c r="E111" i="1"/>
  <c r="E112" i="1"/>
  <c r="E118" i="1"/>
  <c r="E127" i="1"/>
  <c r="E119" i="1"/>
  <c r="E217" i="1"/>
  <c r="E141" i="1"/>
  <c r="E139" i="1" s="1"/>
  <c r="D139" i="1" s="1"/>
  <c r="E134" i="1"/>
  <c r="E128" i="1" s="1"/>
  <c r="D128" i="1" s="1"/>
  <c r="E154" i="1"/>
  <c r="E156" i="1"/>
  <c r="E158" i="1"/>
  <c r="E102" i="1"/>
  <c r="E226" i="1"/>
  <c r="E227" i="1"/>
  <c r="E228" i="1"/>
  <c r="E230" i="1"/>
  <c r="E106" i="1" l="1"/>
  <c r="D106" i="1" s="1"/>
  <c r="E85" i="1"/>
  <c r="D85" i="1" s="1"/>
  <c r="E16" i="1"/>
  <c r="D16" i="1" s="1"/>
  <c r="E216" i="1"/>
  <c r="D216" i="1" s="1"/>
  <c r="E147" i="1"/>
  <c r="D147" i="1" s="1"/>
  <c r="D261" i="1" l="1"/>
</calcChain>
</file>

<file path=xl/sharedStrings.xml><?xml version="1.0" encoding="utf-8"?>
<sst xmlns="http://schemas.openxmlformats.org/spreadsheetml/2006/main" count="559" uniqueCount="271">
  <si>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</si>
  <si>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</si>
  <si>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</si>
  <si>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</si>
  <si>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</si>
  <si>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</si>
  <si>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</si>
  <si>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</si>
  <si>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</si>
  <si>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</si>
  <si>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</si>
  <si>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</si>
  <si>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</si>
  <si>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</si>
  <si>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</si>
  <si>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</si>
  <si>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</si>
  <si>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</si>
  <si>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</si>
  <si>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</si>
  <si>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</si>
  <si>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</si>
  <si>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</si>
  <si>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</si>
  <si>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</si>
  <si>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</si>
  <si>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</si>
  <si>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</si>
  <si>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</si>
  <si>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</si>
  <si>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</si>
  <si>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</si>
  <si>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</si>
  <si>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</si>
  <si>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</si>
  <si>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</si>
  <si>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</si>
  <si>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</si>
  <si>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</si>
  <si>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</si>
  <si>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</si>
  <si>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</si>
  <si>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</si>
  <si>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COST           (PLN)</t>
  </si>
  <si>
    <t>Qty (Nos)</t>
  </si>
  <si>
    <t>Height (m)</t>
  </si>
  <si>
    <t>Width (m)</t>
  </si>
  <si>
    <t>Length (m)</t>
  </si>
  <si>
    <t>COST (PLN)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</si>
  <si>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</si>
  <si>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</si>
  <si>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</si>
  <si>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</si>
  <si>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</si>
  <si>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</si>
  <si>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</si>
  <si>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</si>
  <si>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</si>
  <si>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</si>
  <si>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</si>
  <si>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</si>
  <si>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</si>
  <si>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</si>
  <si>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</si>
  <si>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</si>
  <si>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</si>
  <si>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</si>
  <si>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</si>
  <si>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</si>
  <si>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</si>
  <si>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</si>
  <si>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</si>
  <si>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</si>
  <si>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</si>
  <si>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</si>
  <si>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</si>
  <si>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</si>
  <si>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</si>
  <si>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</si>
  <si>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</si>
  <si>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</si>
  <si>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</si>
  <si>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</si>
  <si>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</si>
  <si>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</si>
  <si>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</si>
  <si>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</si>
  <si>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</si>
  <si>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</si>
  <si>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</si>
  <si>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</si>
  <si>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</si>
  <si>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</si>
  <si>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</si>
  <si>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</si>
  <si>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</si>
  <si>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</si>
  <si>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</si>
  <si>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</si>
  <si>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</si>
  <si>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</si>
  <si>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Reception Counter( Roller Painted)- 2.5 x 1.50x 1.0</t>
  </si>
  <si>
    <t>Reception Counter( Spray Painted)- 2.5 x 1.0 x 1.0</t>
  </si>
  <si>
    <t>Reception Counter( Laminated)- 2.5 x 1.0 x 1.0</t>
  </si>
  <si>
    <t>Info/Bar Counter ( Roller Painted)  (2.5+2) x 1.0 x 1.0</t>
  </si>
  <si>
    <t>Info/Bar Counter ( Laminated) (2.5+2) x 1.0 x 1.0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</si>
  <si>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</si>
  <si>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</si>
  <si>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</si>
  <si>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</si>
  <si>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</si>
  <si>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</si>
  <si>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</si>
  <si>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</si>
  <si>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</si>
  <si>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</si>
  <si>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</si>
  <si>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</si>
  <si>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</si>
  <si>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</si>
  <si>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</si>
  <si>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</si>
  <si>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</si>
  <si>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</si>
  <si>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</si>
  <si>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</si>
  <si>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</si>
  <si>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</si>
  <si>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</si>
  <si>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</si>
  <si>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</si>
  <si>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</si>
  <si>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</si>
  <si>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</si>
  <si>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</si>
  <si>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</si>
  <si>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</si>
  <si>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</si>
  <si>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</si>
  <si>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</si>
  <si>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</si>
  <si>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</si>
  <si>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</si>
  <si>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</si>
  <si>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</si>
  <si>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</si>
  <si>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</si>
  <si>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</si>
  <si>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</si>
  <si>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</si>
  <si>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</si>
  <si>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</si>
  <si>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</si>
  <si>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</si>
  <si>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</si>
  <si>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</si>
  <si>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</si>
  <si>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</si>
  <si>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</si>
  <si>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</si>
  <si>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</si>
  <si>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</si>
  <si>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</si>
  <si>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</si>
  <si>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</si>
  <si>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</si>
  <si>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</si>
  <si>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</si>
  <si>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</si>
  <si>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</si>
  <si>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</si>
  <si>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</si>
  <si>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</si>
  <si>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</si>
  <si>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</si>
  <si>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</si>
  <si>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</si>
  <si>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</si>
  <si>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</si>
  <si>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</si>
  <si>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</si>
  <si>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</si>
  <si>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</si>
  <si>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</si>
  <si>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</si>
  <si>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</si>
  <si>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</si>
  <si>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</si>
  <si>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</si>
  <si>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</si>
  <si>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</si>
  <si>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</si>
  <si>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</si>
  <si>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</si>
  <si>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</si>
  <si>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</si>
  <si>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</si>
  <si>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</si>
  <si>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>Info/Bar Counter (Spray Painted)  (2.5+2) x 1.0 x 1.0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</si>
  <si>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</si>
  <si>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</si>
  <si>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</si>
  <si>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</si>
  <si>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</si>
  <si>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</si>
  <si>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</si>
  <si>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</si>
  <si>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</si>
  <si>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</si>
  <si>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</si>
  <si>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</si>
  <si>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</si>
  <si>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</si>
  <si>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</si>
  <si>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</si>
  <si>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</si>
  <si>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</si>
  <si>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coffee material: suger sticks 150,coffee cups 150,paper cups.etc</t>
  </si>
  <si>
    <t>water bottle for DISPENSER  1 pcs</t>
  </si>
  <si>
    <t>Espresso COFFEE MACHINE JURA</t>
  </si>
  <si>
    <t>Nespresso COFFEE MACHINE (CAPSULES)</t>
  </si>
  <si>
    <t>TV - 65 INCH</t>
  </si>
  <si>
    <t>TV - 85 INCH</t>
  </si>
  <si>
    <t>Other Costs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</si>
  <si>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</si>
  <si>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</si>
  <si>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</si>
  <si>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</si>
  <si>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</si>
  <si>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</si>
  <si>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</si>
  <si>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</si>
  <si>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</si>
  <si>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</si>
  <si>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</si>
  <si>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</si>
  <si>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</si>
  <si>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</si>
  <si>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</si>
  <si>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</si>
  <si>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</si>
  <si>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</si>
  <si>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</si>
  <si>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</si>
  <si>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</si>
  <si>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</si>
  <si>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</si>
  <si>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</si>
  <si>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</si>
  <si>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</si>
  <si>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</si>
  <si>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</si>
  <si>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</si>
  <si>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</si>
  <si>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</si>
  <si>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</si>
  <si>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</si>
  <si>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3D CUT LETTER WITH LED  (1.0 x 0.4) x 2 in pvc</t>
  </si>
  <si>
    <t>3D CUT LETTER NORMAL  (1.0 X 0.4 ) X 2 in pvc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</si>
  <si>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</si>
  <si>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</si>
  <si>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</si>
  <si>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</si>
  <si>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</si>
  <si>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</si>
  <si>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</si>
  <si>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>Rectangular Hanging 4*4m * 2mh Fabric with Modular frame</t>
  </si>
  <si>
    <t>Rectangular Hanging 3*3m * 1mh Fabric with Modular frame</t>
  </si>
  <si>
    <t xml:space="preserve">HANGING FABRIC  _blackback </t>
  </si>
  <si>
    <t>Opt Nr:…........</t>
  </si>
  <si>
    <t>Date:….........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</si>
</sst>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([$PLN]\ * #,##0.00_);_([$PLN]\ * \(#,##0.00\);_([$PLN]\ * &quot;-&quot;??_);_(@_)"/>
    <numFmt numFmtId="166" formatCode="_([$€-2]\ * #,##0.00_);_([$€-2]\ * \(#,##0.00\);_([$€-2]\ * &quot;-&quot;??_);_(@_)"/>
    <numFmt numFmtId="167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applyAlignment="1">
      <alignment vertical="top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vertical="center" wrapText="1"/>
    </xf>
    <xf numFmtId="4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 wrapText="1"/>
    </xf>
    <xf numFmtId="0" fontId="0" fillId="0" borderId="0" xfId="0" applyAlignment="1">
      <alignment horizontal="left"/>
    </xf>
    <xf numFmtId="166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ill="1" applyBorder="1"/>
    <xf numFmtId="0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 wrapText="1"/>
    </xf>
    <xf numFmtId="167" fontId="0" fillId="0" borderId="2" xfId="0" applyNumberFormat="1" applyBorder="1" applyAlignment="1">
      <alignment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left" vertical="top" wrapText="1"/>
    </xf>
    <xf numFmtId="4" fontId="4" fillId="3" borderId="0" xfId="0" applyNumberFormat="1" applyFont="1" applyFill="1" applyAlignment="1">
      <alignment horizontal="left" vertical="center" wrapText="1"/>
    </xf>
    <xf numFmtId="166" fontId="0" fillId="0" borderId="2" xfId="0" applyNumberFormat="1" applyBorder="1" applyAlignment="1">
      <alignment horizontal="left" vertical="top" wrapText="1"/>
    </xf>
    <xf numFmtId="167" fontId="0" fillId="0" borderId="0" xfId="0" applyNumberFormat="1" applyAlignment="1">
      <alignment horizontal="left" vertical="top" wrapText="1"/>
    </xf>
    <xf numFmtId="165" fontId="1" fillId="0" borderId="0" xfId="0" applyNumberFormat="1" applyFont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4" fontId="0" fillId="0" borderId="0" xfId="0" applyNumberFormat="1" applyAlignment="1">
      <alignment horizontal="left"/>
    </xf>
    <xf numFmtId="0" fontId="0" fillId="4" borderId="0" xfId="0" applyFill="1" applyAlignment="1">
      <alignment vertical="top"/>
    </xf>
    <xf numFmtId="0" fontId="2" fillId="3" borderId="0" xfId="0" applyFont="1" applyFill="1" applyAlignment="1">
      <alignment vertical="center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"/>
  <sheetViews>
    <sheetView tabSelected="1" zoomScaleNormal="100" zoomScaleSheetLayoutView="85" workbookViewId="0">
      <pane ySplit="1" topLeftCell="A246" activePane="bottomLeft" state="frozen"/>
      <selection pane="bottomLeft" activeCell="K258" sqref="K258"/>
    </sheetView>
  </sheetViews>
  <sheetFormatPr defaultRowHeight="15.95" customHeight="1" x14ac:dyDescent="0.25"/>
  <cols>
    <col min="1" max="1" width="15.85546875" style="2" bestFit="1" customWidth="1"/>
    <col min="2" max="2" width="12.42578125" bestFit="1" customWidth="1"/>
    <col min="3" max="3" width="55.42578125" style="4" bestFit="1" customWidth="1"/>
    <col min="4" max="4" width="11.85546875" style="4" bestFit="1" customWidth="1"/>
    <col min="5" max="5" width="15.42578125" style="4" bestFit="1" customWidth="1"/>
    <col min="6" max="6" width="10.42578125" style="4" customWidth="1"/>
    <col min="7" max="7" width="10.42578125" style="5" customWidth="1"/>
    <col min="8" max="8" width="10.85546875" style="4" customWidth="1"/>
    <col min="9" max="9" width="9.140625" customWidth="1"/>
    <col min="10" max="10" width="14.5703125" style="4" customWidth="1"/>
    <col min="11" max="11" width="17.5703125" style="33" bestFit="1" customWidth="1"/>
  </cols>
  <sheetData>
    <row r="1" spans="1:11" s="1" customFormat="1" ht="21" customHeight="1" x14ac:dyDescent="0.25">
      <c r="A1" s="35" t="s">
        <v>269</v>
      </c>
      <c r="B1" s="35" t="s">
        <v>270</v>
      </c>
      <c r="C1" s="19" t="s">
        <v>49</v>
      </c>
      <c r="D1" s="19" t="s">
        <v>140</v>
      </c>
      <c r="E1" s="20" t="s">
        <v>48</v>
      </c>
      <c r="F1" s="20" t="s">
        <v>47</v>
      </c>
      <c r="G1" s="20" t="s">
        <v>46</v>
      </c>
      <c r="H1" s="20" t="s">
        <v>45</v>
      </c>
      <c r="I1" s="20" t="s">
        <v>44</v>
      </c>
      <c r="J1" s="20" t="s">
        <v>164</v>
      </c>
      <c r="K1" s="28" t="s">
        <v>43</v>
      </c>
    </row>
    <row r="2" spans="1:11" s="3" customFormat="1" ht="15.95" customHeight="1" x14ac:dyDescent="0.25">
      <c r="A2" s="21" t="s">
        <v>149</v>
      </c>
      <c r="C2" s="22" t="s">
        <v>160</v>
      </c>
      <c r="D2" s="23">
        <f>(E2/4.2)</f>
        <v>0</v>
      </c>
      <c r="E2" s="24">
        <f>SUM(E3:E11)</f>
        <v>0</v>
      </c>
      <c r="F2" s="24"/>
      <c r="G2" s="24"/>
      <c r="H2" s="24"/>
      <c r="I2" s="24"/>
      <c r="J2" s="25"/>
      <c r="K2" s="29"/>
    </row>
    <row r="3" spans="1:11" ht="15.95" customHeight="1" x14ac:dyDescent="0.25">
      <c r="C3" s="6" t="s">
        <v>169</v>
      </c>
      <c r="D3" s="6"/>
      <c r="E3" s="7">
        <f t="shared" ref="E3:E9" si="0">I3*K3</f>
        <v>0</v>
      </c>
      <c r="F3" s="7"/>
      <c r="G3" s="7"/>
      <c r="H3" s="7"/>
      <c r="I3" s="8">
        <v>0</v>
      </c>
      <c r="J3" s="9" t="s">
        <v>174</v>
      </c>
      <c r="K3" s="27">
        <v>12</v>
      </c>
    </row>
    <row r="4" spans="1:11" ht="15.95" customHeight="1" x14ac:dyDescent="0.25">
      <c r="C4" s="6" t="s">
        <v>177</v>
      </c>
      <c r="D4" s="6"/>
      <c r="E4" s="7">
        <f t="shared" si="0"/>
        <v>0</v>
      </c>
      <c r="F4" s="7"/>
      <c r="G4" s="7"/>
      <c r="H4" s="7"/>
      <c r="I4" s="8">
        <v>0</v>
      </c>
      <c r="J4" s="9" t="s">
        <v>174</v>
      </c>
      <c r="K4" s="27">
        <v>40</v>
      </c>
    </row>
    <row r="5" spans="1:11" ht="15.95" customHeight="1" x14ac:dyDescent="0.25">
      <c r="C5" s="6" t="s">
        <v>181</v>
      </c>
      <c r="D5" s="6"/>
      <c r="E5" s="7">
        <f t="shared" si="0"/>
        <v>0</v>
      </c>
      <c r="F5" s="7"/>
      <c r="G5" s="7"/>
      <c r="H5" s="7"/>
      <c r="I5" s="8">
        <v>0</v>
      </c>
      <c r="J5" s="9" t="s">
        <v>174</v>
      </c>
      <c r="K5" s="27">
        <v>60</v>
      </c>
    </row>
    <row r="6" spans="1:11" ht="15.95" customHeight="1" x14ac:dyDescent="0.25">
      <c r="C6" s="6" t="s">
        <v>170</v>
      </c>
      <c r="D6" s="6"/>
      <c r="E6" s="7">
        <f>I6*K6</f>
        <v>0</v>
      </c>
      <c r="F6" s="7"/>
      <c r="G6" s="7"/>
      <c r="H6" s="7"/>
      <c r="I6" s="8">
        <v>0</v>
      </c>
      <c r="J6" s="9" t="s">
        <v>174</v>
      </c>
      <c r="K6" s="27">
        <f>(160-42)</f>
        <v>118</v>
      </c>
    </row>
    <row r="7" spans="1:11" ht="15.95" customHeight="1" x14ac:dyDescent="0.25">
      <c r="C7" s="6" t="s">
        <v>161</v>
      </c>
      <c r="D7" s="6"/>
      <c r="E7" s="7">
        <f t="shared" si="0"/>
        <v>0</v>
      </c>
      <c r="F7" s="7"/>
      <c r="G7" s="7"/>
      <c r="H7" s="7"/>
      <c r="I7" s="8">
        <v>0</v>
      </c>
      <c r="J7" s="9" t="s">
        <v>174</v>
      </c>
      <c r="K7" s="27">
        <v>42</v>
      </c>
    </row>
    <row r="8" spans="1:11" ht="15.95" customHeight="1" x14ac:dyDescent="0.25">
      <c r="B8" s="26" t="s">
        <v>263</v>
      </c>
      <c r="C8" s="6" t="s">
        <v>176</v>
      </c>
      <c r="D8" s="6"/>
      <c r="E8" s="7">
        <f t="shared" si="0"/>
        <v>0</v>
      </c>
      <c r="F8" s="7"/>
      <c r="G8" s="7"/>
      <c r="H8" s="7"/>
      <c r="I8" s="8">
        <v>0</v>
      </c>
      <c r="J8" s="9" t="s">
        <v>174</v>
      </c>
      <c r="K8" s="27">
        <v>96</v>
      </c>
    </row>
    <row r="9" spans="1:11" ht="15.95" customHeight="1" x14ac:dyDescent="0.25">
      <c r="C9" s="6" t="s">
        <v>162</v>
      </c>
      <c r="D9" s="6"/>
      <c r="E9" s="7">
        <f t="shared" si="0"/>
        <v>0</v>
      </c>
      <c r="F9" s="7"/>
      <c r="G9" s="7"/>
      <c r="H9" s="7"/>
      <c r="I9" s="8">
        <v>0</v>
      </c>
      <c r="J9" s="9" t="s">
        <v>159</v>
      </c>
      <c r="K9" s="27">
        <v>17</v>
      </c>
    </row>
    <row r="10" spans="1:11" ht="15.95" customHeight="1" x14ac:dyDescent="0.25">
      <c r="C10" s="6" t="s">
        <v>121</v>
      </c>
      <c r="D10" s="6"/>
      <c r="E10" s="7">
        <f>I10*K10</f>
        <v>0</v>
      </c>
      <c r="F10" s="7"/>
      <c r="G10" s="7"/>
      <c r="H10" s="7"/>
      <c r="I10" s="8">
        <v>0</v>
      </c>
      <c r="J10" s="9" t="s">
        <v>174</v>
      </c>
      <c r="K10" s="27">
        <v>120</v>
      </c>
    </row>
    <row r="11" spans="1:11" ht="15.95" customHeight="1" x14ac:dyDescent="0.25">
      <c r="C11" s="6" t="s">
        <v>122</v>
      </c>
      <c r="D11" s="6"/>
      <c r="E11" s="7">
        <f t="shared" ref="E11" si="1">I11*K11</f>
        <v>0</v>
      </c>
      <c r="F11" s="7"/>
      <c r="G11" s="7"/>
      <c r="H11" s="7"/>
      <c r="I11" s="8">
        <v>0</v>
      </c>
      <c r="J11" s="9" t="s">
        <v>174</v>
      </c>
      <c r="K11" s="27">
        <v>95</v>
      </c>
    </row>
    <row r="12" spans="1:11" s="3" customFormat="1" ht="15.95" customHeight="1" x14ac:dyDescent="0.25">
      <c r="A12" s="21" t="s">
        <v>148</v>
      </c>
      <c r="C12" s="22" t="s">
        <v>204</v>
      </c>
      <c r="D12" s="23">
        <f>SUM(E13:E15)</f>
        <v>0</v>
      </c>
      <c r="E12" s="24"/>
      <c r="F12" s="24"/>
      <c r="G12" s="24"/>
      <c r="H12" s="24"/>
      <c r="I12" s="24"/>
      <c r="J12" s="25"/>
      <c r="K12" s="29"/>
    </row>
    <row r="13" spans="1:11" ht="15.95" customHeight="1" x14ac:dyDescent="0.25">
      <c r="B13" s="13"/>
      <c r="C13" s="16" t="s">
        <v>194</v>
      </c>
      <c r="D13" s="17"/>
      <c r="E13" s="10">
        <f>I13*K13</f>
        <v>0</v>
      </c>
      <c r="F13" s="7"/>
      <c r="G13" s="7"/>
      <c r="H13" s="7"/>
      <c r="I13" s="8">
        <v>0</v>
      </c>
      <c r="J13" s="9" t="s">
        <v>175</v>
      </c>
      <c r="K13" s="30">
        <v>250</v>
      </c>
    </row>
    <row r="14" spans="1:11" ht="15.95" customHeight="1" x14ac:dyDescent="0.25">
      <c r="B14" s="13"/>
      <c r="C14" s="16" t="s">
        <v>195</v>
      </c>
      <c r="D14" s="17"/>
      <c r="E14" s="10">
        <f>I14*K14</f>
        <v>0</v>
      </c>
      <c r="F14" s="7"/>
      <c r="G14" s="7"/>
      <c r="H14" s="7"/>
      <c r="I14" s="8">
        <v>0</v>
      </c>
      <c r="J14" s="9" t="s">
        <v>175</v>
      </c>
      <c r="K14" s="30">
        <v>450</v>
      </c>
    </row>
    <row r="15" spans="1:11" ht="15.95" customHeight="1" x14ac:dyDescent="0.25">
      <c r="B15" s="13"/>
      <c r="C15" s="16" t="s">
        <v>199</v>
      </c>
      <c r="D15" s="17"/>
      <c r="E15" s="10">
        <f t="shared" ref="E15" si="2">I15*K15</f>
        <v>0</v>
      </c>
      <c r="F15" s="7"/>
      <c r="G15" s="7"/>
      <c r="H15" s="7"/>
      <c r="I15" s="8">
        <v>0</v>
      </c>
      <c r="J15" s="9" t="s">
        <v>175</v>
      </c>
      <c r="K15" s="30">
        <v>950</v>
      </c>
    </row>
    <row r="16" spans="1:11" s="3" customFormat="1" ht="15.95" customHeight="1" x14ac:dyDescent="0.25">
      <c r="A16" s="21" t="s">
        <v>153</v>
      </c>
      <c r="C16" s="22" t="s">
        <v>193</v>
      </c>
      <c r="D16" s="23">
        <f>(E16/4.2)</f>
        <v>0</v>
      </c>
      <c r="E16" s="24">
        <f>SUM(E17:E84)</f>
        <v>0</v>
      </c>
      <c r="F16" s="24"/>
      <c r="G16" s="24"/>
      <c r="H16" s="24"/>
      <c r="I16" s="24"/>
      <c r="J16" s="25"/>
      <c r="K16" s="29"/>
    </row>
    <row r="17" spans="2:11" ht="15.95" customHeight="1" x14ac:dyDescent="0.25">
      <c r="B17" s="26" t="s">
        <v>263</v>
      </c>
      <c r="C17" s="6" t="s">
        <v>41</v>
      </c>
      <c r="D17" s="6"/>
      <c r="E17" s="7">
        <f t="shared" ref="E17:E47" si="3">I17*K17</f>
        <v>0</v>
      </c>
      <c r="F17" s="7">
        <v>1</v>
      </c>
      <c r="G17" s="7">
        <v>0.1</v>
      </c>
      <c r="H17" s="7">
        <v>2.5</v>
      </c>
      <c r="I17" s="8">
        <v>0</v>
      </c>
      <c r="J17" s="9" t="s">
        <v>163</v>
      </c>
      <c r="K17" s="27">
        <v>222</v>
      </c>
    </row>
    <row r="18" spans="2:11" ht="15.95" customHeight="1" x14ac:dyDescent="0.25">
      <c r="B18" s="26" t="s">
        <v>263</v>
      </c>
      <c r="C18" s="6" t="s">
        <v>42</v>
      </c>
      <c r="D18" s="6"/>
      <c r="E18" s="7">
        <f t="shared" si="3"/>
        <v>0</v>
      </c>
      <c r="F18" s="7">
        <v>1</v>
      </c>
      <c r="G18" s="7">
        <v>0.1</v>
      </c>
      <c r="H18" s="7">
        <v>2.5</v>
      </c>
      <c r="I18" s="8">
        <v>0</v>
      </c>
      <c r="J18" s="9" t="s">
        <v>163</v>
      </c>
      <c r="K18" s="27">
        <v>294</v>
      </c>
    </row>
    <row r="19" spans="2:11" ht="15.95" customHeight="1" x14ac:dyDescent="0.25">
      <c r="C19" s="6" t="s">
        <v>39</v>
      </c>
      <c r="D19" s="6"/>
      <c r="E19" s="7">
        <f t="shared" si="3"/>
        <v>0</v>
      </c>
      <c r="F19" s="7">
        <v>1</v>
      </c>
      <c r="G19" s="7">
        <v>0.1</v>
      </c>
      <c r="H19" s="7">
        <v>2.5</v>
      </c>
      <c r="I19" s="8">
        <v>0</v>
      </c>
      <c r="J19" s="9" t="s">
        <v>163</v>
      </c>
      <c r="K19" s="27">
        <v>306</v>
      </c>
    </row>
    <row r="20" spans="2:11" ht="15.95" customHeight="1" x14ac:dyDescent="0.25">
      <c r="C20" s="6" t="s">
        <v>38</v>
      </c>
      <c r="D20" s="6"/>
      <c r="E20" s="7">
        <f t="shared" si="3"/>
        <v>0</v>
      </c>
      <c r="F20" s="7">
        <v>1</v>
      </c>
      <c r="G20" s="7">
        <v>0.1</v>
      </c>
      <c r="H20" s="7">
        <v>2.5</v>
      </c>
      <c r="I20" s="8">
        <v>0</v>
      </c>
      <c r="J20" s="9" t="s">
        <v>163</v>
      </c>
      <c r="K20" s="27">
        <v>410.4</v>
      </c>
    </row>
    <row r="21" spans="2:11" ht="15.95" customHeight="1" x14ac:dyDescent="0.25">
      <c r="C21" s="6" t="s">
        <v>145</v>
      </c>
      <c r="D21" s="6"/>
      <c r="E21" s="7">
        <f t="shared" si="3"/>
        <v>0</v>
      </c>
      <c r="F21" s="7">
        <v>1</v>
      </c>
      <c r="G21" s="7">
        <v>0.1</v>
      </c>
      <c r="H21" s="7">
        <v>3</v>
      </c>
      <c r="I21" s="8">
        <v>0</v>
      </c>
      <c r="J21" s="9" t="s">
        <v>163</v>
      </c>
      <c r="K21" s="27">
        <v>900</v>
      </c>
    </row>
    <row r="22" spans="2:11" ht="15.95" customHeight="1" x14ac:dyDescent="0.25">
      <c r="C22" s="6" t="s">
        <v>146</v>
      </c>
      <c r="D22" s="6"/>
      <c r="E22" s="7">
        <f t="shared" si="3"/>
        <v>0</v>
      </c>
      <c r="F22" s="7">
        <v>1</v>
      </c>
      <c r="G22" s="7">
        <v>0.1</v>
      </c>
      <c r="H22" s="7">
        <v>3</v>
      </c>
      <c r="I22" s="8">
        <v>0</v>
      </c>
      <c r="J22" s="9" t="s">
        <v>163</v>
      </c>
      <c r="K22" s="27">
        <v>1400</v>
      </c>
    </row>
    <row r="23" spans="2:11" ht="15.95" customHeight="1" x14ac:dyDescent="0.25">
      <c r="C23" s="6" t="s">
        <v>137</v>
      </c>
      <c r="D23" s="6"/>
      <c r="E23" s="7">
        <f t="shared" si="3"/>
        <v>0</v>
      </c>
      <c r="F23" s="7">
        <v>1</v>
      </c>
      <c r="G23" s="7">
        <v>0.1</v>
      </c>
      <c r="H23" s="7">
        <v>3</v>
      </c>
      <c r="I23" s="8">
        <v>0</v>
      </c>
      <c r="J23" s="9" t="s">
        <v>163</v>
      </c>
      <c r="K23" s="27">
        <v>418</v>
      </c>
    </row>
    <row r="24" spans="2:11" ht="15.95" customHeight="1" x14ac:dyDescent="0.25">
      <c r="C24" s="6" t="s">
        <v>138</v>
      </c>
      <c r="D24" s="6"/>
      <c r="E24" s="7">
        <f t="shared" si="3"/>
        <v>0</v>
      </c>
      <c r="F24" s="7">
        <v>1</v>
      </c>
      <c r="G24" s="7">
        <v>0.1</v>
      </c>
      <c r="H24" s="7">
        <v>3</v>
      </c>
      <c r="I24" s="8">
        <v>0</v>
      </c>
      <c r="J24" s="9" t="s">
        <v>163</v>
      </c>
      <c r="K24" s="27">
        <v>836</v>
      </c>
    </row>
    <row r="25" spans="2:11" ht="15.95" customHeight="1" x14ac:dyDescent="0.25">
      <c r="B25" s="26" t="s">
        <v>263</v>
      </c>
      <c r="C25" s="6" t="s">
        <v>37</v>
      </c>
      <c r="D25" s="6"/>
      <c r="E25" s="7">
        <f t="shared" si="3"/>
        <v>0</v>
      </c>
      <c r="F25" s="7">
        <v>1</v>
      </c>
      <c r="G25" s="7">
        <v>0.1</v>
      </c>
      <c r="H25" s="7">
        <v>3</v>
      </c>
      <c r="I25" s="8">
        <v>0</v>
      </c>
      <c r="J25" s="9" t="s">
        <v>163</v>
      </c>
      <c r="K25" s="27">
        <v>264</v>
      </c>
    </row>
    <row r="26" spans="2:11" ht="15.95" customHeight="1" x14ac:dyDescent="0.25">
      <c r="B26" s="26" t="s">
        <v>263</v>
      </c>
      <c r="C26" s="6" t="s">
        <v>36</v>
      </c>
      <c r="D26" s="6"/>
      <c r="E26" s="7">
        <f t="shared" si="3"/>
        <v>0</v>
      </c>
      <c r="F26" s="7">
        <v>1</v>
      </c>
      <c r="G26" s="7">
        <v>0.1</v>
      </c>
      <c r="H26" s="7">
        <v>3</v>
      </c>
      <c r="I26" s="8">
        <v>0</v>
      </c>
      <c r="J26" s="9" t="s">
        <v>163</v>
      </c>
      <c r="K26" s="27">
        <v>292.8</v>
      </c>
    </row>
    <row r="27" spans="2:11" ht="15.95" customHeight="1" x14ac:dyDescent="0.25">
      <c r="C27" s="6" t="s">
        <v>108</v>
      </c>
      <c r="D27" s="6"/>
      <c r="E27" s="7">
        <f>I27*K27</f>
        <v>0</v>
      </c>
      <c r="F27" s="7">
        <v>1</v>
      </c>
      <c r="G27" s="7">
        <v>0.1</v>
      </c>
      <c r="H27" s="7">
        <v>3</v>
      </c>
      <c r="I27" s="8">
        <v>0</v>
      </c>
      <c r="J27" s="9" t="s">
        <v>163</v>
      </c>
      <c r="K27" s="27">
        <v>356.4</v>
      </c>
    </row>
    <row r="28" spans="2:11" ht="15.95" customHeight="1" x14ac:dyDescent="0.25">
      <c r="C28" s="6" t="s">
        <v>34</v>
      </c>
      <c r="D28" s="6"/>
      <c r="E28" s="7">
        <f t="shared" si="3"/>
        <v>0</v>
      </c>
      <c r="F28" s="7">
        <v>1</v>
      </c>
      <c r="G28" s="7">
        <v>0.1</v>
      </c>
      <c r="H28" s="7">
        <v>3</v>
      </c>
      <c r="I28" s="8">
        <v>0</v>
      </c>
      <c r="J28" s="9" t="s">
        <v>163</v>
      </c>
      <c r="K28" s="27">
        <v>440.4</v>
      </c>
    </row>
    <row r="29" spans="2:11" ht="15.95" customHeight="1" x14ac:dyDescent="0.25">
      <c r="B29" s="26" t="s">
        <v>263</v>
      </c>
      <c r="C29" s="6" t="s">
        <v>68</v>
      </c>
      <c r="D29" s="6"/>
      <c r="E29" s="7">
        <f t="shared" si="3"/>
        <v>0</v>
      </c>
      <c r="F29" s="7">
        <v>1</v>
      </c>
      <c r="G29" s="7">
        <v>0.1</v>
      </c>
      <c r="H29" s="7">
        <v>3.5</v>
      </c>
      <c r="I29" s="8">
        <v>0</v>
      </c>
      <c r="J29" s="9" t="s">
        <v>163</v>
      </c>
      <c r="K29" s="27">
        <v>300</v>
      </c>
    </row>
    <row r="30" spans="2:11" ht="15.95" customHeight="1" x14ac:dyDescent="0.25">
      <c r="B30" s="26" t="s">
        <v>263</v>
      </c>
      <c r="C30" s="6" t="s">
        <v>69</v>
      </c>
      <c r="D30" s="6"/>
      <c r="E30" s="7">
        <f t="shared" si="3"/>
        <v>0</v>
      </c>
      <c r="F30" s="7">
        <v>1</v>
      </c>
      <c r="G30" s="7">
        <v>0.1</v>
      </c>
      <c r="H30" s="7">
        <v>3.5</v>
      </c>
      <c r="I30" s="8">
        <v>0</v>
      </c>
      <c r="J30" s="9" t="s">
        <v>163</v>
      </c>
      <c r="K30" s="27">
        <v>352</v>
      </c>
    </row>
    <row r="31" spans="2:11" ht="15.95" customHeight="1" x14ac:dyDescent="0.25">
      <c r="C31" s="6" t="s">
        <v>106</v>
      </c>
      <c r="D31" s="6"/>
      <c r="E31" s="7">
        <f>I31*K31</f>
        <v>0</v>
      </c>
      <c r="F31" s="7">
        <v>1</v>
      </c>
      <c r="G31" s="7">
        <v>0.1</v>
      </c>
      <c r="H31" s="7">
        <v>3.5</v>
      </c>
      <c r="I31" s="8">
        <v>0</v>
      </c>
      <c r="J31" s="9" t="s">
        <v>163</v>
      </c>
      <c r="K31" s="27">
        <v>414</v>
      </c>
    </row>
    <row r="32" spans="2:11" ht="15.95" customHeight="1" x14ac:dyDescent="0.25">
      <c r="C32" s="6" t="s">
        <v>107</v>
      </c>
      <c r="D32" s="6"/>
      <c r="E32" s="7">
        <f>I32*K32</f>
        <v>0</v>
      </c>
      <c r="F32" s="7">
        <v>1</v>
      </c>
      <c r="G32" s="7">
        <v>0.1</v>
      </c>
      <c r="H32" s="7">
        <v>3.5</v>
      </c>
      <c r="I32" s="8">
        <v>0</v>
      </c>
      <c r="J32" s="9" t="s">
        <v>163</v>
      </c>
      <c r="K32" s="27">
        <v>520</v>
      </c>
    </row>
    <row r="33" spans="2:11" ht="15.95" customHeight="1" x14ac:dyDescent="0.25">
      <c r="B33" s="26" t="s">
        <v>263</v>
      </c>
      <c r="C33" s="6" t="s">
        <v>33</v>
      </c>
      <c r="D33" s="6"/>
      <c r="E33" s="7">
        <f t="shared" si="3"/>
        <v>0</v>
      </c>
      <c r="F33" s="7">
        <v>1</v>
      </c>
      <c r="G33" s="7">
        <v>0.1</v>
      </c>
      <c r="H33" s="7">
        <v>4</v>
      </c>
      <c r="I33" s="8">
        <v>0</v>
      </c>
      <c r="J33" s="9" t="s">
        <v>163</v>
      </c>
      <c r="K33" s="27">
        <v>285</v>
      </c>
    </row>
    <row r="34" spans="2:11" ht="15.95" customHeight="1" x14ac:dyDescent="0.25">
      <c r="B34" s="26" t="s">
        <v>263</v>
      </c>
      <c r="C34" s="6" t="s">
        <v>32</v>
      </c>
      <c r="D34" s="6"/>
      <c r="E34" s="7">
        <f t="shared" si="3"/>
        <v>0</v>
      </c>
      <c r="F34" s="7">
        <v>1</v>
      </c>
      <c r="G34" s="7">
        <v>0.1</v>
      </c>
      <c r="H34" s="7">
        <v>4</v>
      </c>
      <c r="I34" s="8">
        <v>0</v>
      </c>
      <c r="J34" s="9" t="s">
        <v>163</v>
      </c>
      <c r="K34" s="27">
        <v>388.8</v>
      </c>
    </row>
    <row r="35" spans="2:11" ht="15.95" customHeight="1" x14ac:dyDescent="0.25">
      <c r="C35" s="6" t="s">
        <v>31</v>
      </c>
      <c r="D35" s="6"/>
      <c r="E35" s="7">
        <f t="shared" si="3"/>
        <v>0</v>
      </c>
      <c r="F35" s="7">
        <v>1</v>
      </c>
      <c r="G35" s="7">
        <v>0.1</v>
      </c>
      <c r="H35" s="7">
        <v>4</v>
      </c>
      <c r="I35" s="8">
        <v>0</v>
      </c>
      <c r="J35" s="9" t="s">
        <v>163</v>
      </c>
      <c r="K35" s="27">
        <v>434.4</v>
      </c>
    </row>
    <row r="36" spans="2:11" ht="15.95" customHeight="1" x14ac:dyDescent="0.25">
      <c r="C36" s="6" t="s">
        <v>30</v>
      </c>
      <c r="D36" s="6"/>
      <c r="E36" s="7">
        <f t="shared" si="3"/>
        <v>0</v>
      </c>
      <c r="F36" s="7">
        <v>1</v>
      </c>
      <c r="G36" s="7">
        <v>0.1</v>
      </c>
      <c r="H36" s="7">
        <v>4</v>
      </c>
      <c r="I36" s="8">
        <v>0</v>
      </c>
      <c r="J36" s="9" t="s">
        <v>163</v>
      </c>
      <c r="K36" s="27">
        <v>614.4</v>
      </c>
    </row>
    <row r="37" spans="2:11" ht="15.95" customHeight="1" x14ac:dyDescent="0.25">
      <c r="C37" s="6" t="s">
        <v>79</v>
      </c>
      <c r="D37" s="6"/>
      <c r="E37" s="7">
        <f t="shared" si="3"/>
        <v>0</v>
      </c>
      <c r="F37" s="7">
        <v>1</v>
      </c>
      <c r="G37" s="7">
        <v>0.1</v>
      </c>
      <c r="H37" s="7">
        <v>4.5</v>
      </c>
      <c r="I37" s="8">
        <v>0</v>
      </c>
      <c r="J37" s="9" t="s">
        <v>163</v>
      </c>
      <c r="K37" s="27">
        <v>320</v>
      </c>
    </row>
    <row r="38" spans="2:11" ht="15.95" customHeight="1" x14ac:dyDescent="0.25">
      <c r="C38" s="6" t="s">
        <v>109</v>
      </c>
      <c r="D38" s="6"/>
      <c r="E38" s="7">
        <f t="shared" si="3"/>
        <v>0</v>
      </c>
      <c r="F38" s="7">
        <v>1</v>
      </c>
      <c r="G38" s="7">
        <v>0.1</v>
      </c>
      <c r="H38" s="7">
        <v>4.5</v>
      </c>
      <c r="I38" s="8">
        <v>0</v>
      </c>
      <c r="J38" s="9" t="s">
        <v>163</v>
      </c>
      <c r="K38" s="27">
        <v>440</v>
      </c>
    </row>
    <row r="39" spans="2:11" ht="15.95" customHeight="1" x14ac:dyDescent="0.25">
      <c r="C39" s="6" t="s">
        <v>110</v>
      </c>
      <c r="D39" s="6"/>
      <c r="E39" s="7">
        <f t="shared" si="3"/>
        <v>0</v>
      </c>
      <c r="F39" s="7">
        <v>1</v>
      </c>
      <c r="G39" s="7">
        <v>0.1</v>
      </c>
      <c r="H39" s="7">
        <v>4.5</v>
      </c>
      <c r="I39" s="8">
        <v>0</v>
      </c>
      <c r="J39" s="9" t="s">
        <v>163</v>
      </c>
      <c r="K39" s="27">
        <v>484</v>
      </c>
    </row>
    <row r="40" spans="2:11" ht="15.95" customHeight="1" x14ac:dyDescent="0.25">
      <c r="C40" s="6" t="s">
        <v>111</v>
      </c>
      <c r="D40" s="6"/>
      <c r="E40" s="7">
        <f t="shared" si="3"/>
        <v>0</v>
      </c>
      <c r="F40" s="7">
        <v>1</v>
      </c>
      <c r="G40" s="7">
        <v>0.1</v>
      </c>
      <c r="H40" s="7">
        <v>4.5</v>
      </c>
      <c r="I40" s="8">
        <v>0</v>
      </c>
      <c r="J40" s="9" t="s">
        <v>163</v>
      </c>
      <c r="K40" s="27">
        <v>674</v>
      </c>
    </row>
    <row r="41" spans="2:11" ht="15.95" customHeight="1" x14ac:dyDescent="0.25">
      <c r="B41" s="26" t="s">
        <v>263</v>
      </c>
      <c r="C41" s="6" t="s">
        <v>80</v>
      </c>
      <c r="D41" s="6"/>
      <c r="E41" s="7">
        <f t="shared" si="3"/>
        <v>0</v>
      </c>
      <c r="F41" s="7">
        <v>1</v>
      </c>
      <c r="G41" s="7">
        <v>0.1</v>
      </c>
      <c r="H41" s="7">
        <v>5</v>
      </c>
      <c r="I41" s="8">
        <v>0</v>
      </c>
      <c r="J41" s="9" t="s">
        <v>163</v>
      </c>
      <c r="K41" s="27">
        <v>325</v>
      </c>
    </row>
    <row r="42" spans="2:11" ht="15.95" customHeight="1" x14ac:dyDescent="0.25">
      <c r="B42" s="26" t="s">
        <v>263</v>
      </c>
      <c r="C42" s="6" t="s">
        <v>112</v>
      </c>
      <c r="D42" s="6"/>
      <c r="E42" s="7">
        <f t="shared" si="3"/>
        <v>0</v>
      </c>
      <c r="F42" s="7">
        <v>1</v>
      </c>
      <c r="G42" s="7">
        <v>0.1</v>
      </c>
      <c r="H42" s="7">
        <v>5</v>
      </c>
      <c r="I42" s="8">
        <v>0</v>
      </c>
      <c r="J42" s="9" t="s">
        <v>163</v>
      </c>
      <c r="K42" s="27">
        <v>465</v>
      </c>
    </row>
    <row r="43" spans="2:11" ht="15.95" customHeight="1" x14ac:dyDescent="0.25">
      <c r="C43" s="6" t="s">
        <v>81</v>
      </c>
      <c r="D43" s="6"/>
      <c r="E43" s="7">
        <f t="shared" si="3"/>
        <v>0</v>
      </c>
      <c r="F43" s="7">
        <v>1</v>
      </c>
      <c r="G43" s="7">
        <v>0.1</v>
      </c>
      <c r="H43" s="7">
        <v>5</v>
      </c>
      <c r="I43" s="8">
        <v>0</v>
      </c>
      <c r="J43" s="9" t="s">
        <v>163</v>
      </c>
      <c r="K43" s="27">
        <v>540</v>
      </c>
    </row>
    <row r="44" spans="2:11" ht="15.95" customHeight="1" x14ac:dyDescent="0.25">
      <c r="C44" s="6" t="s">
        <v>113</v>
      </c>
      <c r="D44" s="6"/>
      <c r="E44" s="7">
        <f t="shared" si="3"/>
        <v>0</v>
      </c>
      <c r="F44" s="7">
        <v>1</v>
      </c>
      <c r="G44" s="7">
        <v>0.1</v>
      </c>
      <c r="H44" s="7">
        <v>5</v>
      </c>
      <c r="I44" s="8">
        <v>0</v>
      </c>
      <c r="J44" s="9" t="s">
        <v>163</v>
      </c>
      <c r="K44" s="27">
        <v>710</v>
      </c>
    </row>
    <row r="45" spans="2:11" ht="15.95" customHeight="1" x14ac:dyDescent="0.25">
      <c r="C45" s="6" t="s">
        <v>29</v>
      </c>
      <c r="D45" s="6"/>
      <c r="E45" s="7">
        <f t="shared" si="3"/>
        <v>0</v>
      </c>
      <c r="F45" s="7">
        <v>1</v>
      </c>
      <c r="G45" s="7">
        <v>0.1</v>
      </c>
      <c r="H45" s="7">
        <v>6</v>
      </c>
      <c r="I45" s="8">
        <v>0</v>
      </c>
      <c r="J45" s="9" t="s">
        <v>163</v>
      </c>
      <c r="K45" s="27">
        <v>332.4</v>
      </c>
    </row>
    <row r="46" spans="2:11" ht="15.95" customHeight="1" x14ac:dyDescent="0.25">
      <c r="C46" s="6" t="s">
        <v>28</v>
      </c>
      <c r="D46" s="6"/>
      <c r="E46" s="7">
        <f t="shared" si="3"/>
        <v>0</v>
      </c>
      <c r="F46" s="7">
        <v>1</v>
      </c>
      <c r="G46" s="7">
        <v>0.1</v>
      </c>
      <c r="H46" s="7">
        <v>6</v>
      </c>
      <c r="I46" s="8">
        <v>0</v>
      </c>
      <c r="J46" s="9" t="s">
        <v>163</v>
      </c>
      <c r="K46" s="27">
        <v>483.6</v>
      </c>
    </row>
    <row r="47" spans="2:11" ht="15.95" customHeight="1" x14ac:dyDescent="0.25">
      <c r="C47" s="6" t="s">
        <v>27</v>
      </c>
      <c r="D47" s="6"/>
      <c r="E47" s="7">
        <f t="shared" si="3"/>
        <v>0</v>
      </c>
      <c r="F47" s="7">
        <v>1</v>
      </c>
      <c r="G47" s="7">
        <v>0.1</v>
      </c>
      <c r="H47" s="7">
        <v>6</v>
      </c>
      <c r="I47" s="8">
        <v>0</v>
      </c>
      <c r="J47" s="9" t="s">
        <v>163</v>
      </c>
      <c r="K47" s="27">
        <v>571.20000000000005</v>
      </c>
    </row>
    <row r="48" spans="2:11" ht="15.95" customHeight="1" x14ac:dyDescent="0.25">
      <c r="C48" s="6" t="s">
        <v>26</v>
      </c>
      <c r="D48" s="6"/>
      <c r="E48" s="7">
        <f>I48*K48</f>
        <v>0</v>
      </c>
      <c r="F48" s="7">
        <v>1</v>
      </c>
      <c r="G48" s="7">
        <v>0.1</v>
      </c>
      <c r="H48" s="7">
        <v>6</v>
      </c>
      <c r="I48" s="8">
        <v>0</v>
      </c>
      <c r="J48" s="9" t="s">
        <v>163</v>
      </c>
      <c r="K48" s="27">
        <v>811.2</v>
      </c>
    </row>
    <row r="49" spans="3:11" ht="15.95" customHeight="1" x14ac:dyDescent="0.25">
      <c r="C49" s="6" t="s">
        <v>99</v>
      </c>
      <c r="D49" s="6"/>
      <c r="E49" s="7">
        <f t="shared" ref="E49" si="4">I49*K49</f>
        <v>0</v>
      </c>
      <c r="F49" s="7">
        <v>1</v>
      </c>
      <c r="G49" s="7">
        <v>0.1</v>
      </c>
      <c r="H49" s="7">
        <v>4</v>
      </c>
      <c r="I49" s="8">
        <v>0</v>
      </c>
      <c r="J49" s="9" t="s">
        <v>163</v>
      </c>
      <c r="K49" s="27">
        <v>175</v>
      </c>
    </row>
    <row r="50" spans="3:11" ht="15.95" customHeight="1" x14ac:dyDescent="0.25">
      <c r="C50" s="6" t="s">
        <v>100</v>
      </c>
      <c r="D50" s="6"/>
      <c r="E50" s="7">
        <f>I50*K50</f>
        <v>0</v>
      </c>
      <c r="F50" s="7">
        <v>1</v>
      </c>
      <c r="G50" s="7">
        <v>0.1</v>
      </c>
      <c r="H50" s="7">
        <v>4</v>
      </c>
      <c r="I50" s="8">
        <v>0</v>
      </c>
      <c r="J50" s="9" t="s">
        <v>163</v>
      </c>
      <c r="K50" s="27">
        <v>350</v>
      </c>
    </row>
    <row r="51" spans="3:11" ht="15.95" customHeight="1" x14ac:dyDescent="0.25">
      <c r="C51" s="6" t="s">
        <v>41</v>
      </c>
      <c r="D51" s="6"/>
      <c r="E51" s="7">
        <f t="shared" ref="E51:E79" si="5">I51*K51</f>
        <v>0</v>
      </c>
      <c r="F51" s="7">
        <v>1</v>
      </c>
      <c r="G51" s="7">
        <v>0.2</v>
      </c>
      <c r="H51" s="7">
        <v>2.5</v>
      </c>
      <c r="I51" s="8">
        <v>0</v>
      </c>
      <c r="J51" s="9" t="s">
        <v>165</v>
      </c>
      <c r="K51" s="27">
        <v>261.60000000000002</v>
      </c>
    </row>
    <row r="52" spans="3:11" ht="15.95" customHeight="1" x14ac:dyDescent="0.25">
      <c r="C52" s="6" t="s">
        <v>40</v>
      </c>
      <c r="D52" s="6"/>
      <c r="E52" s="7">
        <f t="shared" si="5"/>
        <v>0</v>
      </c>
      <c r="F52" s="7">
        <v>1</v>
      </c>
      <c r="G52" s="7">
        <v>0.2</v>
      </c>
      <c r="H52" s="7">
        <v>2.5</v>
      </c>
      <c r="I52" s="8">
        <v>0</v>
      </c>
      <c r="J52" s="9" t="s">
        <v>165</v>
      </c>
      <c r="K52" s="27">
        <v>324</v>
      </c>
    </row>
    <row r="53" spans="3:11" ht="15.95" customHeight="1" x14ac:dyDescent="0.25">
      <c r="C53" s="6" t="s">
        <v>39</v>
      </c>
      <c r="D53" s="6"/>
      <c r="E53" s="7">
        <f t="shared" si="5"/>
        <v>0</v>
      </c>
      <c r="F53" s="7">
        <v>1</v>
      </c>
      <c r="G53" s="7">
        <v>0.2</v>
      </c>
      <c r="H53" s="7">
        <v>2.5</v>
      </c>
      <c r="I53" s="8">
        <v>0</v>
      </c>
      <c r="J53" s="9" t="s">
        <v>165</v>
      </c>
      <c r="K53" s="27">
        <v>332.4</v>
      </c>
    </row>
    <row r="54" spans="3:11" ht="15.95" customHeight="1" x14ac:dyDescent="0.25">
      <c r="C54" s="6" t="s">
        <v>38</v>
      </c>
      <c r="D54" s="6"/>
      <c r="E54" s="7">
        <f t="shared" si="5"/>
        <v>0</v>
      </c>
      <c r="F54" s="7">
        <v>1</v>
      </c>
      <c r="G54" s="7">
        <v>0.2</v>
      </c>
      <c r="H54" s="7">
        <v>2.5</v>
      </c>
      <c r="I54" s="8">
        <v>0</v>
      </c>
      <c r="J54" s="9" t="s">
        <v>165</v>
      </c>
      <c r="K54" s="27">
        <v>420</v>
      </c>
    </row>
    <row r="55" spans="3:11" ht="15.95" customHeight="1" x14ac:dyDescent="0.25">
      <c r="C55" s="6" t="s">
        <v>37</v>
      </c>
      <c r="D55" s="6"/>
      <c r="E55" s="7">
        <f t="shared" si="5"/>
        <v>0</v>
      </c>
      <c r="F55" s="7">
        <v>1</v>
      </c>
      <c r="G55" s="7">
        <v>0.2</v>
      </c>
      <c r="H55" s="7">
        <v>3</v>
      </c>
      <c r="I55" s="8">
        <v>0</v>
      </c>
      <c r="J55" s="9" t="s">
        <v>165</v>
      </c>
      <c r="K55" s="27">
        <v>338.4</v>
      </c>
    </row>
    <row r="56" spans="3:11" ht="15.95" customHeight="1" x14ac:dyDescent="0.25">
      <c r="C56" s="6" t="s">
        <v>36</v>
      </c>
      <c r="D56" s="6"/>
      <c r="E56" s="7">
        <f t="shared" si="5"/>
        <v>0</v>
      </c>
      <c r="F56" s="7">
        <v>1</v>
      </c>
      <c r="G56" s="7">
        <v>0.2</v>
      </c>
      <c r="H56" s="7">
        <v>3</v>
      </c>
      <c r="I56" s="8">
        <v>0</v>
      </c>
      <c r="J56" s="9" t="s">
        <v>165</v>
      </c>
      <c r="K56" s="27">
        <v>409.2</v>
      </c>
    </row>
    <row r="57" spans="3:11" ht="15.95" customHeight="1" x14ac:dyDescent="0.25">
      <c r="C57" s="6" t="s">
        <v>35</v>
      </c>
      <c r="D57" s="6"/>
      <c r="E57" s="7">
        <f t="shared" si="5"/>
        <v>0</v>
      </c>
      <c r="F57" s="7">
        <v>1</v>
      </c>
      <c r="G57" s="7">
        <v>0.2</v>
      </c>
      <c r="H57" s="7">
        <v>3</v>
      </c>
      <c r="I57" s="8">
        <v>0</v>
      </c>
      <c r="J57" s="9" t="s">
        <v>165</v>
      </c>
      <c r="K57" s="27">
        <v>472.8</v>
      </c>
    </row>
    <row r="58" spans="3:11" ht="15.95" customHeight="1" x14ac:dyDescent="0.25">
      <c r="C58" s="6" t="s">
        <v>34</v>
      </c>
      <c r="D58" s="6"/>
      <c r="E58" s="7">
        <f t="shared" si="5"/>
        <v>0</v>
      </c>
      <c r="F58" s="7">
        <v>1</v>
      </c>
      <c r="G58" s="7">
        <v>0.2</v>
      </c>
      <c r="H58" s="7">
        <v>3</v>
      </c>
      <c r="I58" s="8">
        <v>0</v>
      </c>
      <c r="J58" s="9" t="s">
        <v>165</v>
      </c>
      <c r="K58" s="27">
        <v>556.79999999999995</v>
      </c>
    </row>
    <row r="59" spans="3:11" ht="15.95" customHeight="1" x14ac:dyDescent="0.25">
      <c r="C59" s="6" t="s">
        <v>114</v>
      </c>
      <c r="D59" s="6"/>
      <c r="E59" s="7">
        <f t="shared" si="5"/>
        <v>0</v>
      </c>
      <c r="F59" s="7">
        <v>1</v>
      </c>
      <c r="G59" s="7">
        <v>0.2</v>
      </c>
      <c r="H59" s="7">
        <v>3.5</v>
      </c>
      <c r="I59" s="8">
        <v>0</v>
      </c>
      <c r="J59" s="9" t="s">
        <v>165</v>
      </c>
      <c r="K59" s="27">
        <v>400</v>
      </c>
    </row>
    <row r="60" spans="3:11" ht="15.95" customHeight="1" x14ac:dyDescent="0.25">
      <c r="C60" s="6" t="s">
        <v>115</v>
      </c>
      <c r="D60" s="6"/>
      <c r="E60" s="7">
        <f t="shared" si="5"/>
        <v>0</v>
      </c>
      <c r="F60" s="7">
        <v>1</v>
      </c>
      <c r="G60" s="7">
        <v>0.2</v>
      </c>
      <c r="H60" s="7">
        <v>3.5</v>
      </c>
      <c r="I60" s="8">
        <v>0</v>
      </c>
      <c r="J60" s="9" t="s">
        <v>165</v>
      </c>
      <c r="K60" s="27">
        <v>430</v>
      </c>
    </row>
    <row r="61" spans="3:11" ht="15.95" customHeight="1" x14ac:dyDescent="0.25">
      <c r="C61" s="6" t="s">
        <v>116</v>
      </c>
      <c r="D61" s="6"/>
      <c r="E61" s="7">
        <f t="shared" si="5"/>
        <v>0</v>
      </c>
      <c r="F61" s="7">
        <v>1</v>
      </c>
      <c r="G61" s="7">
        <v>0.2</v>
      </c>
      <c r="H61" s="7">
        <v>3.5</v>
      </c>
      <c r="I61" s="8">
        <v>0</v>
      </c>
      <c r="J61" s="9" t="s">
        <v>165</v>
      </c>
      <c r="K61" s="27">
        <v>492</v>
      </c>
    </row>
    <row r="62" spans="3:11" ht="15.95" customHeight="1" x14ac:dyDescent="0.25">
      <c r="C62" s="6" t="s">
        <v>82</v>
      </c>
      <c r="D62" s="6"/>
      <c r="E62" s="7">
        <f t="shared" si="5"/>
        <v>0</v>
      </c>
      <c r="F62" s="7">
        <v>1</v>
      </c>
      <c r="G62" s="7">
        <v>0.2</v>
      </c>
      <c r="H62" s="7">
        <v>3.5</v>
      </c>
      <c r="I62" s="8">
        <v>0</v>
      </c>
      <c r="J62" s="9" t="s">
        <v>165</v>
      </c>
      <c r="K62" s="27">
        <v>600</v>
      </c>
    </row>
    <row r="63" spans="3:11" ht="15.95" customHeight="1" x14ac:dyDescent="0.25">
      <c r="C63" s="6" t="s">
        <v>33</v>
      </c>
      <c r="D63" s="6"/>
      <c r="E63" s="7">
        <f t="shared" si="5"/>
        <v>0</v>
      </c>
      <c r="F63" s="7">
        <v>1</v>
      </c>
      <c r="G63" s="7">
        <v>0.2</v>
      </c>
      <c r="H63" s="7">
        <v>4</v>
      </c>
      <c r="I63" s="8">
        <v>0</v>
      </c>
      <c r="J63" s="9" t="s">
        <v>165</v>
      </c>
      <c r="K63" s="27">
        <v>404.4</v>
      </c>
    </row>
    <row r="64" spans="3:11" ht="15.95" customHeight="1" x14ac:dyDescent="0.25">
      <c r="C64" s="6" t="s">
        <v>32</v>
      </c>
      <c r="D64" s="6"/>
      <c r="E64" s="7">
        <f t="shared" si="5"/>
        <v>0</v>
      </c>
      <c r="F64" s="7">
        <v>1</v>
      </c>
      <c r="G64" s="7">
        <v>0.2</v>
      </c>
      <c r="H64" s="7">
        <v>4</v>
      </c>
      <c r="I64" s="8">
        <v>0</v>
      </c>
      <c r="J64" s="9" t="s">
        <v>165</v>
      </c>
      <c r="K64" s="27">
        <v>529.20000000000005</v>
      </c>
    </row>
    <row r="65" spans="3:11" ht="15.95" customHeight="1" x14ac:dyDescent="0.25">
      <c r="C65" s="6" t="s">
        <v>31</v>
      </c>
      <c r="D65" s="6"/>
      <c r="E65" s="7">
        <f t="shared" si="5"/>
        <v>0</v>
      </c>
      <c r="F65" s="7">
        <v>1</v>
      </c>
      <c r="G65" s="7">
        <v>0.2</v>
      </c>
      <c r="H65" s="7">
        <v>4</v>
      </c>
      <c r="I65" s="8">
        <v>0</v>
      </c>
      <c r="J65" s="9" t="s">
        <v>165</v>
      </c>
      <c r="K65" s="27">
        <v>571.20000000000005</v>
      </c>
    </row>
    <row r="66" spans="3:11" ht="15.95" customHeight="1" x14ac:dyDescent="0.25">
      <c r="C66" s="6" t="s">
        <v>30</v>
      </c>
      <c r="D66" s="6"/>
      <c r="E66" s="7">
        <f t="shared" si="5"/>
        <v>0</v>
      </c>
      <c r="F66" s="7">
        <v>1</v>
      </c>
      <c r="G66" s="7">
        <v>0.2</v>
      </c>
      <c r="H66" s="7">
        <v>4</v>
      </c>
      <c r="I66" s="8">
        <v>0</v>
      </c>
      <c r="J66" s="9" t="s">
        <v>165</v>
      </c>
      <c r="K66" s="27">
        <v>754.8</v>
      </c>
    </row>
    <row r="67" spans="3:11" ht="15.95" customHeight="1" x14ac:dyDescent="0.25">
      <c r="C67" s="6" t="s">
        <v>72</v>
      </c>
      <c r="D67" s="6"/>
      <c r="E67" s="7">
        <f t="shared" si="5"/>
        <v>0</v>
      </c>
      <c r="F67" s="7">
        <v>1</v>
      </c>
      <c r="G67" s="7">
        <v>0.2</v>
      </c>
      <c r="H67" s="7">
        <v>4.5</v>
      </c>
      <c r="I67" s="8">
        <v>0</v>
      </c>
      <c r="J67" s="9" t="s">
        <v>165</v>
      </c>
      <c r="K67" s="27">
        <v>424</v>
      </c>
    </row>
    <row r="68" spans="3:11" ht="15.95" customHeight="1" x14ac:dyDescent="0.25">
      <c r="C68" s="6" t="s">
        <v>73</v>
      </c>
      <c r="D68" s="6"/>
      <c r="E68" s="7">
        <f t="shared" si="5"/>
        <v>0</v>
      </c>
      <c r="F68" s="7">
        <v>1</v>
      </c>
      <c r="G68" s="7">
        <v>0.2</v>
      </c>
      <c r="H68" s="7">
        <v>4.5</v>
      </c>
      <c r="I68" s="8">
        <v>0</v>
      </c>
      <c r="J68" s="9" t="s">
        <v>165</v>
      </c>
      <c r="K68" s="27">
        <v>550</v>
      </c>
    </row>
    <row r="69" spans="3:11" ht="15.95" customHeight="1" x14ac:dyDescent="0.25">
      <c r="C69" s="6" t="s">
        <v>117</v>
      </c>
      <c r="D69" s="6"/>
      <c r="E69" s="7">
        <f t="shared" si="5"/>
        <v>0</v>
      </c>
      <c r="F69" s="7">
        <v>1</v>
      </c>
      <c r="G69" s="7">
        <v>0.2</v>
      </c>
      <c r="H69" s="7">
        <v>4.5</v>
      </c>
      <c r="I69" s="8">
        <v>0</v>
      </c>
      <c r="J69" s="9" t="s">
        <v>165</v>
      </c>
      <c r="K69" s="27">
        <v>590</v>
      </c>
    </row>
    <row r="70" spans="3:11" ht="15.95" customHeight="1" x14ac:dyDescent="0.25">
      <c r="C70" s="6" t="s">
        <v>147</v>
      </c>
      <c r="D70" s="6"/>
      <c r="E70" s="7">
        <f t="shared" si="5"/>
        <v>0</v>
      </c>
      <c r="F70" s="7">
        <v>1</v>
      </c>
      <c r="G70" s="7">
        <v>0.2</v>
      </c>
      <c r="H70" s="7">
        <v>4.5</v>
      </c>
      <c r="I70" s="8">
        <v>0</v>
      </c>
      <c r="J70" s="9" t="s">
        <v>165</v>
      </c>
      <c r="K70" s="27">
        <v>1500</v>
      </c>
    </row>
    <row r="71" spans="3:11" ht="15.95" customHeight="1" x14ac:dyDescent="0.25">
      <c r="C71" s="6" t="s">
        <v>70</v>
      </c>
      <c r="D71" s="6"/>
      <c r="E71" s="7">
        <f t="shared" si="5"/>
        <v>0</v>
      </c>
      <c r="F71" s="7">
        <v>1</v>
      </c>
      <c r="G71" s="7">
        <v>0.2</v>
      </c>
      <c r="H71" s="7">
        <v>5</v>
      </c>
      <c r="I71" s="8">
        <v>0</v>
      </c>
      <c r="J71" s="9" t="s">
        <v>165</v>
      </c>
      <c r="K71" s="27">
        <v>468</v>
      </c>
    </row>
    <row r="72" spans="3:11" ht="15.95" customHeight="1" x14ac:dyDescent="0.25">
      <c r="C72" s="6" t="s">
        <v>71</v>
      </c>
      <c r="D72" s="6"/>
      <c r="E72" s="7">
        <f t="shared" si="5"/>
        <v>0</v>
      </c>
      <c r="F72" s="7">
        <v>1</v>
      </c>
      <c r="G72" s="7">
        <v>0.2</v>
      </c>
      <c r="H72" s="7">
        <v>5</v>
      </c>
      <c r="I72" s="8">
        <v>0</v>
      </c>
      <c r="J72" s="9" t="s">
        <v>165</v>
      </c>
      <c r="K72" s="27">
        <v>610</v>
      </c>
    </row>
    <row r="73" spans="3:11" ht="15.95" customHeight="1" x14ac:dyDescent="0.25">
      <c r="C73" s="6" t="s">
        <v>118</v>
      </c>
      <c r="D73" s="6"/>
      <c r="E73" s="7">
        <f t="shared" si="5"/>
        <v>0</v>
      </c>
      <c r="F73" s="7">
        <v>1</v>
      </c>
      <c r="G73" s="7">
        <v>0.2</v>
      </c>
      <c r="H73" s="7">
        <v>5</v>
      </c>
      <c r="I73" s="8">
        <v>0</v>
      </c>
      <c r="J73" s="9" t="s">
        <v>165</v>
      </c>
      <c r="K73" s="27">
        <v>705</v>
      </c>
    </row>
    <row r="74" spans="3:11" ht="15.95" customHeight="1" x14ac:dyDescent="0.25">
      <c r="C74" s="6" t="s">
        <v>119</v>
      </c>
      <c r="D74" s="6"/>
      <c r="E74" s="7">
        <f t="shared" si="5"/>
        <v>0</v>
      </c>
      <c r="F74" s="7">
        <v>1</v>
      </c>
      <c r="G74" s="7">
        <v>0.2</v>
      </c>
      <c r="H74" s="7">
        <v>5</v>
      </c>
      <c r="I74" s="8">
        <v>0</v>
      </c>
      <c r="J74" s="9" t="s">
        <v>165</v>
      </c>
      <c r="K74" s="27">
        <v>940</v>
      </c>
    </row>
    <row r="75" spans="3:11" ht="15.95" customHeight="1" x14ac:dyDescent="0.25">
      <c r="C75" s="6" t="s">
        <v>29</v>
      </c>
      <c r="D75" s="6"/>
      <c r="E75" s="7">
        <f t="shared" si="5"/>
        <v>0</v>
      </c>
      <c r="F75" s="7">
        <v>1</v>
      </c>
      <c r="G75" s="7">
        <v>0.2</v>
      </c>
      <c r="H75" s="7">
        <v>6</v>
      </c>
      <c r="I75" s="8">
        <v>0</v>
      </c>
      <c r="J75" s="9" t="s">
        <v>165</v>
      </c>
      <c r="K75" s="27">
        <v>488.4</v>
      </c>
    </row>
    <row r="76" spans="3:11" ht="15.95" customHeight="1" x14ac:dyDescent="0.25">
      <c r="C76" s="6" t="s">
        <v>28</v>
      </c>
      <c r="D76" s="6"/>
      <c r="E76" s="7">
        <f t="shared" si="5"/>
        <v>0</v>
      </c>
      <c r="F76" s="7">
        <v>1</v>
      </c>
      <c r="G76" s="7">
        <v>0.2</v>
      </c>
      <c r="H76" s="7">
        <v>6</v>
      </c>
      <c r="I76" s="8">
        <v>0</v>
      </c>
      <c r="J76" s="9" t="s">
        <v>165</v>
      </c>
      <c r="K76" s="27">
        <v>639.6</v>
      </c>
    </row>
    <row r="77" spans="3:11" ht="15.95" customHeight="1" x14ac:dyDescent="0.25">
      <c r="C77" s="6" t="s">
        <v>27</v>
      </c>
      <c r="D77" s="6"/>
      <c r="E77" s="7">
        <f t="shared" si="5"/>
        <v>0</v>
      </c>
      <c r="F77" s="7">
        <v>1</v>
      </c>
      <c r="G77" s="7">
        <v>0.2</v>
      </c>
      <c r="H77" s="7">
        <v>6</v>
      </c>
      <c r="I77" s="8">
        <v>0</v>
      </c>
      <c r="J77" s="9" t="s">
        <v>165</v>
      </c>
      <c r="K77" s="27">
        <v>727.2</v>
      </c>
    </row>
    <row r="78" spans="3:11" ht="15.95" customHeight="1" x14ac:dyDescent="0.25">
      <c r="C78" s="6" t="s">
        <v>26</v>
      </c>
      <c r="D78" s="6"/>
      <c r="E78" s="7">
        <f t="shared" si="5"/>
        <v>0</v>
      </c>
      <c r="F78" s="7">
        <v>1</v>
      </c>
      <c r="G78" s="7">
        <v>0.2</v>
      </c>
      <c r="H78" s="7">
        <v>6</v>
      </c>
      <c r="I78" s="8">
        <v>0</v>
      </c>
      <c r="J78" s="9" t="s">
        <v>165</v>
      </c>
      <c r="K78" s="27">
        <v>967.2</v>
      </c>
    </row>
    <row r="79" spans="3:11" ht="15.95" customHeight="1" x14ac:dyDescent="0.25">
      <c r="C79" s="6" t="s">
        <v>99</v>
      </c>
      <c r="D79" s="6"/>
      <c r="E79" s="7">
        <f t="shared" si="5"/>
        <v>0</v>
      </c>
      <c r="F79" s="7">
        <v>1</v>
      </c>
      <c r="G79" s="7">
        <v>0.2</v>
      </c>
      <c r="H79" s="7">
        <v>6</v>
      </c>
      <c r="I79" s="8">
        <v>0</v>
      </c>
      <c r="J79" s="9" t="s">
        <v>165</v>
      </c>
      <c r="K79" s="27">
        <v>175</v>
      </c>
    </row>
    <row r="80" spans="3:11" ht="15.95" customHeight="1" x14ac:dyDescent="0.25">
      <c r="C80" s="6" t="s">
        <v>100</v>
      </c>
      <c r="D80" s="6"/>
      <c r="E80" s="7">
        <f>I80*K80</f>
        <v>0</v>
      </c>
      <c r="F80" s="7">
        <v>1</v>
      </c>
      <c r="G80" s="7">
        <v>0.2</v>
      </c>
      <c r="H80" s="7">
        <v>6</v>
      </c>
      <c r="I80" s="8">
        <v>0</v>
      </c>
      <c r="J80" s="9" t="s">
        <v>165</v>
      </c>
      <c r="K80" s="27">
        <v>350</v>
      </c>
    </row>
    <row r="81" spans="1:11" ht="15.95" customHeight="1" x14ac:dyDescent="0.25">
      <c r="B81" s="26" t="s">
        <v>263</v>
      </c>
      <c r="C81" s="6" t="s">
        <v>182</v>
      </c>
      <c r="D81" s="6"/>
      <c r="E81" s="7">
        <f t="shared" ref="E81:E83" si="6">I81*K81</f>
        <v>0</v>
      </c>
      <c r="F81" s="7">
        <v>1</v>
      </c>
      <c r="G81" s="7"/>
      <c r="H81" s="7"/>
      <c r="I81" s="8">
        <v>0</v>
      </c>
      <c r="J81" s="9" t="s">
        <v>120</v>
      </c>
      <c r="K81" s="27">
        <v>200</v>
      </c>
    </row>
    <row r="82" spans="1:11" ht="15.95" customHeight="1" x14ac:dyDescent="0.25">
      <c r="B82" s="26" t="s">
        <v>263</v>
      </c>
      <c r="C82" s="6" t="s">
        <v>183</v>
      </c>
      <c r="D82" s="6"/>
      <c r="E82" s="7">
        <f t="shared" si="6"/>
        <v>0</v>
      </c>
      <c r="F82" s="7">
        <v>1</v>
      </c>
      <c r="G82" s="7"/>
      <c r="H82" s="7"/>
      <c r="I82" s="8">
        <v>0</v>
      </c>
      <c r="J82" s="9" t="s">
        <v>178</v>
      </c>
      <c r="K82" s="27">
        <v>800</v>
      </c>
    </row>
    <row r="83" spans="1:11" ht="15.95" customHeight="1" x14ac:dyDescent="0.25">
      <c r="B83" s="26" t="s">
        <v>263</v>
      </c>
      <c r="C83" s="6" t="s">
        <v>184</v>
      </c>
      <c r="D83" s="6"/>
      <c r="E83" s="7">
        <f t="shared" si="6"/>
        <v>0</v>
      </c>
      <c r="F83" s="7">
        <v>1</v>
      </c>
      <c r="G83" s="7"/>
      <c r="H83" s="7"/>
      <c r="I83" s="8">
        <v>0</v>
      </c>
      <c r="J83" s="9" t="s">
        <v>178</v>
      </c>
      <c r="K83" s="27">
        <v>800</v>
      </c>
    </row>
    <row r="84" spans="1:11" ht="15.95" customHeight="1" x14ac:dyDescent="0.25">
      <c r="C84" s="6" t="s">
        <v>185</v>
      </c>
      <c r="D84" s="6"/>
      <c r="E84" s="7">
        <f>I84*K84</f>
        <v>0</v>
      </c>
      <c r="F84" s="7">
        <v>1</v>
      </c>
      <c r="G84" s="7">
        <v>0.2</v>
      </c>
      <c r="H84" s="7">
        <v>1</v>
      </c>
      <c r="I84" s="8">
        <v>0</v>
      </c>
      <c r="J84" s="9" t="s">
        <v>120</v>
      </c>
      <c r="K84" s="27">
        <v>135</v>
      </c>
    </row>
    <row r="85" spans="1:11" s="3" customFormat="1" ht="15.95" customHeight="1" x14ac:dyDescent="0.25">
      <c r="A85" s="21" t="s">
        <v>154</v>
      </c>
      <c r="C85" s="22" t="s">
        <v>205</v>
      </c>
      <c r="D85" s="23">
        <f>(E85/4.2)</f>
        <v>0</v>
      </c>
      <c r="E85" s="24">
        <f>SUM(E86:E105)</f>
        <v>0</v>
      </c>
      <c r="F85" s="24"/>
      <c r="G85" s="24"/>
      <c r="H85" s="24"/>
      <c r="I85" s="24"/>
      <c r="J85" s="25"/>
      <c r="K85" s="29"/>
    </row>
    <row r="86" spans="1:11" s="3" customFormat="1" ht="15.95" customHeight="1" x14ac:dyDescent="0.25">
      <c r="B86" s="26" t="s">
        <v>263</v>
      </c>
      <c r="C86" s="6" t="s">
        <v>179</v>
      </c>
      <c r="D86" s="6"/>
      <c r="E86" s="7">
        <f t="shared" ref="E86:E88" si="7">I86*K86</f>
        <v>0</v>
      </c>
      <c r="F86" s="7"/>
      <c r="G86" s="7"/>
      <c r="H86" s="7"/>
      <c r="I86" s="7">
        <v>0</v>
      </c>
      <c r="J86" s="9" t="s">
        <v>175</v>
      </c>
      <c r="K86" s="27">
        <v>100</v>
      </c>
    </row>
    <row r="87" spans="1:11" s="3" customFormat="1" ht="15.95" customHeight="1" x14ac:dyDescent="0.25">
      <c r="B87" s="26" t="s">
        <v>263</v>
      </c>
      <c r="C87" s="6" t="s">
        <v>202</v>
      </c>
      <c r="D87" s="6"/>
      <c r="E87" s="7">
        <f t="shared" si="7"/>
        <v>0</v>
      </c>
      <c r="F87" s="7"/>
      <c r="G87" s="7"/>
      <c r="H87" s="7"/>
      <c r="I87" s="7">
        <v>0</v>
      </c>
      <c r="J87" s="9" t="s">
        <v>175</v>
      </c>
      <c r="K87" s="27">
        <v>40</v>
      </c>
    </row>
    <row r="88" spans="1:11" s="3" customFormat="1" ht="15.95" customHeight="1" x14ac:dyDescent="0.25">
      <c r="B88" s="26" t="s">
        <v>263</v>
      </c>
      <c r="C88" s="6" t="s">
        <v>203</v>
      </c>
      <c r="D88" s="6"/>
      <c r="E88" s="7">
        <f t="shared" si="7"/>
        <v>0</v>
      </c>
      <c r="F88" s="7"/>
      <c r="G88" s="7"/>
      <c r="H88" s="7"/>
      <c r="I88" s="7">
        <v>0</v>
      </c>
      <c r="J88" s="9" t="s">
        <v>175</v>
      </c>
      <c r="K88" s="27">
        <v>8</v>
      </c>
    </row>
    <row r="89" spans="1:11" s="3" customFormat="1" ht="15.95" customHeight="1" x14ac:dyDescent="0.25">
      <c r="B89" s="26" t="s">
        <v>263</v>
      </c>
      <c r="C89" s="6" t="s">
        <v>264</v>
      </c>
      <c r="D89" s="6"/>
      <c r="E89" s="7">
        <f t="shared" ref="E89:E104" si="8">I89*K89</f>
        <v>0</v>
      </c>
      <c r="F89" s="7"/>
      <c r="G89" s="7"/>
      <c r="H89" s="7"/>
      <c r="I89" s="7">
        <v>0</v>
      </c>
      <c r="J89" s="9" t="s">
        <v>175</v>
      </c>
      <c r="K89" s="27">
        <v>6100</v>
      </c>
    </row>
    <row r="90" spans="1:11" s="3" customFormat="1" ht="15.95" customHeight="1" x14ac:dyDescent="0.25">
      <c r="B90" s="26" t="s">
        <v>263</v>
      </c>
      <c r="C90" s="6" t="s">
        <v>265</v>
      </c>
      <c r="D90" s="6"/>
      <c r="E90" s="7">
        <f t="shared" si="8"/>
        <v>0</v>
      </c>
      <c r="F90" s="7"/>
      <c r="G90" s="7"/>
      <c r="H90" s="7"/>
      <c r="I90" s="7">
        <v>0</v>
      </c>
      <c r="J90" s="9" t="s">
        <v>175</v>
      </c>
      <c r="K90" s="27">
        <v>6800</v>
      </c>
    </row>
    <row r="91" spans="1:11" s="3" customFormat="1" ht="15.95" customHeight="1" x14ac:dyDescent="0.25">
      <c r="B91" s="26" t="s">
        <v>263</v>
      </c>
      <c r="C91" s="6" t="s">
        <v>266</v>
      </c>
      <c r="D91" s="6"/>
      <c r="E91" s="7">
        <f t="shared" si="8"/>
        <v>0</v>
      </c>
      <c r="F91" s="7"/>
      <c r="G91" s="7"/>
      <c r="H91" s="7"/>
      <c r="I91" s="7">
        <v>0</v>
      </c>
      <c r="J91" s="9" t="s">
        <v>175</v>
      </c>
      <c r="K91" s="27">
        <v>8500</v>
      </c>
    </row>
    <row r="92" spans="1:11" s="3" customFormat="1" ht="15.95" customHeight="1" x14ac:dyDescent="0.25">
      <c r="B92" s="26" t="s">
        <v>263</v>
      </c>
      <c r="C92" s="6" t="s">
        <v>267</v>
      </c>
      <c r="D92" s="6"/>
      <c r="E92" s="7">
        <f t="shared" ref="E92" si="9">I92*K92</f>
        <v>0</v>
      </c>
      <c r="F92" s="7"/>
      <c r="G92" s="7"/>
      <c r="H92" s="7"/>
      <c r="I92" s="7">
        <v>0</v>
      </c>
      <c r="J92" s="9" t="s">
        <v>175</v>
      </c>
      <c r="K92" s="27">
        <v>3800</v>
      </c>
    </row>
    <row r="93" spans="1:11" s="3" customFormat="1" ht="15.95" customHeight="1" x14ac:dyDescent="0.25">
      <c r="B93" s="34"/>
      <c r="C93" s="6" t="s">
        <v>25</v>
      </c>
      <c r="D93" s="6"/>
      <c r="E93" s="7">
        <f t="shared" si="8"/>
        <v>0</v>
      </c>
      <c r="F93" s="7">
        <v>4</v>
      </c>
      <c r="G93" s="7">
        <v>4</v>
      </c>
      <c r="H93" s="7">
        <v>1</v>
      </c>
      <c r="I93" s="7">
        <v>0</v>
      </c>
      <c r="J93" s="9" t="s">
        <v>175</v>
      </c>
      <c r="K93" s="27">
        <v>3000</v>
      </c>
    </row>
    <row r="94" spans="1:11" s="3" customFormat="1" ht="15.95" customHeight="1" x14ac:dyDescent="0.25">
      <c r="B94" s="34"/>
      <c r="C94" s="6" t="s">
        <v>24</v>
      </c>
      <c r="D94" s="6"/>
      <c r="E94" s="7">
        <f t="shared" si="8"/>
        <v>0</v>
      </c>
      <c r="F94" s="7">
        <v>4</v>
      </c>
      <c r="G94" s="7">
        <v>4</v>
      </c>
      <c r="H94" s="7">
        <v>1</v>
      </c>
      <c r="I94" s="7">
        <v>0</v>
      </c>
      <c r="J94" s="9" t="s">
        <v>175</v>
      </c>
      <c r="K94" s="27">
        <v>4200</v>
      </c>
    </row>
    <row r="95" spans="1:11" s="3" customFormat="1" ht="15.95" customHeight="1" x14ac:dyDescent="0.25">
      <c r="B95" s="34"/>
      <c r="C95" s="6" t="s">
        <v>186</v>
      </c>
      <c r="D95" s="6"/>
      <c r="E95" s="7">
        <f t="shared" si="8"/>
        <v>0</v>
      </c>
      <c r="F95" s="7">
        <v>4</v>
      </c>
      <c r="G95" s="7">
        <v>1</v>
      </c>
      <c r="H95" s="7">
        <v>1</v>
      </c>
      <c r="I95" s="7">
        <v>0</v>
      </c>
      <c r="J95" s="9" t="s">
        <v>175</v>
      </c>
      <c r="K95" s="27">
        <v>1050</v>
      </c>
    </row>
    <row r="96" spans="1:11" s="3" customFormat="1" ht="15.95" customHeight="1" x14ac:dyDescent="0.25">
      <c r="B96" s="34"/>
      <c r="C96" s="6" t="s">
        <v>23</v>
      </c>
      <c r="D96" s="6"/>
      <c r="E96" s="7">
        <f t="shared" si="8"/>
        <v>0</v>
      </c>
      <c r="F96" s="7">
        <v>6</v>
      </c>
      <c r="G96" s="7">
        <v>4</v>
      </c>
      <c r="H96" s="7">
        <v>1</v>
      </c>
      <c r="I96" s="7">
        <v>0</v>
      </c>
      <c r="J96" s="9" t="s">
        <v>175</v>
      </c>
      <c r="K96" s="27">
        <v>4900</v>
      </c>
    </row>
    <row r="97" spans="1:11" s="3" customFormat="1" ht="15.95" customHeight="1" x14ac:dyDescent="0.25">
      <c r="B97" s="34"/>
      <c r="C97" s="6" t="s">
        <v>142</v>
      </c>
      <c r="D97" s="6"/>
      <c r="E97" s="7">
        <f t="shared" si="8"/>
        <v>0</v>
      </c>
      <c r="F97" s="7">
        <v>1</v>
      </c>
      <c r="G97" s="7">
        <v>0.2</v>
      </c>
      <c r="H97" s="7">
        <v>1</v>
      </c>
      <c r="I97" s="7">
        <v>0</v>
      </c>
      <c r="J97" s="9" t="s">
        <v>175</v>
      </c>
      <c r="K97" s="27">
        <v>150</v>
      </c>
    </row>
    <row r="98" spans="1:11" s="3" customFormat="1" ht="15.95" customHeight="1" x14ac:dyDescent="0.25">
      <c r="B98" s="26" t="s">
        <v>263</v>
      </c>
      <c r="C98" s="6" t="s">
        <v>123</v>
      </c>
      <c r="D98" s="6"/>
      <c r="E98" s="7">
        <f t="shared" si="8"/>
        <v>0</v>
      </c>
      <c r="F98" s="7">
        <v>1</v>
      </c>
      <c r="G98" s="7">
        <v>0.1</v>
      </c>
      <c r="H98" s="7">
        <v>1</v>
      </c>
      <c r="I98" s="7">
        <v>0</v>
      </c>
      <c r="J98" s="9" t="s">
        <v>120</v>
      </c>
      <c r="K98" s="27">
        <v>98</v>
      </c>
    </row>
    <row r="99" spans="1:11" s="3" customFormat="1" ht="15.95" customHeight="1" x14ac:dyDescent="0.25">
      <c r="B99" s="26" t="s">
        <v>263</v>
      </c>
      <c r="C99" s="6" t="s">
        <v>125</v>
      </c>
      <c r="D99" s="6"/>
      <c r="E99" s="7">
        <f t="shared" si="8"/>
        <v>0</v>
      </c>
      <c r="F99" s="7">
        <v>0</v>
      </c>
      <c r="G99" s="7">
        <v>0</v>
      </c>
      <c r="H99" s="7">
        <v>0</v>
      </c>
      <c r="I99" s="7">
        <v>0</v>
      </c>
      <c r="J99" s="9" t="s">
        <v>175</v>
      </c>
      <c r="K99" s="27">
        <v>54</v>
      </c>
    </row>
    <row r="100" spans="1:11" s="3" customFormat="1" ht="15.95" customHeight="1" x14ac:dyDescent="0.25">
      <c r="B100" s="26" t="s">
        <v>263</v>
      </c>
      <c r="C100" s="6" t="s">
        <v>126</v>
      </c>
      <c r="D100" s="6"/>
      <c r="E100" s="7">
        <f t="shared" si="8"/>
        <v>0</v>
      </c>
      <c r="F100" s="7">
        <v>0</v>
      </c>
      <c r="G100" s="7">
        <v>0</v>
      </c>
      <c r="H100" s="7">
        <v>0</v>
      </c>
      <c r="I100" s="7">
        <v>0</v>
      </c>
      <c r="J100" s="9" t="s">
        <v>175</v>
      </c>
      <c r="K100" s="27">
        <v>50</v>
      </c>
    </row>
    <row r="101" spans="1:11" s="3" customFormat="1" ht="15.95" customHeight="1" x14ac:dyDescent="0.25">
      <c r="B101" s="26" t="s">
        <v>263</v>
      </c>
      <c r="C101" s="6" t="s">
        <v>127</v>
      </c>
      <c r="D101" s="6"/>
      <c r="E101" s="7">
        <f t="shared" si="8"/>
        <v>0</v>
      </c>
      <c r="F101" s="7">
        <v>0</v>
      </c>
      <c r="G101" s="7">
        <v>0</v>
      </c>
      <c r="H101" s="7">
        <v>0</v>
      </c>
      <c r="I101" s="7">
        <v>0</v>
      </c>
      <c r="J101" s="9" t="s">
        <v>175</v>
      </c>
      <c r="K101" s="27">
        <v>40</v>
      </c>
    </row>
    <row r="102" spans="1:11" s="3" customFormat="1" ht="15.95" customHeight="1" x14ac:dyDescent="0.25">
      <c r="C102" s="6" t="s">
        <v>268</v>
      </c>
      <c r="D102" s="6"/>
      <c r="E102" s="7">
        <f>I102*K102</f>
        <v>0</v>
      </c>
      <c r="F102" s="7">
        <v>1</v>
      </c>
      <c r="G102" s="7">
        <v>0</v>
      </c>
      <c r="H102" s="7">
        <v>1</v>
      </c>
      <c r="I102" s="7">
        <v>0</v>
      </c>
      <c r="J102" s="9" t="s">
        <v>120</v>
      </c>
      <c r="K102" s="27">
        <v>65</v>
      </c>
    </row>
    <row r="103" spans="1:11" s="3" customFormat="1" ht="15.95" customHeight="1" x14ac:dyDescent="0.25">
      <c r="C103" s="6" t="s">
        <v>124</v>
      </c>
      <c r="D103" s="6"/>
      <c r="E103" s="7">
        <f t="shared" si="8"/>
        <v>0</v>
      </c>
      <c r="F103" s="7">
        <v>1</v>
      </c>
      <c r="G103" s="7">
        <v>0.5</v>
      </c>
      <c r="H103" s="7">
        <v>1</v>
      </c>
      <c r="I103" s="7">
        <v>0</v>
      </c>
      <c r="J103" s="9" t="s">
        <v>120</v>
      </c>
      <c r="K103" s="27">
        <v>67.5</v>
      </c>
    </row>
    <row r="104" spans="1:11" s="3" customFormat="1" ht="15.95" customHeight="1" x14ac:dyDescent="0.25">
      <c r="C104" s="6" t="s">
        <v>128</v>
      </c>
      <c r="D104" s="6"/>
      <c r="E104" s="7">
        <f t="shared" si="8"/>
        <v>0</v>
      </c>
      <c r="F104" s="7">
        <v>1.5</v>
      </c>
      <c r="G104" s="7">
        <v>1.5</v>
      </c>
      <c r="H104" s="7">
        <v>1.5</v>
      </c>
      <c r="I104" s="7">
        <v>0</v>
      </c>
      <c r="J104" s="9" t="s">
        <v>175</v>
      </c>
      <c r="K104" s="27">
        <v>9000</v>
      </c>
    </row>
    <row r="105" spans="1:11" s="3" customFormat="1" ht="15.95" customHeight="1" x14ac:dyDescent="0.25">
      <c r="C105" s="6" t="s">
        <v>143</v>
      </c>
      <c r="D105" s="6"/>
      <c r="E105" s="7">
        <f>I105*K105</f>
        <v>0</v>
      </c>
      <c r="F105" s="7">
        <v>1</v>
      </c>
      <c r="G105" s="7">
        <v>0</v>
      </c>
      <c r="H105" s="7">
        <v>1</v>
      </c>
      <c r="I105" s="7">
        <v>0</v>
      </c>
      <c r="J105" s="9" t="s">
        <v>175</v>
      </c>
      <c r="K105" s="27">
        <v>50</v>
      </c>
    </row>
    <row r="106" spans="1:11" s="3" customFormat="1" ht="15.95" customHeight="1" x14ac:dyDescent="0.25">
      <c r="A106" s="21" t="s">
        <v>150</v>
      </c>
      <c r="C106" s="22" t="s">
        <v>206</v>
      </c>
      <c r="D106" s="23">
        <f>(E106/4.2)</f>
        <v>0</v>
      </c>
      <c r="E106" s="24">
        <f>SUM(E107:E127)</f>
        <v>0</v>
      </c>
      <c r="F106" s="24"/>
      <c r="G106" s="24"/>
      <c r="H106" s="24"/>
      <c r="I106" s="24"/>
      <c r="J106" s="25"/>
      <c r="K106" s="29"/>
    </row>
    <row r="107" spans="1:11" s="3" customFormat="1" ht="15.95" customHeight="1" x14ac:dyDescent="0.25">
      <c r="C107" s="6" t="s">
        <v>101</v>
      </c>
      <c r="D107" s="6"/>
      <c r="E107" s="7">
        <f t="shared" ref="E107:E127" si="10">I107*K107</f>
        <v>0</v>
      </c>
      <c r="F107" s="11">
        <v>2.5</v>
      </c>
      <c r="G107" s="11">
        <v>1</v>
      </c>
      <c r="H107" s="11">
        <v>1</v>
      </c>
      <c r="I107" s="7">
        <v>0</v>
      </c>
      <c r="J107" s="9" t="s">
        <v>175</v>
      </c>
      <c r="K107" s="27">
        <v>1104</v>
      </c>
    </row>
    <row r="108" spans="1:11" s="3" customFormat="1" ht="15.95" customHeight="1" x14ac:dyDescent="0.25">
      <c r="C108" s="6" t="s">
        <v>102</v>
      </c>
      <c r="D108" s="6"/>
      <c r="E108" s="7">
        <f t="shared" si="10"/>
        <v>0</v>
      </c>
      <c r="F108" s="11">
        <v>2.5</v>
      </c>
      <c r="G108" s="11">
        <v>1</v>
      </c>
      <c r="H108" s="11">
        <v>1</v>
      </c>
      <c r="I108" s="7">
        <v>0</v>
      </c>
      <c r="J108" s="9" t="s">
        <v>175</v>
      </c>
      <c r="K108" s="27">
        <v>2371.3000000000002</v>
      </c>
    </row>
    <row r="109" spans="1:11" s="3" customFormat="1" ht="15.95" customHeight="1" x14ac:dyDescent="0.25">
      <c r="C109" s="6" t="s">
        <v>103</v>
      </c>
      <c r="D109" s="6"/>
      <c r="E109" s="7">
        <f t="shared" si="10"/>
        <v>0</v>
      </c>
      <c r="F109" s="11">
        <v>2.5</v>
      </c>
      <c r="G109" s="11">
        <v>1</v>
      </c>
      <c r="H109" s="11">
        <v>1</v>
      </c>
      <c r="I109" s="7">
        <v>0</v>
      </c>
      <c r="J109" s="9" t="s">
        <v>175</v>
      </c>
      <c r="K109" s="27">
        <v>1506.5</v>
      </c>
    </row>
    <row r="110" spans="1:11" s="3" customFormat="1" ht="15.95" customHeight="1" x14ac:dyDescent="0.25">
      <c r="C110" s="6" t="s">
        <v>104</v>
      </c>
      <c r="D110" s="6"/>
      <c r="E110" s="7">
        <f t="shared" si="10"/>
        <v>0</v>
      </c>
      <c r="F110" s="11">
        <v>4.5</v>
      </c>
      <c r="G110" s="11">
        <v>1</v>
      </c>
      <c r="H110" s="11">
        <v>1</v>
      </c>
      <c r="I110" s="7">
        <v>0</v>
      </c>
      <c r="J110" s="9" t="s">
        <v>175</v>
      </c>
      <c r="K110" s="27">
        <v>1269.5999999999999</v>
      </c>
    </row>
    <row r="111" spans="1:11" s="3" customFormat="1" ht="15.95" customHeight="1" x14ac:dyDescent="0.25">
      <c r="C111" s="6" t="s">
        <v>198</v>
      </c>
      <c r="D111" s="6"/>
      <c r="E111" s="7">
        <f t="shared" si="10"/>
        <v>0</v>
      </c>
      <c r="F111" s="11">
        <v>2.5</v>
      </c>
      <c r="G111" s="11">
        <v>1</v>
      </c>
      <c r="H111" s="11">
        <v>1</v>
      </c>
      <c r="I111" s="7">
        <v>0</v>
      </c>
      <c r="J111" s="9" t="s">
        <v>175</v>
      </c>
      <c r="K111" s="27">
        <v>2536.9</v>
      </c>
    </row>
    <row r="112" spans="1:11" s="3" customFormat="1" ht="15.95" customHeight="1" x14ac:dyDescent="0.25">
      <c r="C112" s="6" t="s">
        <v>105</v>
      </c>
      <c r="D112" s="6"/>
      <c r="E112" s="7">
        <f t="shared" si="10"/>
        <v>0</v>
      </c>
      <c r="F112" s="11">
        <v>4.5</v>
      </c>
      <c r="G112" s="11">
        <v>1</v>
      </c>
      <c r="H112" s="11">
        <v>1</v>
      </c>
      <c r="I112" s="7">
        <v>0</v>
      </c>
      <c r="J112" s="9" t="s">
        <v>175</v>
      </c>
      <c r="K112" s="27">
        <v>1780.2</v>
      </c>
    </row>
    <row r="113" spans="1:11" s="3" customFormat="1" ht="15.95" customHeight="1" x14ac:dyDescent="0.25">
      <c r="C113" s="6" t="s">
        <v>166</v>
      </c>
      <c r="D113" s="6"/>
      <c r="E113" s="7">
        <f t="shared" si="10"/>
        <v>0</v>
      </c>
      <c r="F113" s="11">
        <v>4</v>
      </c>
      <c r="G113" s="11">
        <v>0.5</v>
      </c>
      <c r="H113" s="11">
        <v>1</v>
      </c>
      <c r="I113" s="7">
        <v>0</v>
      </c>
      <c r="J113" s="9" t="s">
        <v>175</v>
      </c>
      <c r="K113" s="27">
        <v>2500</v>
      </c>
    </row>
    <row r="114" spans="1:11" s="3" customFormat="1" ht="15.95" customHeight="1" x14ac:dyDescent="0.25">
      <c r="C114" s="6" t="s">
        <v>207</v>
      </c>
      <c r="D114" s="6"/>
      <c r="E114" s="7">
        <f t="shared" si="10"/>
        <v>0</v>
      </c>
      <c r="F114" s="11">
        <v>1.5</v>
      </c>
      <c r="G114" s="11">
        <v>0.4</v>
      </c>
      <c r="H114" s="11">
        <v>1</v>
      </c>
      <c r="I114" s="7">
        <v>0</v>
      </c>
      <c r="J114" s="9" t="s">
        <v>175</v>
      </c>
      <c r="K114" s="27">
        <v>680</v>
      </c>
    </row>
    <row r="115" spans="1:11" s="3" customFormat="1" ht="15.95" customHeight="1" x14ac:dyDescent="0.25">
      <c r="C115" s="6" t="s">
        <v>208</v>
      </c>
      <c r="D115" s="6"/>
      <c r="E115" s="7">
        <f t="shared" si="10"/>
        <v>0</v>
      </c>
      <c r="F115" s="11">
        <v>1</v>
      </c>
      <c r="G115" s="11">
        <v>0.5</v>
      </c>
      <c r="H115" s="11">
        <v>0.9</v>
      </c>
      <c r="I115" s="7">
        <v>0</v>
      </c>
      <c r="J115" s="9" t="s">
        <v>175</v>
      </c>
      <c r="K115" s="27">
        <v>800</v>
      </c>
    </row>
    <row r="116" spans="1:11" s="3" customFormat="1" ht="15.95" customHeight="1" x14ac:dyDescent="0.25">
      <c r="C116" s="6" t="s">
        <v>209</v>
      </c>
      <c r="D116" s="6"/>
      <c r="E116" s="7">
        <f t="shared" si="10"/>
        <v>0</v>
      </c>
      <c r="F116" s="11">
        <v>2.4</v>
      </c>
      <c r="G116" s="11">
        <v>0.4</v>
      </c>
      <c r="H116" s="11">
        <v>1</v>
      </c>
      <c r="I116" s="7">
        <v>0</v>
      </c>
      <c r="J116" s="9" t="s">
        <v>175</v>
      </c>
      <c r="K116" s="27">
        <v>910</v>
      </c>
    </row>
    <row r="117" spans="1:11" s="3" customFormat="1" ht="15.95" customHeight="1" x14ac:dyDescent="0.25">
      <c r="C117" s="6" t="s">
        <v>210</v>
      </c>
      <c r="D117" s="6"/>
      <c r="E117" s="7">
        <f t="shared" si="10"/>
        <v>0</v>
      </c>
      <c r="F117" s="11">
        <v>1.2</v>
      </c>
      <c r="G117" s="11">
        <v>0.4</v>
      </c>
      <c r="H117" s="11">
        <v>1</v>
      </c>
      <c r="I117" s="7">
        <v>0</v>
      </c>
      <c r="J117" s="9" t="s">
        <v>175</v>
      </c>
      <c r="K117" s="27">
        <v>650</v>
      </c>
    </row>
    <row r="118" spans="1:11" s="3" customFormat="1" ht="15.95" customHeight="1" x14ac:dyDescent="0.25">
      <c r="C118" s="6" t="s">
        <v>211</v>
      </c>
      <c r="D118" s="6"/>
      <c r="E118" s="7">
        <f t="shared" si="10"/>
        <v>0</v>
      </c>
      <c r="F118" s="11">
        <v>0.5</v>
      </c>
      <c r="G118" s="11">
        <v>0.5</v>
      </c>
      <c r="H118" s="11">
        <v>1</v>
      </c>
      <c r="I118" s="7">
        <v>0</v>
      </c>
      <c r="J118" s="9" t="s">
        <v>175</v>
      </c>
      <c r="K118" s="27">
        <v>747.5</v>
      </c>
    </row>
    <row r="119" spans="1:11" s="3" customFormat="1" ht="15.95" customHeight="1" x14ac:dyDescent="0.25">
      <c r="C119" s="6" t="s">
        <v>212</v>
      </c>
      <c r="D119" s="6"/>
      <c r="E119" s="7">
        <f t="shared" si="10"/>
        <v>0</v>
      </c>
      <c r="F119" s="11">
        <v>0.5</v>
      </c>
      <c r="G119" s="11">
        <v>0.5</v>
      </c>
      <c r="H119" s="11">
        <v>1</v>
      </c>
      <c r="I119" s="7">
        <v>0</v>
      </c>
      <c r="J119" s="9" t="s">
        <v>175</v>
      </c>
      <c r="K119" s="27">
        <v>1092.5</v>
      </c>
    </row>
    <row r="120" spans="1:11" s="3" customFormat="1" ht="15.95" customHeight="1" x14ac:dyDescent="0.25">
      <c r="B120" s="26" t="s">
        <v>263</v>
      </c>
      <c r="C120" s="6" t="s">
        <v>129</v>
      </c>
      <c r="D120" s="6"/>
      <c r="E120" s="7">
        <f t="shared" si="10"/>
        <v>0</v>
      </c>
      <c r="F120" s="11">
        <v>0.5</v>
      </c>
      <c r="G120" s="11">
        <v>0.5</v>
      </c>
      <c r="H120" s="11">
        <v>2</v>
      </c>
      <c r="I120" s="7">
        <v>0</v>
      </c>
      <c r="J120" s="9" t="s">
        <v>175</v>
      </c>
      <c r="K120" s="27">
        <v>270</v>
      </c>
    </row>
    <row r="121" spans="1:11" s="3" customFormat="1" ht="15.95" customHeight="1" x14ac:dyDescent="0.25">
      <c r="C121" s="6" t="s">
        <v>134</v>
      </c>
      <c r="D121" s="6"/>
      <c r="E121" s="7">
        <f t="shared" si="10"/>
        <v>0</v>
      </c>
      <c r="F121" s="11">
        <v>2.1</v>
      </c>
      <c r="G121" s="11">
        <v>2</v>
      </c>
      <c r="H121" s="11">
        <v>0.9</v>
      </c>
      <c r="I121" s="7">
        <v>0</v>
      </c>
      <c r="J121" s="9" t="s">
        <v>175</v>
      </c>
      <c r="K121" s="27">
        <v>940</v>
      </c>
    </row>
    <row r="122" spans="1:11" s="3" customFormat="1" ht="15.95" customHeight="1" x14ac:dyDescent="0.25">
      <c r="C122" s="6" t="s">
        <v>135</v>
      </c>
      <c r="D122" s="6"/>
      <c r="E122" s="7">
        <f t="shared" si="10"/>
        <v>0</v>
      </c>
      <c r="F122" s="11">
        <v>0.45</v>
      </c>
      <c r="G122" s="11">
        <v>0.45</v>
      </c>
      <c r="H122" s="11">
        <v>0.5</v>
      </c>
      <c r="I122" s="7">
        <v>0</v>
      </c>
      <c r="J122" s="9" t="s">
        <v>175</v>
      </c>
      <c r="K122" s="27">
        <v>235</v>
      </c>
    </row>
    <row r="123" spans="1:11" s="3" customFormat="1" ht="15.95" customHeight="1" x14ac:dyDescent="0.25">
      <c r="C123" s="6" t="s">
        <v>136</v>
      </c>
      <c r="D123" s="6"/>
      <c r="E123" s="7">
        <f t="shared" si="10"/>
        <v>0</v>
      </c>
      <c r="F123" s="11">
        <v>1.1000000000000001</v>
      </c>
      <c r="G123" s="11">
        <v>0.35</v>
      </c>
      <c r="H123" s="11">
        <v>1.8</v>
      </c>
      <c r="I123" s="7">
        <v>0</v>
      </c>
      <c r="J123" s="9" t="s">
        <v>175</v>
      </c>
      <c r="K123" s="27">
        <v>141</v>
      </c>
    </row>
    <row r="124" spans="1:11" s="3" customFormat="1" ht="15.95" customHeight="1" x14ac:dyDescent="0.25">
      <c r="B124" s="26" t="s">
        <v>263</v>
      </c>
      <c r="C124" s="6" t="s">
        <v>58</v>
      </c>
      <c r="D124" s="6"/>
      <c r="E124" s="7">
        <f t="shared" si="10"/>
        <v>0</v>
      </c>
      <c r="F124" s="11"/>
      <c r="G124" s="11"/>
      <c r="H124" s="11"/>
      <c r="I124" s="7">
        <v>0</v>
      </c>
      <c r="J124" s="9" t="s">
        <v>175</v>
      </c>
      <c r="K124" s="27">
        <v>50</v>
      </c>
    </row>
    <row r="125" spans="1:11" s="3" customFormat="1" ht="15.95" customHeight="1" x14ac:dyDescent="0.25">
      <c r="C125" s="6" t="s">
        <v>139</v>
      </c>
      <c r="D125" s="6"/>
      <c r="E125" s="7">
        <f t="shared" si="10"/>
        <v>0</v>
      </c>
      <c r="F125" s="11">
        <v>1</v>
      </c>
      <c r="G125" s="11">
        <v>0.1</v>
      </c>
      <c r="H125" s="11">
        <v>1</v>
      </c>
      <c r="I125" s="7">
        <v>0</v>
      </c>
      <c r="J125" s="9" t="s">
        <v>120</v>
      </c>
      <c r="K125" s="27">
        <v>92</v>
      </c>
    </row>
    <row r="126" spans="1:11" s="3" customFormat="1" ht="15.95" customHeight="1" x14ac:dyDescent="0.25">
      <c r="C126" s="6" t="s">
        <v>213</v>
      </c>
      <c r="D126" s="6"/>
      <c r="E126" s="7">
        <f t="shared" si="10"/>
        <v>0</v>
      </c>
      <c r="F126" s="11">
        <v>0.5</v>
      </c>
      <c r="G126" s="11">
        <v>0.5</v>
      </c>
      <c r="H126" s="11">
        <v>0.5</v>
      </c>
      <c r="I126" s="7">
        <v>0</v>
      </c>
      <c r="J126" s="9" t="s">
        <v>175</v>
      </c>
      <c r="K126" s="27">
        <v>747.5</v>
      </c>
    </row>
    <row r="127" spans="1:11" s="3" customFormat="1" ht="15.95" customHeight="1" x14ac:dyDescent="0.25">
      <c r="C127" s="6" t="s">
        <v>187</v>
      </c>
      <c r="D127" s="6"/>
      <c r="E127" s="7">
        <f t="shared" si="10"/>
        <v>0</v>
      </c>
      <c r="F127" s="11">
        <v>0.84</v>
      </c>
      <c r="G127" s="11">
        <v>0.84</v>
      </c>
      <c r="H127" s="11">
        <v>2.1</v>
      </c>
      <c r="I127" s="7">
        <v>0</v>
      </c>
      <c r="J127" s="9" t="s">
        <v>175</v>
      </c>
      <c r="K127" s="27">
        <v>1610</v>
      </c>
    </row>
    <row r="128" spans="1:11" s="3" customFormat="1" ht="15.95" customHeight="1" x14ac:dyDescent="0.25">
      <c r="A128" s="21" t="s">
        <v>152</v>
      </c>
      <c r="C128" s="22" t="s">
        <v>214</v>
      </c>
      <c r="D128" s="23">
        <f>(E128/4.2)</f>
        <v>0</v>
      </c>
      <c r="E128" s="24">
        <f>SUM(E129:E138)</f>
        <v>0</v>
      </c>
      <c r="F128" s="24"/>
      <c r="G128" s="24"/>
      <c r="H128" s="24"/>
      <c r="I128" s="24"/>
      <c r="J128" s="25"/>
      <c r="K128" s="29"/>
    </row>
    <row r="129" spans="1:11" s="3" customFormat="1" ht="15.95" customHeight="1" x14ac:dyDescent="0.25">
      <c r="B129" s="26" t="s">
        <v>263</v>
      </c>
      <c r="C129" s="6" t="s">
        <v>52</v>
      </c>
      <c r="D129" s="6"/>
      <c r="E129" s="7">
        <f>I129*K129</f>
        <v>0</v>
      </c>
      <c r="F129" s="11"/>
      <c r="G129" s="11"/>
      <c r="H129" s="11"/>
      <c r="I129" s="7">
        <v>0</v>
      </c>
      <c r="J129" s="9" t="s">
        <v>175</v>
      </c>
      <c r="K129" s="27">
        <v>150</v>
      </c>
    </row>
    <row r="130" spans="1:11" s="3" customFormat="1" ht="15.95" customHeight="1" x14ac:dyDescent="0.25">
      <c r="B130" s="26" t="s">
        <v>263</v>
      </c>
      <c r="C130" s="6" t="s">
        <v>53</v>
      </c>
      <c r="D130" s="6"/>
      <c r="E130" s="7">
        <f>I130*K130</f>
        <v>0</v>
      </c>
      <c r="F130" s="11"/>
      <c r="G130" s="11"/>
      <c r="H130" s="11"/>
      <c r="I130" s="7">
        <v>0</v>
      </c>
      <c r="J130" s="9" t="s">
        <v>175</v>
      </c>
      <c r="K130" s="27">
        <v>200</v>
      </c>
    </row>
    <row r="131" spans="1:11" s="3" customFormat="1" ht="15.95" customHeight="1" x14ac:dyDescent="0.25">
      <c r="B131" s="26" t="s">
        <v>263</v>
      </c>
      <c r="C131" s="6" t="s">
        <v>75</v>
      </c>
      <c r="D131" s="6"/>
      <c r="E131" s="7">
        <f>I131*K131</f>
        <v>0</v>
      </c>
      <c r="F131" s="11">
        <v>1</v>
      </c>
      <c r="G131" s="11">
        <v>0</v>
      </c>
      <c r="H131" s="11">
        <v>2</v>
      </c>
      <c r="I131" s="7">
        <v>0</v>
      </c>
      <c r="J131" s="9" t="s">
        <v>175</v>
      </c>
      <c r="K131" s="27">
        <v>500</v>
      </c>
    </row>
    <row r="132" spans="1:11" s="3" customFormat="1" ht="15.95" customHeight="1" x14ac:dyDescent="0.25">
      <c r="C132" s="6" t="s">
        <v>55</v>
      </c>
      <c r="D132" s="6"/>
      <c r="E132" s="7">
        <f>I132*K132</f>
        <v>0</v>
      </c>
      <c r="F132" s="11">
        <v>1</v>
      </c>
      <c r="G132" s="11">
        <v>1</v>
      </c>
      <c r="H132" s="11"/>
      <c r="I132" s="7">
        <v>0</v>
      </c>
      <c r="J132" s="9" t="s">
        <v>120</v>
      </c>
      <c r="K132" s="27">
        <v>55</v>
      </c>
    </row>
    <row r="133" spans="1:11" s="3" customFormat="1" ht="15.95" customHeight="1" x14ac:dyDescent="0.25">
      <c r="C133" s="6" t="s">
        <v>78</v>
      </c>
      <c r="D133" s="6"/>
      <c r="E133" s="7">
        <f t="shared" ref="E133" si="11">I133*K133</f>
        <v>0</v>
      </c>
      <c r="F133" s="11">
        <v>1</v>
      </c>
      <c r="G133" s="11">
        <v>0</v>
      </c>
      <c r="H133" s="11">
        <v>1</v>
      </c>
      <c r="I133" s="7">
        <v>0</v>
      </c>
      <c r="J133" s="9" t="s">
        <v>175</v>
      </c>
      <c r="K133" s="27">
        <v>50</v>
      </c>
    </row>
    <row r="134" spans="1:11" s="3" customFormat="1" ht="15.95" customHeight="1" x14ac:dyDescent="0.25">
      <c r="C134" s="6" t="s">
        <v>20</v>
      </c>
      <c r="D134" s="6"/>
      <c r="E134" s="7">
        <f t="shared" ref="E134:E138" si="12">I134*K134</f>
        <v>0</v>
      </c>
      <c r="F134" s="11">
        <v>2</v>
      </c>
      <c r="G134" s="11">
        <v>0.2</v>
      </c>
      <c r="H134" s="11">
        <v>0.2</v>
      </c>
      <c r="I134" s="7">
        <v>0</v>
      </c>
      <c r="J134" s="9" t="s">
        <v>175</v>
      </c>
      <c r="K134" s="27">
        <v>575</v>
      </c>
    </row>
    <row r="135" spans="1:11" s="3" customFormat="1" ht="15.95" customHeight="1" x14ac:dyDescent="0.25">
      <c r="C135" s="6" t="s">
        <v>180</v>
      </c>
      <c r="D135" s="6"/>
      <c r="E135" s="7">
        <f t="shared" si="12"/>
        <v>0</v>
      </c>
      <c r="F135" s="11">
        <v>1</v>
      </c>
      <c r="G135" s="11">
        <v>1</v>
      </c>
      <c r="H135" s="11">
        <v>0</v>
      </c>
      <c r="I135" s="7">
        <v>0</v>
      </c>
      <c r="J135" s="9" t="s">
        <v>120</v>
      </c>
      <c r="K135" s="27">
        <v>95</v>
      </c>
    </row>
    <row r="136" spans="1:11" s="3" customFormat="1" ht="15.95" customHeight="1" x14ac:dyDescent="0.25">
      <c r="C136" s="6" t="s">
        <v>171</v>
      </c>
      <c r="D136" s="6"/>
      <c r="E136" s="7">
        <f t="shared" si="12"/>
        <v>0</v>
      </c>
      <c r="F136" s="11">
        <v>1</v>
      </c>
      <c r="G136" s="11">
        <v>0.1</v>
      </c>
      <c r="H136" s="11">
        <v>1</v>
      </c>
      <c r="I136" s="7">
        <v>0</v>
      </c>
      <c r="J136" s="9" t="s">
        <v>120</v>
      </c>
      <c r="K136" s="27">
        <v>350</v>
      </c>
    </row>
    <row r="137" spans="1:11" s="3" customFormat="1" ht="15.95" customHeight="1" x14ac:dyDescent="0.25">
      <c r="C137" s="6" t="s">
        <v>172</v>
      </c>
      <c r="D137" s="6"/>
      <c r="E137" s="7">
        <f t="shared" si="12"/>
        <v>0</v>
      </c>
      <c r="F137" s="11">
        <v>1</v>
      </c>
      <c r="G137" s="11">
        <v>0.1</v>
      </c>
      <c r="H137" s="11">
        <v>1</v>
      </c>
      <c r="I137" s="7">
        <v>0</v>
      </c>
      <c r="J137" s="9" t="s">
        <v>120</v>
      </c>
      <c r="K137" s="27">
        <v>135</v>
      </c>
    </row>
    <row r="138" spans="1:11" s="3" customFormat="1" ht="15.95" customHeight="1" x14ac:dyDescent="0.25">
      <c r="C138" s="6" t="s">
        <v>173</v>
      </c>
      <c r="D138" s="6"/>
      <c r="E138" s="7">
        <f t="shared" si="12"/>
        <v>0</v>
      </c>
      <c r="F138" s="11">
        <v>1</v>
      </c>
      <c r="G138" s="11">
        <v>0.1</v>
      </c>
      <c r="H138" s="11">
        <v>1</v>
      </c>
      <c r="I138" s="7">
        <v>0</v>
      </c>
      <c r="J138" s="9" t="s">
        <v>120</v>
      </c>
      <c r="K138" s="27">
        <v>160</v>
      </c>
    </row>
    <row r="139" spans="1:11" s="3" customFormat="1" ht="15.95" customHeight="1" x14ac:dyDescent="0.25">
      <c r="A139" s="21" t="s">
        <v>151</v>
      </c>
      <c r="C139" s="22" t="s">
        <v>215</v>
      </c>
      <c r="D139" s="23">
        <f>(E139/4.2)</f>
        <v>0</v>
      </c>
      <c r="E139" s="24">
        <f>SUM(E140:E146)</f>
        <v>0</v>
      </c>
      <c r="F139" s="24"/>
      <c r="G139" s="24"/>
      <c r="H139" s="24"/>
      <c r="I139" s="24"/>
      <c r="J139" s="25"/>
      <c r="K139" s="29"/>
    </row>
    <row r="140" spans="1:11" s="3" customFormat="1" ht="15.95" customHeight="1" x14ac:dyDescent="0.25">
      <c r="C140" s="6" t="s">
        <v>21</v>
      </c>
      <c r="D140" s="6"/>
      <c r="E140" s="7">
        <f t="shared" ref="E140:E146" si="13">I140*K140</f>
        <v>0</v>
      </c>
      <c r="F140" s="11">
        <v>2</v>
      </c>
      <c r="G140" s="11">
        <v>0.2</v>
      </c>
      <c r="H140" s="11">
        <v>0.2</v>
      </c>
      <c r="I140" s="7">
        <v>0</v>
      </c>
      <c r="J140" s="9" t="s">
        <v>175</v>
      </c>
      <c r="K140" s="27">
        <v>460</v>
      </c>
    </row>
    <row r="141" spans="1:11" s="3" customFormat="1" ht="15.95" customHeight="1" x14ac:dyDescent="0.25">
      <c r="C141" s="6" t="s">
        <v>90</v>
      </c>
      <c r="D141" s="6"/>
      <c r="E141" s="7">
        <f t="shared" si="13"/>
        <v>0</v>
      </c>
      <c r="F141" s="11">
        <v>6</v>
      </c>
      <c r="G141" s="11">
        <v>0.2</v>
      </c>
      <c r="H141" s="11">
        <v>1</v>
      </c>
      <c r="I141" s="7">
        <v>0</v>
      </c>
      <c r="J141" s="9" t="s">
        <v>175</v>
      </c>
      <c r="K141" s="27">
        <v>920</v>
      </c>
    </row>
    <row r="142" spans="1:11" s="3" customFormat="1" ht="15.95" customHeight="1" x14ac:dyDescent="0.25">
      <c r="C142" s="6" t="s">
        <v>189</v>
      </c>
      <c r="D142" s="6"/>
      <c r="E142" s="7">
        <f t="shared" si="13"/>
        <v>0</v>
      </c>
      <c r="F142" s="11">
        <v>0</v>
      </c>
      <c r="G142" s="11">
        <v>0</v>
      </c>
      <c r="H142" s="11">
        <v>0</v>
      </c>
      <c r="I142" s="7">
        <v>0</v>
      </c>
      <c r="J142" s="9" t="s">
        <v>175</v>
      </c>
      <c r="K142" s="27">
        <v>10</v>
      </c>
    </row>
    <row r="143" spans="1:11" s="3" customFormat="1" ht="15.95" customHeight="1" x14ac:dyDescent="0.25">
      <c r="C143" s="6" t="s">
        <v>56</v>
      </c>
      <c r="D143" s="6"/>
      <c r="E143" s="7">
        <f t="shared" si="13"/>
        <v>0</v>
      </c>
      <c r="F143" s="11">
        <v>0</v>
      </c>
      <c r="G143" s="11">
        <v>0</v>
      </c>
      <c r="H143" s="11">
        <v>0</v>
      </c>
      <c r="I143" s="7">
        <v>0</v>
      </c>
      <c r="J143" s="9" t="s">
        <v>175</v>
      </c>
      <c r="K143" s="27">
        <v>100</v>
      </c>
    </row>
    <row r="144" spans="1:11" s="3" customFormat="1" ht="15.95" customHeight="1" x14ac:dyDescent="0.25">
      <c r="B144" s="26" t="s">
        <v>263</v>
      </c>
      <c r="C144" s="6" t="s">
        <v>76</v>
      </c>
      <c r="D144" s="6"/>
      <c r="E144" s="7">
        <f t="shared" si="13"/>
        <v>0</v>
      </c>
      <c r="F144" s="7">
        <v>0.5</v>
      </c>
      <c r="G144" s="7">
        <v>0.5</v>
      </c>
      <c r="H144" s="11"/>
      <c r="I144" s="11">
        <v>0</v>
      </c>
      <c r="J144" s="9" t="s">
        <v>120</v>
      </c>
      <c r="K144" s="27">
        <v>100</v>
      </c>
    </row>
    <row r="145" spans="2:11" s="3" customFormat="1" ht="15.95" customHeight="1" x14ac:dyDescent="0.25">
      <c r="C145" s="6" t="s">
        <v>95</v>
      </c>
      <c r="D145" s="6"/>
      <c r="E145" s="7">
        <f t="shared" si="13"/>
        <v>0</v>
      </c>
      <c r="F145" s="7"/>
      <c r="G145" s="7"/>
      <c r="H145" s="7"/>
      <c r="I145" s="7">
        <v>0</v>
      </c>
      <c r="J145" s="9" t="s">
        <v>175</v>
      </c>
      <c r="K145" s="27">
        <v>100</v>
      </c>
    </row>
    <row r="146" spans="2:11" s="3" customFormat="1" ht="15.95" customHeight="1" x14ac:dyDescent="0.25">
      <c r="C146" s="6" t="s">
        <v>262</v>
      </c>
      <c r="D146" s="6"/>
      <c r="E146" s="7">
        <f t="shared" si="13"/>
        <v>0</v>
      </c>
      <c r="F146" s="7"/>
      <c r="G146" s="7"/>
      <c r="H146" s="7"/>
      <c r="I146" s="7">
        <v>0</v>
      </c>
      <c r="J146" s="9" t="s">
        <v>175</v>
      </c>
      <c r="K146" s="27">
        <v>80</v>
      </c>
    </row>
    <row r="147" spans="2:11" s="3" customFormat="1" ht="15.95" customHeight="1" x14ac:dyDescent="0.25">
      <c r="C147" s="22" t="s">
        <v>141</v>
      </c>
      <c r="D147" s="23">
        <f>(E147/4.2)</f>
        <v>0</v>
      </c>
      <c r="E147" s="24">
        <f>SUM(E148:E160)</f>
        <v>0</v>
      </c>
      <c r="F147" s="24"/>
      <c r="G147" s="24"/>
      <c r="H147" s="24"/>
      <c r="I147" s="24"/>
      <c r="J147" s="25"/>
      <c r="K147" s="29"/>
    </row>
    <row r="148" spans="2:11" s="3" customFormat="1" ht="15.95" customHeight="1" x14ac:dyDescent="0.25">
      <c r="B148" s="26" t="s">
        <v>263</v>
      </c>
      <c r="C148" s="6" t="s">
        <v>19</v>
      </c>
      <c r="D148" s="6"/>
      <c r="E148" s="7">
        <f>I148*K148</f>
        <v>0</v>
      </c>
      <c r="F148" s="7"/>
      <c r="G148" s="7"/>
      <c r="H148" s="7"/>
      <c r="I148" s="7">
        <v>0</v>
      </c>
      <c r="J148" s="9" t="s">
        <v>175</v>
      </c>
      <c r="K148" s="27">
        <v>50</v>
      </c>
    </row>
    <row r="149" spans="2:11" s="3" customFormat="1" ht="15.95" customHeight="1" x14ac:dyDescent="0.25">
      <c r="B149" s="26" t="s">
        <v>263</v>
      </c>
      <c r="C149" s="6" t="s">
        <v>65</v>
      </c>
      <c r="D149" s="6"/>
      <c r="E149" s="7">
        <f t="shared" ref="E149:E153" si="14">I149*K149</f>
        <v>0</v>
      </c>
      <c r="F149" s="7"/>
      <c r="G149" s="7"/>
      <c r="H149" s="7"/>
      <c r="I149" s="7">
        <v>0</v>
      </c>
      <c r="J149" s="9" t="s">
        <v>175</v>
      </c>
      <c r="K149" s="27">
        <v>200</v>
      </c>
    </row>
    <row r="150" spans="2:11" s="3" customFormat="1" ht="15.95" customHeight="1" x14ac:dyDescent="0.25">
      <c r="B150" s="26" t="s">
        <v>263</v>
      </c>
      <c r="C150" s="6" t="s">
        <v>66</v>
      </c>
      <c r="D150" s="6"/>
      <c r="E150" s="7">
        <f t="shared" si="14"/>
        <v>0</v>
      </c>
      <c r="F150" s="7"/>
      <c r="G150" s="7"/>
      <c r="H150" s="7"/>
      <c r="I150" s="7">
        <v>0</v>
      </c>
      <c r="J150" s="9" t="s">
        <v>175</v>
      </c>
      <c r="K150" s="27">
        <v>300</v>
      </c>
    </row>
    <row r="151" spans="2:11" s="3" customFormat="1" ht="15.95" customHeight="1" x14ac:dyDescent="0.25">
      <c r="C151" s="6" t="s">
        <v>86</v>
      </c>
      <c r="D151" s="6"/>
      <c r="E151" s="7">
        <f t="shared" si="14"/>
        <v>0</v>
      </c>
      <c r="F151" s="7"/>
      <c r="G151" s="7"/>
      <c r="H151" s="7"/>
      <c r="I151" s="7">
        <v>0</v>
      </c>
      <c r="J151" s="9" t="s">
        <v>175</v>
      </c>
      <c r="K151" s="27">
        <v>100</v>
      </c>
    </row>
    <row r="152" spans="2:11" s="3" customFormat="1" ht="15.95" customHeight="1" x14ac:dyDescent="0.25">
      <c r="C152" s="6" t="s">
        <v>87</v>
      </c>
      <c r="D152" s="6"/>
      <c r="E152" s="7">
        <f t="shared" si="14"/>
        <v>0</v>
      </c>
      <c r="F152" s="7"/>
      <c r="G152" s="7"/>
      <c r="H152" s="7"/>
      <c r="I152" s="7">
        <v>0</v>
      </c>
      <c r="J152" s="9" t="s">
        <v>175</v>
      </c>
      <c r="K152" s="27">
        <v>60</v>
      </c>
    </row>
    <row r="153" spans="2:11" s="3" customFormat="1" ht="15.95" customHeight="1" x14ac:dyDescent="0.25">
      <c r="B153" s="26" t="s">
        <v>263</v>
      </c>
      <c r="C153" s="6" t="s">
        <v>67</v>
      </c>
      <c r="D153" s="6"/>
      <c r="E153" s="7">
        <f t="shared" si="14"/>
        <v>0</v>
      </c>
      <c r="F153" s="7"/>
      <c r="G153" s="7"/>
      <c r="H153" s="7"/>
      <c r="I153" s="7">
        <v>0</v>
      </c>
      <c r="J153" s="9" t="s">
        <v>175</v>
      </c>
      <c r="K153" s="27">
        <v>40</v>
      </c>
    </row>
    <row r="154" spans="2:11" s="3" customFormat="1" ht="15.95" customHeight="1" x14ac:dyDescent="0.25">
      <c r="B154" s="26" t="s">
        <v>263</v>
      </c>
      <c r="C154" s="6" t="s">
        <v>18</v>
      </c>
      <c r="D154" s="6"/>
      <c r="E154" s="7">
        <f t="shared" ref="E154:E160" si="15">I154*K154</f>
        <v>0</v>
      </c>
      <c r="F154" s="7"/>
      <c r="G154" s="7"/>
      <c r="H154" s="7"/>
      <c r="I154" s="7">
        <v>0</v>
      </c>
      <c r="J154" s="9" t="s">
        <v>175</v>
      </c>
      <c r="K154" s="27">
        <v>40</v>
      </c>
    </row>
    <row r="155" spans="2:11" s="3" customFormat="1" ht="15.95" customHeight="1" x14ac:dyDescent="0.25">
      <c r="C155" s="6" t="s">
        <v>54</v>
      </c>
      <c r="D155" s="6"/>
      <c r="E155" s="7">
        <f t="shared" si="15"/>
        <v>0</v>
      </c>
      <c r="F155" s="11"/>
      <c r="G155" s="11"/>
      <c r="H155" s="11"/>
      <c r="I155" s="7">
        <v>0</v>
      </c>
      <c r="J155" s="9" t="s">
        <v>175</v>
      </c>
      <c r="K155" s="27">
        <v>20</v>
      </c>
    </row>
    <row r="156" spans="2:11" s="3" customFormat="1" ht="15.95" customHeight="1" x14ac:dyDescent="0.25">
      <c r="B156" s="26" t="s">
        <v>263</v>
      </c>
      <c r="C156" s="6" t="s">
        <v>17</v>
      </c>
      <c r="D156" s="6"/>
      <c r="E156" s="7">
        <f t="shared" si="15"/>
        <v>0</v>
      </c>
      <c r="F156" s="7"/>
      <c r="G156" s="7"/>
      <c r="H156" s="7"/>
      <c r="I156" s="7">
        <v>0</v>
      </c>
      <c r="J156" s="9" t="s">
        <v>175</v>
      </c>
      <c r="K156" s="27">
        <v>50</v>
      </c>
    </row>
    <row r="157" spans="2:11" s="3" customFormat="1" ht="15.95" customHeight="1" x14ac:dyDescent="0.25">
      <c r="C157" s="6" t="s">
        <v>59</v>
      </c>
      <c r="D157" s="6"/>
      <c r="E157" s="7">
        <f t="shared" si="15"/>
        <v>0</v>
      </c>
      <c r="F157" s="7"/>
      <c r="G157" s="7"/>
      <c r="H157" s="7"/>
      <c r="I157" s="7">
        <v>0</v>
      </c>
      <c r="J157" s="9" t="s">
        <v>175</v>
      </c>
      <c r="K157" s="27">
        <v>20</v>
      </c>
    </row>
    <row r="158" spans="2:11" s="3" customFormat="1" ht="15.95" customHeight="1" x14ac:dyDescent="0.25">
      <c r="C158" s="6" t="s">
        <v>16</v>
      </c>
      <c r="D158" s="6"/>
      <c r="E158" s="7">
        <f t="shared" si="15"/>
        <v>0</v>
      </c>
      <c r="F158" s="7"/>
      <c r="G158" s="7"/>
      <c r="H158" s="7"/>
      <c r="I158" s="7">
        <v>0</v>
      </c>
      <c r="J158" s="9" t="s">
        <v>175</v>
      </c>
      <c r="K158" s="27">
        <v>10</v>
      </c>
    </row>
    <row r="159" spans="2:11" ht="15.95" customHeight="1" x14ac:dyDescent="0.25">
      <c r="C159" s="6" t="s">
        <v>197</v>
      </c>
      <c r="D159" s="6"/>
      <c r="E159" s="7">
        <f t="shared" si="15"/>
        <v>0</v>
      </c>
      <c r="F159" s="7"/>
      <c r="G159" s="7"/>
      <c r="H159" s="7"/>
      <c r="I159" s="7">
        <v>0</v>
      </c>
      <c r="J159" s="9" t="s">
        <v>159</v>
      </c>
      <c r="K159" s="27">
        <v>17</v>
      </c>
    </row>
    <row r="160" spans="2:11" s="3" customFormat="1" ht="15.95" customHeight="1" x14ac:dyDescent="0.25">
      <c r="C160" s="6" t="s">
        <v>167</v>
      </c>
      <c r="D160" s="6"/>
      <c r="E160" s="7">
        <f t="shared" si="15"/>
        <v>0</v>
      </c>
      <c r="F160" s="7"/>
      <c r="G160" s="7"/>
      <c r="H160" s="7"/>
      <c r="I160" s="7">
        <v>0</v>
      </c>
      <c r="J160" s="9" t="s">
        <v>175</v>
      </c>
      <c r="K160" s="31">
        <v>800</v>
      </c>
    </row>
    <row r="161" spans="3:11" s="3" customFormat="1" ht="15.95" customHeight="1" x14ac:dyDescent="0.25">
      <c r="C161" s="22" t="s">
        <v>216</v>
      </c>
      <c r="D161" s="23">
        <f>(E161/4.2)</f>
        <v>0</v>
      </c>
      <c r="E161" s="24">
        <f>SUM(E162:E203)</f>
        <v>0</v>
      </c>
      <c r="F161" s="24"/>
      <c r="G161" s="24"/>
      <c r="H161" s="24"/>
      <c r="I161" s="24"/>
      <c r="J161" s="25"/>
      <c r="K161" s="29"/>
    </row>
    <row r="162" spans="3:11" s="3" customFormat="1" ht="15.95" customHeight="1" x14ac:dyDescent="0.25">
      <c r="C162" s="6" t="s">
        <v>15</v>
      </c>
      <c r="D162" s="6"/>
      <c r="E162" s="7">
        <f t="shared" ref="E162:E183" si="16">I162*K162</f>
        <v>0</v>
      </c>
      <c r="F162" s="11"/>
      <c r="G162" s="11"/>
      <c r="H162" s="11"/>
      <c r="I162" s="7">
        <v>0</v>
      </c>
      <c r="J162" s="9" t="s">
        <v>175</v>
      </c>
      <c r="K162" s="27">
        <v>60</v>
      </c>
    </row>
    <row r="163" spans="3:11" s="3" customFormat="1" ht="15.95" customHeight="1" x14ac:dyDescent="0.25">
      <c r="C163" s="6" t="s">
        <v>14</v>
      </c>
      <c r="D163" s="6"/>
      <c r="E163" s="7">
        <f t="shared" si="16"/>
        <v>0</v>
      </c>
      <c r="F163" s="11"/>
      <c r="G163" s="11"/>
      <c r="H163" s="11"/>
      <c r="I163" s="7">
        <v>0</v>
      </c>
      <c r="J163" s="9" t="s">
        <v>175</v>
      </c>
      <c r="K163" s="27">
        <v>50</v>
      </c>
    </row>
    <row r="164" spans="3:11" s="3" customFormat="1" ht="15.95" customHeight="1" x14ac:dyDescent="0.25">
      <c r="C164" s="6" t="s">
        <v>13</v>
      </c>
      <c r="D164" s="6"/>
      <c r="E164" s="7">
        <f t="shared" si="16"/>
        <v>0</v>
      </c>
      <c r="F164" s="11"/>
      <c r="G164" s="11"/>
      <c r="H164" s="11"/>
      <c r="I164" s="7">
        <v>0</v>
      </c>
      <c r="J164" s="9" t="s">
        <v>175</v>
      </c>
      <c r="K164" s="27">
        <v>80</v>
      </c>
    </row>
    <row r="165" spans="3:11" s="3" customFormat="1" ht="15.95" customHeight="1" x14ac:dyDescent="0.25">
      <c r="C165" s="6" t="s">
        <v>12</v>
      </c>
      <c r="D165" s="6"/>
      <c r="E165" s="7">
        <f t="shared" si="16"/>
        <v>0</v>
      </c>
      <c r="F165" s="11"/>
      <c r="G165" s="11"/>
      <c r="H165" s="11"/>
      <c r="I165" s="7">
        <v>0</v>
      </c>
      <c r="J165" s="9" t="s">
        <v>175</v>
      </c>
      <c r="K165" s="27">
        <v>60</v>
      </c>
    </row>
    <row r="166" spans="3:11" s="3" customFormat="1" ht="15.95" customHeight="1" x14ac:dyDescent="0.25">
      <c r="C166" s="6" t="s">
        <v>85</v>
      </c>
      <c r="D166" s="6"/>
      <c r="E166" s="7">
        <f t="shared" si="16"/>
        <v>0</v>
      </c>
      <c r="F166" s="11"/>
      <c r="G166" s="11"/>
      <c r="H166" s="11"/>
      <c r="I166" s="7">
        <v>0</v>
      </c>
      <c r="J166" s="9" t="s">
        <v>175</v>
      </c>
      <c r="K166" s="27">
        <v>60</v>
      </c>
    </row>
    <row r="167" spans="3:11" s="3" customFormat="1" ht="15.95" customHeight="1" x14ac:dyDescent="0.25">
      <c r="C167" s="6" t="s">
        <v>188</v>
      </c>
      <c r="D167" s="6"/>
      <c r="E167" s="7">
        <f>I167*K167</f>
        <v>0</v>
      </c>
      <c r="F167" s="11">
        <v>2.4</v>
      </c>
      <c r="G167" s="11">
        <v>0.7</v>
      </c>
      <c r="H167" s="11">
        <v>1</v>
      </c>
      <c r="I167" s="7">
        <v>0</v>
      </c>
      <c r="J167" s="9" t="s">
        <v>175</v>
      </c>
      <c r="K167" s="27">
        <v>1610</v>
      </c>
    </row>
    <row r="168" spans="3:11" s="3" customFormat="1" ht="15.95" customHeight="1" x14ac:dyDescent="0.25">
      <c r="C168" s="6" t="s">
        <v>84</v>
      </c>
      <c r="D168" s="6"/>
      <c r="E168" s="7">
        <f>I168*K168</f>
        <v>0</v>
      </c>
      <c r="F168" s="11">
        <v>2</v>
      </c>
      <c r="G168" s="11">
        <v>0.4</v>
      </c>
      <c r="H168" s="11">
        <v>0.75</v>
      </c>
      <c r="I168" s="7">
        <v>0</v>
      </c>
      <c r="J168" s="9" t="s">
        <v>175</v>
      </c>
      <c r="K168" s="27">
        <v>540</v>
      </c>
    </row>
    <row r="169" spans="3:11" s="3" customFormat="1" ht="15.95" customHeight="1" x14ac:dyDescent="0.25">
      <c r="C169" s="6" t="s">
        <v>83</v>
      </c>
      <c r="D169" s="6"/>
      <c r="E169" s="7">
        <f>I169*K169</f>
        <v>0</v>
      </c>
      <c r="F169" s="11">
        <v>1.5</v>
      </c>
      <c r="G169" s="11">
        <v>0.4</v>
      </c>
      <c r="H169" s="11">
        <v>0.75</v>
      </c>
      <c r="I169" s="7">
        <v>0</v>
      </c>
      <c r="J169" s="9" t="s">
        <v>175</v>
      </c>
      <c r="K169" s="27">
        <v>980</v>
      </c>
    </row>
    <row r="170" spans="3:11" s="3" customFormat="1" ht="15.95" customHeight="1" x14ac:dyDescent="0.25">
      <c r="C170" s="6" t="s">
        <v>11</v>
      </c>
      <c r="D170" s="6"/>
      <c r="E170" s="7">
        <f t="shared" si="16"/>
        <v>0</v>
      </c>
      <c r="F170" s="11"/>
      <c r="G170" s="11"/>
      <c r="H170" s="11"/>
      <c r="I170" s="7">
        <v>0</v>
      </c>
      <c r="J170" s="9" t="s">
        <v>175</v>
      </c>
      <c r="K170" s="27">
        <v>275</v>
      </c>
    </row>
    <row r="171" spans="3:11" s="3" customFormat="1" ht="15.95" customHeight="1" x14ac:dyDescent="0.25">
      <c r="C171" s="6" t="s">
        <v>10</v>
      </c>
      <c r="D171" s="6"/>
      <c r="E171" s="7">
        <f t="shared" si="16"/>
        <v>0</v>
      </c>
      <c r="F171" s="11"/>
      <c r="G171" s="11"/>
      <c r="H171" s="11"/>
      <c r="I171" s="7">
        <v>0</v>
      </c>
      <c r="J171" s="9" t="s">
        <v>175</v>
      </c>
      <c r="K171" s="27">
        <v>350</v>
      </c>
    </row>
    <row r="172" spans="3:11" s="3" customFormat="1" ht="15.95" customHeight="1" x14ac:dyDescent="0.25">
      <c r="C172" s="6" t="s">
        <v>9</v>
      </c>
      <c r="D172" s="6"/>
      <c r="E172" s="7">
        <f t="shared" si="16"/>
        <v>0</v>
      </c>
      <c r="F172" s="11"/>
      <c r="G172" s="11"/>
      <c r="H172" s="11"/>
      <c r="I172" s="7">
        <v>0</v>
      </c>
      <c r="J172" s="9" t="s">
        <v>175</v>
      </c>
      <c r="K172" s="27">
        <v>500</v>
      </c>
    </row>
    <row r="173" spans="3:11" s="3" customFormat="1" ht="15.95" customHeight="1" x14ac:dyDescent="0.25">
      <c r="C173" s="6" t="s">
        <v>8</v>
      </c>
      <c r="D173" s="6"/>
      <c r="E173" s="7">
        <f t="shared" si="16"/>
        <v>0</v>
      </c>
      <c r="F173" s="11"/>
      <c r="G173" s="11"/>
      <c r="H173" s="11"/>
      <c r="I173" s="7">
        <v>0</v>
      </c>
      <c r="J173" s="9" t="s">
        <v>175</v>
      </c>
      <c r="K173" s="27">
        <v>35</v>
      </c>
    </row>
    <row r="174" spans="3:11" s="3" customFormat="1" ht="15.95" customHeight="1" x14ac:dyDescent="0.25">
      <c r="C174" s="6" t="s">
        <v>7</v>
      </c>
      <c r="D174" s="6"/>
      <c r="E174" s="7">
        <f t="shared" si="16"/>
        <v>0</v>
      </c>
      <c r="F174" s="11"/>
      <c r="G174" s="11"/>
      <c r="H174" s="11"/>
      <c r="I174" s="7">
        <v>0</v>
      </c>
      <c r="J174" s="9" t="s">
        <v>175</v>
      </c>
      <c r="K174" s="27">
        <v>30</v>
      </c>
    </row>
    <row r="175" spans="3:11" s="3" customFormat="1" ht="15.95" customHeight="1" x14ac:dyDescent="0.25">
      <c r="C175" s="6" t="s">
        <v>6</v>
      </c>
      <c r="D175" s="6"/>
      <c r="E175" s="7">
        <f t="shared" si="16"/>
        <v>0</v>
      </c>
      <c r="F175" s="11"/>
      <c r="G175" s="11"/>
      <c r="H175" s="11"/>
      <c r="I175" s="7">
        <v>0</v>
      </c>
      <c r="J175" s="9" t="s">
        <v>175</v>
      </c>
      <c r="K175" s="27">
        <v>60</v>
      </c>
    </row>
    <row r="176" spans="3:11" s="3" customFormat="1" ht="15.95" customHeight="1" x14ac:dyDescent="0.25">
      <c r="C176" s="6" t="s">
        <v>200</v>
      </c>
      <c r="D176" s="6"/>
      <c r="E176" s="7">
        <f t="shared" si="16"/>
        <v>0</v>
      </c>
      <c r="F176" s="11"/>
      <c r="G176" s="11"/>
      <c r="H176" s="11"/>
      <c r="I176" s="7">
        <v>0</v>
      </c>
      <c r="J176" s="9" t="s">
        <v>175</v>
      </c>
      <c r="K176" s="27">
        <v>150</v>
      </c>
    </row>
    <row r="177" spans="2:11" s="3" customFormat="1" ht="15.95" customHeight="1" x14ac:dyDescent="0.25">
      <c r="C177" s="6" t="s">
        <v>64</v>
      </c>
      <c r="D177" s="6"/>
      <c r="E177" s="7">
        <f t="shared" si="16"/>
        <v>0</v>
      </c>
      <c r="F177" s="11"/>
      <c r="G177" s="11"/>
      <c r="H177" s="11"/>
      <c r="I177" s="7">
        <v>0</v>
      </c>
      <c r="J177" s="9" t="s">
        <v>175</v>
      </c>
      <c r="K177" s="27">
        <v>350</v>
      </c>
    </row>
    <row r="178" spans="2:11" s="3" customFormat="1" ht="15.95" customHeight="1" x14ac:dyDescent="0.25">
      <c r="C178" s="6" t="s">
        <v>61</v>
      </c>
      <c r="D178" s="6"/>
      <c r="E178" s="7">
        <f t="shared" si="16"/>
        <v>0</v>
      </c>
      <c r="F178" s="11"/>
      <c r="G178" s="11"/>
      <c r="H178" s="11"/>
      <c r="I178" s="7">
        <v>0</v>
      </c>
      <c r="J178" s="9" t="s">
        <v>175</v>
      </c>
      <c r="K178" s="27">
        <v>148</v>
      </c>
    </row>
    <row r="179" spans="2:11" s="3" customFormat="1" ht="15.95" customHeight="1" x14ac:dyDescent="0.25">
      <c r="C179" s="6" t="s">
        <v>63</v>
      </c>
      <c r="D179" s="6"/>
      <c r="E179" s="7">
        <f t="shared" si="16"/>
        <v>0</v>
      </c>
      <c r="F179" s="11"/>
      <c r="G179" s="11"/>
      <c r="H179" s="11"/>
      <c r="I179" s="7">
        <v>0</v>
      </c>
      <c r="J179" s="9" t="s">
        <v>175</v>
      </c>
      <c r="K179" s="27">
        <v>100</v>
      </c>
    </row>
    <row r="180" spans="2:11" s="3" customFormat="1" ht="15.95" customHeight="1" x14ac:dyDescent="0.25">
      <c r="C180" s="6" t="s">
        <v>144</v>
      </c>
      <c r="D180" s="6"/>
      <c r="E180" s="7">
        <f t="shared" si="16"/>
        <v>0</v>
      </c>
      <c r="F180" s="11"/>
      <c r="G180" s="11"/>
      <c r="H180" s="11"/>
      <c r="I180" s="7">
        <v>0</v>
      </c>
      <c r="J180" s="9" t="s">
        <v>175</v>
      </c>
      <c r="K180" s="27">
        <v>140</v>
      </c>
    </row>
    <row r="181" spans="2:11" s="3" customFormat="1" ht="15.95" customHeight="1" x14ac:dyDescent="0.25">
      <c r="C181" s="6" t="s">
        <v>50</v>
      </c>
      <c r="D181" s="6"/>
      <c r="E181" s="7">
        <f t="shared" si="16"/>
        <v>0</v>
      </c>
      <c r="F181" s="11"/>
      <c r="G181" s="11"/>
      <c r="H181" s="11"/>
      <c r="I181" s="7">
        <v>0</v>
      </c>
      <c r="J181" s="9" t="s">
        <v>175</v>
      </c>
      <c r="K181" s="27">
        <v>35</v>
      </c>
    </row>
    <row r="182" spans="2:11" s="3" customFormat="1" ht="15.95" customHeight="1" x14ac:dyDescent="0.25">
      <c r="C182" s="6" t="s">
        <v>51</v>
      </c>
      <c r="D182" s="6"/>
      <c r="E182" s="7">
        <f t="shared" si="16"/>
        <v>0</v>
      </c>
      <c r="F182" s="11"/>
      <c r="G182" s="11"/>
      <c r="H182" s="11"/>
      <c r="I182" s="7">
        <v>0</v>
      </c>
      <c r="J182" s="9" t="s">
        <v>175</v>
      </c>
      <c r="K182" s="27">
        <v>100</v>
      </c>
    </row>
    <row r="183" spans="2:11" s="3" customFormat="1" ht="15.95" customHeight="1" x14ac:dyDescent="0.25">
      <c r="C183" s="6" t="s">
        <v>57</v>
      </c>
      <c r="D183" s="6"/>
      <c r="E183" s="7">
        <f t="shared" si="16"/>
        <v>0</v>
      </c>
      <c r="F183" s="11"/>
      <c r="G183" s="11"/>
      <c r="H183" s="11"/>
      <c r="I183" s="7">
        <v>0</v>
      </c>
      <c r="J183" s="9" t="s">
        <v>175</v>
      </c>
      <c r="K183" s="27">
        <v>600</v>
      </c>
    </row>
    <row r="184" spans="2:11" s="3" customFormat="1" ht="15.95" customHeight="1" x14ac:dyDescent="0.25">
      <c r="C184" s="6" t="s">
        <v>218</v>
      </c>
      <c r="D184" s="6"/>
      <c r="E184" s="7">
        <f>I184*K184</f>
        <v>0</v>
      </c>
      <c r="F184" s="7"/>
      <c r="G184" s="7"/>
      <c r="H184" s="7"/>
      <c r="I184" s="7">
        <v>0</v>
      </c>
      <c r="J184" s="9" t="s">
        <v>175</v>
      </c>
      <c r="K184" s="27">
        <v>60</v>
      </c>
    </row>
    <row r="185" spans="2:11" s="3" customFormat="1" ht="15.95" customHeight="1" x14ac:dyDescent="0.25">
      <c r="C185" s="6" t="s">
        <v>168</v>
      </c>
      <c r="D185" s="6"/>
      <c r="E185" s="7">
        <v>0</v>
      </c>
      <c r="F185" s="11"/>
      <c r="G185" s="11"/>
      <c r="H185" s="11"/>
      <c r="I185" s="7">
        <v>0</v>
      </c>
      <c r="J185" s="9" t="s">
        <v>175</v>
      </c>
      <c r="K185" s="27">
        <v>50</v>
      </c>
    </row>
    <row r="186" spans="2:11" s="3" customFormat="1" ht="15.95" customHeight="1" x14ac:dyDescent="0.25">
      <c r="C186" s="6" t="s">
        <v>219</v>
      </c>
      <c r="D186" s="6"/>
      <c r="E186" s="7">
        <f>I186*K186</f>
        <v>0</v>
      </c>
      <c r="F186" s="11"/>
      <c r="G186" s="11"/>
      <c r="H186" s="11"/>
      <c r="I186" s="7">
        <v>0</v>
      </c>
      <c r="J186" s="9" t="s">
        <v>175</v>
      </c>
      <c r="K186" s="27">
        <v>800</v>
      </c>
    </row>
    <row r="187" spans="2:11" s="3" customFormat="1" ht="15.95" customHeight="1" x14ac:dyDescent="0.25">
      <c r="C187" s="6" t="s">
        <v>220</v>
      </c>
      <c r="D187" s="6"/>
      <c r="E187" s="7">
        <f t="shared" ref="E187:E201" si="17">I187*K187</f>
        <v>0</v>
      </c>
      <c r="F187" s="7"/>
      <c r="G187" s="7"/>
      <c r="H187" s="7"/>
      <c r="I187" s="7">
        <v>0</v>
      </c>
      <c r="J187" s="9" t="s">
        <v>175</v>
      </c>
      <c r="K187" s="27">
        <v>300</v>
      </c>
    </row>
    <row r="188" spans="2:11" s="3" customFormat="1" ht="15.95" customHeight="1" x14ac:dyDescent="0.25">
      <c r="C188" s="6" t="s">
        <v>91</v>
      </c>
      <c r="D188" s="6"/>
      <c r="E188" s="7">
        <f t="shared" si="17"/>
        <v>0</v>
      </c>
      <c r="F188" s="7"/>
      <c r="G188" s="7"/>
      <c r="H188" s="7"/>
      <c r="I188" s="7">
        <v>0</v>
      </c>
      <c r="J188" s="9" t="s">
        <v>175</v>
      </c>
      <c r="K188" s="27">
        <v>30</v>
      </c>
    </row>
    <row r="189" spans="2:11" s="3" customFormat="1" ht="15.95" customHeight="1" x14ac:dyDescent="0.25">
      <c r="C189" s="6" t="s">
        <v>217</v>
      </c>
      <c r="D189" s="6"/>
      <c r="E189" s="7">
        <f t="shared" si="17"/>
        <v>0</v>
      </c>
      <c r="F189" s="7"/>
      <c r="G189" s="7"/>
      <c r="H189" s="7"/>
      <c r="I189" s="7">
        <v>0</v>
      </c>
      <c r="J189" s="9" t="s">
        <v>175</v>
      </c>
      <c r="K189" s="27">
        <v>1500</v>
      </c>
    </row>
    <row r="190" spans="2:11" s="3" customFormat="1" ht="15.95" customHeight="1" x14ac:dyDescent="0.25">
      <c r="C190" s="6" t="s">
        <v>77</v>
      </c>
      <c r="D190" s="6"/>
      <c r="E190" s="7">
        <f t="shared" si="17"/>
        <v>0</v>
      </c>
      <c r="F190" s="7"/>
      <c r="G190" s="7"/>
      <c r="H190" s="7"/>
      <c r="I190" s="7">
        <v>0</v>
      </c>
      <c r="J190" s="9" t="s">
        <v>175</v>
      </c>
      <c r="K190" s="27">
        <v>59</v>
      </c>
    </row>
    <row r="191" spans="2:11" s="3" customFormat="1" ht="15.95" customHeight="1" x14ac:dyDescent="0.25">
      <c r="C191" s="6" t="s">
        <v>88</v>
      </c>
      <c r="D191" s="6"/>
      <c r="E191" s="7">
        <f t="shared" si="17"/>
        <v>0</v>
      </c>
      <c r="F191" s="7"/>
      <c r="G191" s="7"/>
      <c r="H191" s="7"/>
      <c r="I191" s="7">
        <v>0</v>
      </c>
      <c r="J191" s="9" t="s">
        <v>175</v>
      </c>
      <c r="K191" s="27">
        <v>60</v>
      </c>
    </row>
    <row r="192" spans="2:11" s="3" customFormat="1" ht="15.95" customHeight="1" x14ac:dyDescent="0.25">
      <c r="B192" s="26" t="s">
        <v>263</v>
      </c>
      <c r="C192" s="6" t="s">
        <v>89</v>
      </c>
      <c r="D192" s="6"/>
      <c r="E192" s="7">
        <f>I192*K192</f>
        <v>0</v>
      </c>
      <c r="F192" s="7"/>
      <c r="G192" s="7"/>
      <c r="H192" s="7"/>
      <c r="I192" s="7">
        <v>0</v>
      </c>
      <c r="J192" s="9" t="s">
        <v>175</v>
      </c>
      <c r="K192" s="27">
        <v>100</v>
      </c>
    </row>
    <row r="193" spans="3:11" s="3" customFormat="1" ht="15.95" customHeight="1" x14ac:dyDescent="0.25">
      <c r="C193" s="6" t="s">
        <v>92</v>
      </c>
      <c r="D193" s="6"/>
      <c r="E193" s="7">
        <f t="shared" si="17"/>
        <v>0</v>
      </c>
      <c r="F193" s="7"/>
      <c r="G193" s="7"/>
      <c r="H193" s="7"/>
      <c r="I193" s="7">
        <v>0</v>
      </c>
      <c r="J193" s="9" t="s">
        <v>175</v>
      </c>
      <c r="K193" s="27">
        <v>460</v>
      </c>
    </row>
    <row r="194" spans="3:11" s="3" customFormat="1" ht="15.95" customHeight="1" x14ac:dyDescent="0.25">
      <c r="C194" s="6" t="s">
        <v>93</v>
      </c>
      <c r="D194" s="6"/>
      <c r="E194" s="7">
        <f t="shared" si="17"/>
        <v>0</v>
      </c>
      <c r="F194" s="7"/>
      <c r="G194" s="7"/>
      <c r="H194" s="7"/>
      <c r="I194" s="7">
        <v>0</v>
      </c>
      <c r="J194" s="9" t="s">
        <v>175</v>
      </c>
      <c r="K194" s="27">
        <v>50</v>
      </c>
    </row>
    <row r="195" spans="3:11" s="3" customFormat="1" ht="15.95" customHeight="1" x14ac:dyDescent="0.25">
      <c r="C195" s="6" t="s">
        <v>94</v>
      </c>
      <c r="D195" s="6"/>
      <c r="E195" s="7">
        <f t="shared" si="17"/>
        <v>0</v>
      </c>
      <c r="F195" s="7"/>
      <c r="G195" s="7"/>
      <c r="H195" s="7"/>
      <c r="I195" s="7">
        <v>0</v>
      </c>
      <c r="J195" s="9" t="s">
        <v>175</v>
      </c>
      <c r="K195" s="27">
        <v>20</v>
      </c>
    </row>
    <row r="196" spans="3:11" s="3" customFormat="1" ht="15.95" customHeight="1" x14ac:dyDescent="0.25">
      <c r="C196" s="6" t="s">
        <v>96</v>
      </c>
      <c r="D196" s="6"/>
      <c r="E196" s="7">
        <f t="shared" si="17"/>
        <v>0</v>
      </c>
      <c r="F196" s="7"/>
      <c r="G196" s="7"/>
      <c r="H196" s="7"/>
      <c r="I196" s="7">
        <v>0</v>
      </c>
      <c r="J196" s="9" t="s">
        <v>175</v>
      </c>
      <c r="K196" s="27">
        <v>50</v>
      </c>
    </row>
    <row r="197" spans="3:11" s="3" customFormat="1" ht="15.95" customHeight="1" x14ac:dyDescent="0.25">
      <c r="C197" s="6" t="s">
        <v>97</v>
      </c>
      <c r="D197" s="6"/>
      <c r="E197" s="7">
        <f t="shared" si="17"/>
        <v>0</v>
      </c>
      <c r="F197" s="7"/>
      <c r="G197" s="7"/>
      <c r="H197" s="7"/>
      <c r="I197" s="7">
        <v>0</v>
      </c>
      <c r="J197" s="9" t="s">
        <v>175</v>
      </c>
      <c r="K197" s="27">
        <v>100</v>
      </c>
    </row>
    <row r="198" spans="3:11" s="3" customFormat="1" ht="15.95" customHeight="1" x14ac:dyDescent="0.25">
      <c r="C198" s="6" t="s">
        <v>98</v>
      </c>
      <c r="D198" s="6"/>
      <c r="E198" s="7">
        <f t="shared" si="17"/>
        <v>0</v>
      </c>
      <c r="F198" s="7"/>
      <c r="G198" s="7"/>
      <c r="H198" s="7"/>
      <c r="I198" s="7">
        <v>0</v>
      </c>
      <c r="J198" s="9" t="s">
        <v>175</v>
      </c>
      <c r="K198" s="27">
        <v>70</v>
      </c>
    </row>
    <row r="199" spans="3:11" s="3" customFormat="1" ht="15.95" customHeight="1" x14ac:dyDescent="0.25">
      <c r="C199" s="6" t="s">
        <v>130</v>
      </c>
      <c r="D199" s="6"/>
      <c r="E199" s="7">
        <f t="shared" si="17"/>
        <v>0</v>
      </c>
      <c r="F199" s="7"/>
      <c r="G199" s="7"/>
      <c r="H199" s="7"/>
      <c r="I199" s="7">
        <v>0</v>
      </c>
      <c r="J199" s="9" t="s">
        <v>175</v>
      </c>
      <c r="K199" s="27">
        <v>23.5</v>
      </c>
    </row>
    <row r="200" spans="3:11" s="3" customFormat="1" ht="15.95" customHeight="1" x14ac:dyDescent="0.25">
      <c r="C200" s="6" t="s">
        <v>132</v>
      </c>
      <c r="D200" s="6"/>
      <c r="E200" s="7">
        <f t="shared" si="17"/>
        <v>0</v>
      </c>
      <c r="F200" s="7"/>
      <c r="G200" s="7"/>
      <c r="H200" s="7"/>
      <c r="I200" s="7">
        <v>0</v>
      </c>
      <c r="J200" s="9" t="s">
        <v>175</v>
      </c>
      <c r="K200" s="27">
        <v>9.4</v>
      </c>
    </row>
    <row r="201" spans="3:11" s="3" customFormat="1" ht="15.95" customHeight="1" x14ac:dyDescent="0.25">
      <c r="C201" s="6" t="s">
        <v>133</v>
      </c>
      <c r="D201" s="6"/>
      <c r="E201" s="7">
        <f t="shared" si="17"/>
        <v>0</v>
      </c>
      <c r="F201" s="7"/>
      <c r="G201" s="7"/>
      <c r="H201" s="7"/>
      <c r="I201" s="7">
        <v>0</v>
      </c>
      <c r="J201" s="9" t="s">
        <v>175</v>
      </c>
      <c r="K201" s="27">
        <v>135</v>
      </c>
    </row>
    <row r="202" spans="3:11" s="3" customFormat="1" ht="15.95" customHeight="1" x14ac:dyDescent="0.25">
      <c r="C202" s="6" t="s">
        <v>261</v>
      </c>
      <c r="D202" s="6"/>
      <c r="E202" s="7">
        <f>I202*K202</f>
        <v>0</v>
      </c>
      <c r="F202" s="7">
        <v>0.5</v>
      </c>
      <c r="G202" s="7">
        <v>0.5</v>
      </c>
      <c r="H202" s="7">
        <v>0.5</v>
      </c>
      <c r="I202" s="7">
        <v>0</v>
      </c>
      <c r="J202" s="9" t="s">
        <v>175</v>
      </c>
      <c r="K202" s="27">
        <v>67.5</v>
      </c>
    </row>
    <row r="203" spans="3:11" s="3" customFormat="1" ht="15.95" customHeight="1" x14ac:dyDescent="0.25">
      <c r="C203" s="6" t="s">
        <v>260</v>
      </c>
      <c r="D203" s="6"/>
      <c r="E203" s="7">
        <f>I203*K203</f>
        <v>0</v>
      </c>
      <c r="F203" s="7"/>
      <c r="G203" s="7"/>
      <c r="H203" s="7"/>
      <c r="I203" s="7">
        <v>0</v>
      </c>
      <c r="J203" s="9" t="s">
        <v>175</v>
      </c>
      <c r="K203" s="27">
        <v>338</v>
      </c>
    </row>
    <row r="204" spans="3:11" s="3" customFormat="1" ht="15.95" customHeight="1" x14ac:dyDescent="0.25">
      <c r="C204" s="22" t="s">
        <v>192</v>
      </c>
      <c r="D204" s="23">
        <f>(E204/4.2)</f>
        <v>0</v>
      </c>
      <c r="E204" s="24">
        <f>SUM(E205:E215)</f>
        <v>0</v>
      </c>
      <c r="F204" s="24"/>
      <c r="G204" s="24"/>
      <c r="H204" s="24"/>
      <c r="I204" s="24"/>
      <c r="J204" s="25"/>
      <c r="K204" s="29"/>
    </row>
    <row r="205" spans="3:11" s="3" customFormat="1" ht="15.95" customHeight="1" x14ac:dyDescent="0.25">
      <c r="C205" s="6" t="s">
        <v>256</v>
      </c>
      <c r="D205" s="6"/>
      <c r="E205" s="7">
        <f>I205*K205</f>
        <v>0</v>
      </c>
      <c r="F205" s="7">
        <v>1</v>
      </c>
      <c r="G205" s="7">
        <v>1</v>
      </c>
      <c r="H205" s="11"/>
      <c r="I205" s="11">
        <v>0</v>
      </c>
      <c r="J205" s="9" t="s">
        <v>120</v>
      </c>
      <c r="K205" s="27">
        <v>45</v>
      </c>
    </row>
    <row r="206" spans="3:11" s="3" customFormat="1" ht="15.95" customHeight="1" x14ac:dyDescent="0.25">
      <c r="C206" s="6" t="s">
        <v>255</v>
      </c>
      <c r="D206" s="6"/>
      <c r="E206" s="7">
        <f>I206*K206</f>
        <v>0</v>
      </c>
      <c r="F206" s="7">
        <v>1</v>
      </c>
      <c r="G206" s="7">
        <v>1</v>
      </c>
      <c r="H206" s="11"/>
      <c r="I206" s="11">
        <v>0</v>
      </c>
      <c r="J206" s="9"/>
      <c r="K206" s="27">
        <v>65</v>
      </c>
    </row>
    <row r="207" spans="3:11" s="3" customFormat="1" ht="15.95" customHeight="1" x14ac:dyDescent="0.25">
      <c r="C207" s="6" t="s">
        <v>5</v>
      </c>
      <c r="D207" s="6"/>
      <c r="E207" s="7">
        <f>I207*K207</f>
        <v>0</v>
      </c>
      <c r="F207" s="7">
        <v>1</v>
      </c>
      <c r="G207" s="7">
        <v>1</v>
      </c>
      <c r="H207" s="11"/>
      <c r="I207" s="11">
        <v>0</v>
      </c>
      <c r="J207" s="9"/>
      <c r="K207" s="27">
        <v>65</v>
      </c>
    </row>
    <row r="208" spans="3:11" s="3" customFormat="1" ht="15.95" customHeight="1" x14ac:dyDescent="0.25">
      <c r="C208" s="6" t="s">
        <v>201</v>
      </c>
      <c r="D208" s="6"/>
      <c r="E208" s="7">
        <f t="shared" ref="E208" si="18">I208*K208</f>
        <v>0</v>
      </c>
      <c r="F208" s="7">
        <v>1</v>
      </c>
      <c r="G208" s="7">
        <v>1</v>
      </c>
      <c r="H208" s="11"/>
      <c r="I208" s="11">
        <v>0</v>
      </c>
      <c r="J208" s="9"/>
      <c r="K208" s="27">
        <v>55</v>
      </c>
    </row>
    <row r="209" spans="3:11" s="3" customFormat="1" ht="15.95" customHeight="1" x14ac:dyDescent="0.25">
      <c r="C209" s="6" t="s">
        <v>257</v>
      </c>
      <c r="D209" s="6"/>
      <c r="E209" s="7">
        <f t="shared" ref="E209:E214" si="19">I209*K209</f>
        <v>0</v>
      </c>
      <c r="F209" s="7">
        <v>1</v>
      </c>
      <c r="G209" s="7">
        <v>1</v>
      </c>
      <c r="H209" s="11"/>
      <c r="I209" s="11">
        <v>0</v>
      </c>
      <c r="J209" s="9" t="s">
        <v>120</v>
      </c>
      <c r="K209" s="27">
        <v>400</v>
      </c>
    </row>
    <row r="210" spans="3:11" s="3" customFormat="1" ht="15.95" customHeight="1" x14ac:dyDescent="0.25">
      <c r="C210" s="6" t="s">
        <v>258</v>
      </c>
      <c r="D210" s="6"/>
      <c r="E210" s="7">
        <f t="shared" si="19"/>
        <v>0</v>
      </c>
      <c r="F210" s="7">
        <v>1</v>
      </c>
      <c r="G210" s="7">
        <v>1</v>
      </c>
      <c r="H210" s="11"/>
      <c r="I210" s="11">
        <v>0</v>
      </c>
      <c r="J210" s="9"/>
      <c r="K210" s="27">
        <v>200</v>
      </c>
    </row>
    <row r="211" spans="3:11" s="3" customFormat="1" ht="15.95" customHeight="1" x14ac:dyDescent="0.25">
      <c r="C211" s="6" t="s">
        <v>74</v>
      </c>
      <c r="D211" s="6"/>
      <c r="E211" s="7">
        <f t="shared" si="19"/>
        <v>0</v>
      </c>
      <c r="F211" s="7">
        <v>1</v>
      </c>
      <c r="G211" s="7">
        <v>1</v>
      </c>
      <c r="H211" s="11"/>
      <c r="I211" s="11">
        <v>0</v>
      </c>
      <c r="J211" s="9" t="s">
        <v>120</v>
      </c>
      <c r="K211" s="27">
        <v>150</v>
      </c>
    </row>
    <row r="212" spans="3:11" s="3" customFormat="1" ht="15.95" customHeight="1" x14ac:dyDescent="0.25">
      <c r="C212" s="6" t="s">
        <v>131</v>
      </c>
      <c r="D212" s="6"/>
      <c r="E212" s="7">
        <f t="shared" si="19"/>
        <v>0</v>
      </c>
      <c r="F212" s="7">
        <v>1</v>
      </c>
      <c r="G212" s="7">
        <v>1</v>
      </c>
      <c r="H212" s="11"/>
      <c r="I212" s="11">
        <v>0</v>
      </c>
      <c r="J212" s="9" t="s">
        <v>120</v>
      </c>
      <c r="K212" s="27">
        <v>120</v>
      </c>
    </row>
    <row r="213" spans="3:11" s="3" customFormat="1" ht="15.95" customHeight="1" x14ac:dyDescent="0.25">
      <c r="C213" s="6" t="s">
        <v>55</v>
      </c>
      <c r="D213" s="6"/>
      <c r="E213" s="7">
        <f>I213*K213</f>
        <v>0</v>
      </c>
      <c r="F213" s="7">
        <v>1</v>
      </c>
      <c r="G213" s="7">
        <v>1</v>
      </c>
      <c r="H213" s="11"/>
      <c r="I213" s="7">
        <v>0</v>
      </c>
      <c r="J213" s="9" t="s">
        <v>120</v>
      </c>
      <c r="K213" s="27">
        <v>55</v>
      </c>
    </row>
    <row r="214" spans="3:11" s="3" customFormat="1" ht="15.95" customHeight="1" x14ac:dyDescent="0.25">
      <c r="C214" s="6" t="s">
        <v>259</v>
      </c>
      <c r="D214" s="6"/>
      <c r="E214" s="7">
        <f t="shared" si="19"/>
        <v>0</v>
      </c>
      <c r="F214" s="7">
        <v>1</v>
      </c>
      <c r="G214" s="7">
        <v>1</v>
      </c>
      <c r="H214" s="11"/>
      <c r="I214" s="11">
        <v>0</v>
      </c>
      <c r="J214" s="9" t="s">
        <v>120</v>
      </c>
      <c r="K214" s="27">
        <v>50</v>
      </c>
    </row>
    <row r="215" spans="3:11" s="3" customFormat="1" ht="15.95" customHeight="1" x14ac:dyDescent="0.25">
      <c r="C215" s="6" t="s">
        <v>4</v>
      </c>
      <c r="D215" s="6"/>
      <c r="E215" s="7">
        <f>I215*K215</f>
        <v>0</v>
      </c>
      <c r="F215" s="7">
        <v>1</v>
      </c>
      <c r="G215" s="7">
        <v>1</v>
      </c>
      <c r="H215" s="11"/>
      <c r="I215" s="11">
        <v>0</v>
      </c>
      <c r="J215" s="9" t="s">
        <v>120</v>
      </c>
      <c r="K215" s="27">
        <v>45</v>
      </c>
    </row>
    <row r="216" spans="3:11" s="3" customFormat="1" ht="15.95" customHeight="1" x14ac:dyDescent="0.25">
      <c r="C216" s="22" t="s">
        <v>191</v>
      </c>
      <c r="D216" s="23">
        <f>(E216)</f>
        <v>0</v>
      </c>
      <c r="E216" s="24">
        <f>SUM(E218:E255)</f>
        <v>0</v>
      </c>
      <c r="F216" s="24"/>
      <c r="G216" s="24"/>
      <c r="H216" s="24"/>
      <c r="I216" s="24"/>
      <c r="J216" s="25"/>
      <c r="K216" s="29"/>
    </row>
    <row r="217" spans="3:11" s="3" customFormat="1" ht="15.95" customHeight="1" x14ac:dyDescent="0.25">
      <c r="C217" s="6" t="s">
        <v>22</v>
      </c>
      <c r="D217" s="6"/>
      <c r="E217" s="7">
        <f>I217*K217</f>
        <v>0</v>
      </c>
      <c r="F217" s="11">
        <v>1.5</v>
      </c>
      <c r="G217" s="11">
        <v>1</v>
      </c>
      <c r="H217" s="11">
        <v>1</v>
      </c>
      <c r="I217" s="7">
        <v>0</v>
      </c>
      <c r="J217" s="9" t="s">
        <v>175</v>
      </c>
      <c r="K217" s="27">
        <v>1400</v>
      </c>
    </row>
    <row r="218" spans="3:11" s="3" customFormat="1" ht="15.95" customHeight="1" x14ac:dyDescent="0.25">
      <c r="C218" s="6" t="s">
        <v>225</v>
      </c>
      <c r="D218" s="6"/>
      <c r="E218" s="7">
        <f>I218*K218</f>
        <v>0</v>
      </c>
      <c r="F218" s="7"/>
      <c r="G218" s="7"/>
      <c r="H218" s="7"/>
      <c r="I218" s="7">
        <v>0</v>
      </c>
      <c r="J218" s="9" t="s">
        <v>175</v>
      </c>
      <c r="K218" s="32">
        <v>210</v>
      </c>
    </row>
    <row r="219" spans="3:11" s="3" customFormat="1" ht="15.95" customHeight="1" x14ac:dyDescent="0.25">
      <c r="C219" s="6" t="s">
        <v>226</v>
      </c>
      <c r="D219" s="6"/>
      <c r="E219" s="7">
        <v>0</v>
      </c>
      <c r="F219" s="7"/>
      <c r="G219" s="7"/>
      <c r="H219" s="7"/>
      <c r="I219" s="7">
        <v>0</v>
      </c>
      <c r="J219" s="9" t="s">
        <v>175</v>
      </c>
      <c r="K219" s="32">
        <v>180</v>
      </c>
    </row>
    <row r="220" spans="3:11" s="3" customFormat="1" ht="15.95" customHeight="1" x14ac:dyDescent="0.25">
      <c r="C220" s="6" t="s">
        <v>227</v>
      </c>
      <c r="D220" s="6"/>
      <c r="E220" s="7">
        <v>0</v>
      </c>
      <c r="F220" s="7"/>
      <c r="G220" s="7"/>
      <c r="H220" s="7"/>
      <c r="I220" s="7">
        <v>0</v>
      </c>
      <c r="J220" s="9" t="s">
        <v>175</v>
      </c>
      <c r="K220" s="32">
        <v>180</v>
      </c>
    </row>
    <row r="221" spans="3:11" s="3" customFormat="1" ht="15.95" customHeight="1" x14ac:dyDescent="0.25">
      <c r="C221" s="6" t="s">
        <v>228</v>
      </c>
      <c r="D221" s="6"/>
      <c r="E221" s="7">
        <v>0</v>
      </c>
      <c r="F221" s="7"/>
      <c r="G221" s="7"/>
      <c r="H221" s="7"/>
      <c r="I221" s="7">
        <v>0</v>
      </c>
      <c r="J221" s="9" t="s">
        <v>175</v>
      </c>
      <c r="K221" s="32">
        <v>110</v>
      </c>
    </row>
    <row r="222" spans="3:11" s="3" customFormat="1" ht="15.95" customHeight="1" x14ac:dyDescent="0.25">
      <c r="C222" s="6" t="s">
        <v>229</v>
      </c>
      <c r="D222" s="6"/>
      <c r="E222" s="7">
        <v>0</v>
      </c>
      <c r="F222" s="7"/>
      <c r="G222" s="7"/>
      <c r="H222" s="7"/>
      <c r="I222" s="7">
        <v>0</v>
      </c>
      <c r="J222" s="9" t="s">
        <v>175</v>
      </c>
      <c r="K222" s="32">
        <v>310</v>
      </c>
    </row>
    <row r="223" spans="3:11" s="3" customFormat="1" ht="15.95" customHeight="1" x14ac:dyDescent="0.25">
      <c r="C223" s="6" t="s">
        <v>230</v>
      </c>
      <c r="D223" s="6"/>
      <c r="E223" s="7">
        <v>0</v>
      </c>
      <c r="F223" s="7"/>
      <c r="G223" s="7"/>
      <c r="H223" s="7"/>
      <c r="I223" s="7">
        <v>0</v>
      </c>
      <c r="J223" s="9" t="s">
        <v>175</v>
      </c>
      <c r="K223" s="32">
        <v>160</v>
      </c>
    </row>
    <row r="224" spans="3:11" s="3" customFormat="1" ht="15.95" customHeight="1" x14ac:dyDescent="0.25">
      <c r="C224" s="6" t="s">
        <v>62</v>
      </c>
      <c r="D224" s="6"/>
      <c r="E224" s="7">
        <f>I224*K224</f>
        <v>0</v>
      </c>
      <c r="F224" s="11"/>
      <c r="G224" s="11"/>
      <c r="H224" s="11"/>
      <c r="I224" s="7">
        <v>0</v>
      </c>
      <c r="J224" s="9" t="s">
        <v>175</v>
      </c>
      <c r="K224" s="32">
        <v>10</v>
      </c>
    </row>
    <row r="225" spans="3:11" s="3" customFormat="1" ht="15.95" customHeight="1" x14ac:dyDescent="0.25">
      <c r="C225" s="6" t="s">
        <v>234</v>
      </c>
      <c r="D225" s="6"/>
      <c r="E225" s="7">
        <f>I225*K225</f>
        <v>0</v>
      </c>
      <c r="F225" s="11"/>
      <c r="G225" s="11"/>
      <c r="H225" s="11"/>
      <c r="I225" s="7">
        <v>0</v>
      </c>
      <c r="J225" s="9" t="s">
        <v>175</v>
      </c>
      <c r="K225" s="32">
        <v>260</v>
      </c>
    </row>
    <row r="226" spans="3:11" s="3" customFormat="1" ht="15.95" customHeight="1" x14ac:dyDescent="0.25">
      <c r="C226" s="6" t="s">
        <v>3</v>
      </c>
      <c r="D226" s="6"/>
      <c r="E226" s="7">
        <f t="shared" ref="E226:E233" si="20">I226*K226</f>
        <v>0</v>
      </c>
      <c r="F226" s="7"/>
      <c r="G226" s="7"/>
      <c r="H226" s="7"/>
      <c r="I226" s="7">
        <v>0</v>
      </c>
      <c r="J226" s="9" t="s">
        <v>175</v>
      </c>
      <c r="K226" s="32">
        <v>180</v>
      </c>
    </row>
    <row r="227" spans="3:11" s="3" customFormat="1" ht="15.95" customHeight="1" x14ac:dyDescent="0.25">
      <c r="C227" s="6" t="s">
        <v>2</v>
      </c>
      <c r="D227" s="6"/>
      <c r="E227" s="7">
        <f t="shared" si="20"/>
        <v>0</v>
      </c>
      <c r="F227" s="7"/>
      <c r="G227" s="7"/>
      <c r="H227" s="7"/>
      <c r="I227" s="7">
        <v>0</v>
      </c>
      <c r="J227" s="9" t="s">
        <v>175</v>
      </c>
      <c r="K227" s="32">
        <v>200</v>
      </c>
    </row>
    <row r="228" spans="3:11" s="3" customFormat="1" ht="15.95" customHeight="1" x14ac:dyDescent="0.25">
      <c r="C228" s="6" t="s">
        <v>1</v>
      </c>
      <c r="D228" s="6"/>
      <c r="E228" s="7">
        <f t="shared" si="20"/>
        <v>0</v>
      </c>
      <c r="F228" s="7"/>
      <c r="G228" s="7"/>
      <c r="H228" s="7"/>
      <c r="I228" s="7">
        <v>0</v>
      </c>
      <c r="J228" s="9" t="s">
        <v>175</v>
      </c>
      <c r="K228" s="32">
        <v>220</v>
      </c>
    </row>
    <row r="229" spans="3:11" s="3" customFormat="1" ht="15.95" customHeight="1" x14ac:dyDescent="0.25">
      <c r="C229" s="6" t="s">
        <v>190</v>
      </c>
      <c r="D229" s="6"/>
      <c r="E229" s="7">
        <f t="shared" si="20"/>
        <v>0</v>
      </c>
      <c r="F229" s="7"/>
      <c r="G229" s="7"/>
      <c r="H229" s="7"/>
      <c r="I229" s="7">
        <v>0</v>
      </c>
      <c r="J229" s="9" t="s">
        <v>175</v>
      </c>
      <c r="K229" s="32">
        <v>220</v>
      </c>
    </row>
    <row r="230" spans="3:11" s="3" customFormat="1" ht="15.95" customHeight="1" x14ac:dyDescent="0.25">
      <c r="C230" s="6" t="s">
        <v>0</v>
      </c>
      <c r="D230" s="6"/>
      <c r="E230" s="7">
        <f t="shared" si="20"/>
        <v>0</v>
      </c>
      <c r="F230" s="7"/>
      <c r="G230" s="7"/>
      <c r="H230" s="7"/>
      <c r="I230" s="7">
        <v>0</v>
      </c>
      <c r="J230" s="9" t="s">
        <v>175</v>
      </c>
      <c r="K230" s="32">
        <v>250</v>
      </c>
    </row>
    <row r="231" spans="3:11" s="3" customFormat="1" ht="15.95" customHeight="1" x14ac:dyDescent="0.25">
      <c r="C231" s="6" t="s">
        <v>221</v>
      </c>
      <c r="D231" s="6"/>
      <c r="E231" s="7">
        <f t="shared" si="20"/>
        <v>0</v>
      </c>
      <c r="F231" s="7"/>
      <c r="G231" s="7"/>
      <c r="H231" s="7"/>
      <c r="I231" s="7">
        <v>0</v>
      </c>
      <c r="J231" s="9" t="s">
        <v>175</v>
      </c>
      <c r="K231" s="32">
        <v>390</v>
      </c>
    </row>
    <row r="232" spans="3:11" s="3" customFormat="1" ht="15.95" customHeight="1" x14ac:dyDescent="0.25">
      <c r="C232" s="6" t="s">
        <v>248</v>
      </c>
      <c r="D232" s="6"/>
      <c r="E232" s="7">
        <f t="shared" ref="E232" si="21">I232*K232</f>
        <v>0</v>
      </c>
      <c r="F232" s="7"/>
      <c r="G232" s="7"/>
      <c r="H232" s="7"/>
      <c r="I232" s="7">
        <v>0</v>
      </c>
      <c r="J232" s="9" t="s">
        <v>175</v>
      </c>
      <c r="K232" s="32">
        <v>460</v>
      </c>
    </row>
    <row r="233" spans="3:11" s="3" customFormat="1" ht="15.95" customHeight="1" x14ac:dyDescent="0.25">
      <c r="C233" s="6" t="s">
        <v>222</v>
      </c>
      <c r="D233" s="6"/>
      <c r="E233" s="7">
        <f t="shared" si="20"/>
        <v>0</v>
      </c>
      <c r="F233" s="7"/>
      <c r="G233" s="7"/>
      <c r="H233" s="7"/>
      <c r="I233" s="7">
        <v>0</v>
      </c>
      <c r="J233" s="9" t="s">
        <v>175</v>
      </c>
      <c r="K233" s="32">
        <v>850</v>
      </c>
    </row>
    <row r="234" spans="3:11" s="3" customFormat="1" ht="15.95" customHeight="1" x14ac:dyDescent="0.25">
      <c r="C234" s="6" t="s">
        <v>196</v>
      </c>
      <c r="D234" s="6"/>
      <c r="E234" s="7">
        <f>I234*K234</f>
        <v>0</v>
      </c>
      <c r="F234" s="7"/>
      <c r="G234" s="7"/>
      <c r="H234" s="7"/>
      <c r="I234" s="7">
        <v>0</v>
      </c>
      <c r="J234" s="9" t="s">
        <v>175</v>
      </c>
      <c r="K234" s="32">
        <v>1400</v>
      </c>
    </row>
    <row r="235" spans="3:11" s="3" customFormat="1" ht="15.95" customHeight="1" x14ac:dyDescent="0.25">
      <c r="C235" s="6" t="s">
        <v>250</v>
      </c>
      <c r="D235" s="6"/>
      <c r="E235" s="7">
        <f t="shared" ref="E235:E241" si="22">I235*K235</f>
        <v>0</v>
      </c>
      <c r="F235" s="7"/>
      <c r="G235" s="7"/>
      <c r="H235" s="7"/>
      <c r="I235" s="7">
        <v>0</v>
      </c>
      <c r="J235" s="9" t="s">
        <v>175</v>
      </c>
      <c r="K235" s="32">
        <v>360</v>
      </c>
    </row>
    <row r="236" spans="3:11" s="3" customFormat="1" ht="15.95" customHeight="1" x14ac:dyDescent="0.25">
      <c r="C236" s="6" t="s">
        <v>253</v>
      </c>
      <c r="D236" s="6"/>
      <c r="E236" s="7">
        <f t="shared" ref="E236" si="23">I236*K236</f>
        <v>0</v>
      </c>
      <c r="F236" s="7"/>
      <c r="G236" s="7"/>
      <c r="H236" s="7"/>
      <c r="I236" s="7">
        <v>0</v>
      </c>
      <c r="J236" s="9" t="s">
        <v>175</v>
      </c>
      <c r="K236" s="32">
        <v>550</v>
      </c>
    </row>
    <row r="237" spans="3:11" s="3" customFormat="1" ht="15.95" customHeight="1" x14ac:dyDescent="0.25">
      <c r="C237" s="6" t="s">
        <v>254</v>
      </c>
      <c r="D237" s="6"/>
      <c r="E237" s="7">
        <f t="shared" ref="E237" si="24">I237*K237</f>
        <v>0</v>
      </c>
      <c r="F237" s="7"/>
      <c r="G237" s="7"/>
      <c r="H237" s="7"/>
      <c r="I237" s="7">
        <v>0</v>
      </c>
      <c r="J237" s="9" t="s">
        <v>175</v>
      </c>
      <c r="K237" s="32">
        <v>580</v>
      </c>
    </row>
    <row r="238" spans="3:11" s="3" customFormat="1" ht="15.95" customHeight="1" x14ac:dyDescent="0.25">
      <c r="C238" s="6" t="s">
        <v>246</v>
      </c>
      <c r="D238" s="6"/>
      <c r="E238" s="7">
        <f t="shared" si="22"/>
        <v>0</v>
      </c>
      <c r="F238" s="7"/>
      <c r="G238" s="7"/>
      <c r="H238" s="7"/>
      <c r="I238" s="7">
        <v>0</v>
      </c>
      <c r="J238" s="9" t="s">
        <v>175</v>
      </c>
      <c r="K238" s="32">
        <v>680</v>
      </c>
    </row>
    <row r="239" spans="3:11" s="3" customFormat="1" ht="15.95" customHeight="1" x14ac:dyDescent="0.25">
      <c r="C239" s="6" t="s">
        <v>251</v>
      </c>
      <c r="D239" s="6"/>
      <c r="E239" s="7">
        <f t="shared" si="22"/>
        <v>0</v>
      </c>
      <c r="F239" s="7"/>
      <c r="G239" s="7"/>
      <c r="H239" s="7"/>
      <c r="I239" s="7">
        <v>0</v>
      </c>
      <c r="J239" s="9" t="s">
        <v>175</v>
      </c>
      <c r="K239" s="32">
        <v>750</v>
      </c>
    </row>
    <row r="240" spans="3:11" s="3" customFormat="1" ht="15.95" customHeight="1" x14ac:dyDescent="0.25">
      <c r="C240" s="6" t="s">
        <v>247</v>
      </c>
      <c r="D240" s="6"/>
      <c r="E240" s="7">
        <f t="shared" si="22"/>
        <v>0</v>
      </c>
      <c r="F240" s="7"/>
      <c r="G240" s="7"/>
      <c r="H240" s="7"/>
      <c r="I240" s="7">
        <v>0</v>
      </c>
      <c r="J240" s="9" t="s">
        <v>175</v>
      </c>
      <c r="K240" s="32">
        <v>340</v>
      </c>
    </row>
    <row r="241" spans="3:11" s="3" customFormat="1" ht="15.95" customHeight="1" x14ac:dyDescent="0.25">
      <c r="C241" s="6" t="s">
        <v>252</v>
      </c>
      <c r="D241" s="6"/>
      <c r="E241" s="7">
        <f t="shared" si="22"/>
        <v>0</v>
      </c>
      <c r="F241" s="7"/>
      <c r="G241" s="7"/>
      <c r="H241" s="7"/>
      <c r="I241" s="7">
        <v>0</v>
      </c>
      <c r="J241" s="9" t="s">
        <v>175</v>
      </c>
      <c r="K241" s="32">
        <v>160</v>
      </c>
    </row>
    <row r="242" spans="3:11" s="3" customFormat="1" ht="15.95" customHeight="1" x14ac:dyDescent="0.25">
      <c r="C242" s="6" t="s">
        <v>249</v>
      </c>
      <c r="D242" s="6"/>
      <c r="E242" s="7">
        <f>I242*K242</f>
        <v>0</v>
      </c>
      <c r="F242" s="7"/>
      <c r="G242" s="7"/>
      <c r="H242" s="7"/>
      <c r="I242" s="7">
        <v>0</v>
      </c>
      <c r="J242" s="9" t="s">
        <v>175</v>
      </c>
      <c r="K242" s="32">
        <v>130</v>
      </c>
    </row>
    <row r="243" spans="3:11" s="3" customFormat="1" ht="15.95" customHeight="1" x14ac:dyDescent="0.25">
      <c r="C243" s="6" t="s">
        <v>239</v>
      </c>
      <c r="D243" s="6"/>
      <c r="E243" s="7">
        <f>I243*K243</f>
        <v>0</v>
      </c>
      <c r="F243" s="7"/>
      <c r="G243" s="7"/>
      <c r="H243" s="7"/>
      <c r="I243" s="7">
        <v>0</v>
      </c>
      <c r="J243" s="9" t="s">
        <v>175</v>
      </c>
      <c r="K243" s="32">
        <v>130</v>
      </c>
    </row>
    <row r="244" spans="3:11" s="3" customFormat="1" ht="15.95" customHeight="1" x14ac:dyDescent="0.25">
      <c r="C244" s="6" t="s">
        <v>235</v>
      </c>
      <c r="D244" s="6"/>
      <c r="E244" s="7">
        <f>I244*K244</f>
        <v>0</v>
      </c>
      <c r="F244" s="7"/>
      <c r="G244" s="7"/>
      <c r="H244" s="7"/>
      <c r="I244" s="7">
        <v>0</v>
      </c>
      <c r="J244" s="9" t="s">
        <v>175</v>
      </c>
      <c r="K244" s="32">
        <v>400</v>
      </c>
    </row>
    <row r="245" spans="3:11" s="3" customFormat="1" ht="15.95" customHeight="1" x14ac:dyDescent="0.25">
      <c r="C245" s="6" t="s">
        <v>237</v>
      </c>
      <c r="D245" s="6"/>
      <c r="E245" s="7">
        <f>I245*K245</f>
        <v>0</v>
      </c>
      <c r="F245" s="7"/>
      <c r="G245" s="7"/>
      <c r="H245" s="7"/>
      <c r="I245" s="7">
        <v>0</v>
      </c>
      <c r="J245" s="9" t="s">
        <v>175</v>
      </c>
      <c r="K245" s="32">
        <v>260</v>
      </c>
    </row>
    <row r="246" spans="3:11" s="3" customFormat="1" ht="15.95" customHeight="1" x14ac:dyDescent="0.25">
      <c r="C246" s="6" t="s">
        <v>243</v>
      </c>
      <c r="D246" s="6"/>
      <c r="E246" s="7">
        <f t="shared" ref="E246:E248" si="25">I246*K246</f>
        <v>0</v>
      </c>
      <c r="F246" s="7"/>
      <c r="G246" s="7"/>
      <c r="H246" s="7"/>
      <c r="I246" s="7">
        <v>0</v>
      </c>
      <c r="J246" s="9" t="s">
        <v>175</v>
      </c>
      <c r="K246" s="32">
        <v>180</v>
      </c>
    </row>
    <row r="247" spans="3:11" s="3" customFormat="1" ht="15.95" customHeight="1" x14ac:dyDescent="0.25">
      <c r="C247" s="6" t="s">
        <v>244</v>
      </c>
      <c r="D247" s="6"/>
      <c r="E247" s="7">
        <f t="shared" si="25"/>
        <v>0</v>
      </c>
      <c r="F247" s="7"/>
      <c r="G247" s="7"/>
      <c r="H247" s="7"/>
      <c r="I247" s="7">
        <v>0</v>
      </c>
      <c r="J247" s="9" t="s">
        <v>175</v>
      </c>
      <c r="K247" s="32">
        <v>120</v>
      </c>
    </row>
    <row r="248" spans="3:11" s="3" customFormat="1" ht="15.95" customHeight="1" x14ac:dyDescent="0.25">
      <c r="C248" s="6" t="s">
        <v>245</v>
      </c>
      <c r="D248" s="6"/>
      <c r="E248" s="7">
        <f t="shared" si="25"/>
        <v>0</v>
      </c>
      <c r="F248" s="7"/>
      <c r="G248" s="7"/>
      <c r="H248" s="7"/>
      <c r="I248" s="7">
        <v>0</v>
      </c>
      <c r="J248" s="9" t="s">
        <v>175</v>
      </c>
      <c r="K248" s="32">
        <v>220</v>
      </c>
    </row>
    <row r="249" spans="3:11" s="3" customFormat="1" ht="15.95" customHeight="1" x14ac:dyDescent="0.25">
      <c r="C249" s="6" t="s">
        <v>238</v>
      </c>
      <c r="D249" s="6"/>
      <c r="E249" s="7">
        <f t="shared" ref="E249:E254" si="26">I249*K249</f>
        <v>0</v>
      </c>
      <c r="F249" s="7"/>
      <c r="G249" s="7"/>
      <c r="H249" s="7"/>
      <c r="I249" s="7">
        <v>0</v>
      </c>
      <c r="J249" s="9" t="s">
        <v>175</v>
      </c>
      <c r="K249" s="32">
        <v>230</v>
      </c>
    </row>
    <row r="250" spans="3:11" s="3" customFormat="1" ht="15.95" customHeight="1" x14ac:dyDescent="0.25">
      <c r="C250" s="6" t="s">
        <v>240</v>
      </c>
      <c r="D250" s="6"/>
      <c r="E250" s="7">
        <f t="shared" si="26"/>
        <v>0</v>
      </c>
      <c r="F250" s="7"/>
      <c r="G250" s="7"/>
      <c r="H250" s="7"/>
      <c r="I250" s="7">
        <v>0</v>
      </c>
      <c r="J250" s="9" t="s">
        <v>241</v>
      </c>
      <c r="K250" s="32">
        <v>500</v>
      </c>
    </row>
    <row r="251" spans="3:11" s="3" customFormat="1" ht="15.95" customHeight="1" x14ac:dyDescent="0.25">
      <c r="C251" s="6" t="s">
        <v>242</v>
      </c>
      <c r="D251" s="6"/>
      <c r="E251" s="7">
        <f t="shared" si="26"/>
        <v>0</v>
      </c>
      <c r="F251" s="7"/>
      <c r="G251" s="7"/>
      <c r="H251" s="7"/>
      <c r="I251" s="7">
        <v>0</v>
      </c>
      <c r="J251" s="9" t="s">
        <v>175</v>
      </c>
      <c r="K251" s="32">
        <v>180</v>
      </c>
    </row>
    <row r="252" spans="3:11" s="3" customFormat="1" ht="15.95" customHeight="1" x14ac:dyDescent="0.25">
      <c r="C252" s="6" t="s">
        <v>236</v>
      </c>
      <c r="D252" s="6"/>
      <c r="E252" s="7">
        <f t="shared" si="26"/>
        <v>0</v>
      </c>
      <c r="F252" s="7"/>
      <c r="G252" s="7"/>
      <c r="H252" s="7"/>
      <c r="I252" s="7">
        <v>0</v>
      </c>
      <c r="J252" s="9" t="s">
        <v>175</v>
      </c>
      <c r="K252" s="32">
        <v>260</v>
      </c>
    </row>
    <row r="253" spans="3:11" s="3" customFormat="1" ht="15.95" customHeight="1" x14ac:dyDescent="0.25">
      <c r="C253" s="6" t="s">
        <v>231</v>
      </c>
      <c r="D253" s="6"/>
      <c r="E253" s="7">
        <f t="shared" si="26"/>
        <v>0</v>
      </c>
      <c r="F253" s="7"/>
      <c r="G253" s="7"/>
      <c r="H253" s="7"/>
      <c r="I253" s="7">
        <v>0</v>
      </c>
      <c r="J253" s="9" t="s">
        <v>175</v>
      </c>
      <c r="K253" s="32">
        <v>7500</v>
      </c>
    </row>
    <row r="254" spans="3:11" s="3" customFormat="1" ht="15.95" customHeight="1" x14ac:dyDescent="0.25">
      <c r="C254" s="6" t="s">
        <v>233</v>
      </c>
      <c r="D254" s="6"/>
      <c r="E254" s="7">
        <f t="shared" si="26"/>
        <v>0</v>
      </c>
      <c r="F254" s="7"/>
      <c r="G254" s="7"/>
      <c r="H254" s="7"/>
      <c r="I254" s="7">
        <v>0</v>
      </c>
      <c r="J254" s="9" t="s">
        <v>175</v>
      </c>
      <c r="K254" s="32">
        <v>9500</v>
      </c>
    </row>
    <row r="255" spans="3:11" s="3" customFormat="1" ht="15.95" customHeight="1" x14ac:dyDescent="0.25">
      <c r="C255" s="6" t="s">
        <v>232</v>
      </c>
      <c r="D255" s="6"/>
      <c r="E255" s="7">
        <f t="shared" ref="E255" si="27">I255*K255</f>
        <v>0</v>
      </c>
      <c r="F255" s="7"/>
      <c r="G255" s="7"/>
      <c r="H255" s="7"/>
      <c r="I255" s="7">
        <v>0</v>
      </c>
      <c r="J255" s="9" t="s">
        <v>175</v>
      </c>
      <c r="K255" s="32">
        <v>1050</v>
      </c>
    </row>
    <row r="256" spans="3:11" s="3" customFormat="1" ht="15.95" customHeight="1" x14ac:dyDescent="0.25">
      <c r="C256" s="22" t="s">
        <v>223</v>
      </c>
      <c r="D256" s="23">
        <f>SUM(E257:E260)</f>
        <v>0</v>
      </c>
      <c r="E256" s="24"/>
      <c r="F256" s="24"/>
      <c r="G256" s="24"/>
      <c r="H256" s="24"/>
      <c r="I256" s="24"/>
      <c r="J256" s="25"/>
      <c r="K256" s="29"/>
    </row>
    <row r="257" spans="3:11" s="3" customFormat="1" ht="15.95" customHeight="1" x14ac:dyDescent="0.25">
      <c r="C257" s="16" t="s">
        <v>157</v>
      </c>
      <c r="D257" s="12"/>
      <c r="E257" s="10">
        <f>K257*I257</f>
        <v>0</v>
      </c>
      <c r="F257" s="7"/>
      <c r="G257" s="7"/>
      <c r="H257" s="7"/>
      <c r="I257" s="7">
        <v>0</v>
      </c>
      <c r="J257" s="9" t="s">
        <v>120</v>
      </c>
      <c r="K257" s="32">
        <v>125</v>
      </c>
    </row>
    <row r="258" spans="3:11" s="3" customFormat="1" ht="15.95" customHeight="1" x14ac:dyDescent="0.25">
      <c r="C258" s="16" t="s">
        <v>155</v>
      </c>
      <c r="D258" s="12"/>
      <c r="E258" s="10">
        <f>I258*K258</f>
        <v>0</v>
      </c>
      <c r="F258" s="11"/>
      <c r="G258" s="11"/>
      <c r="H258" s="11"/>
      <c r="I258" s="7">
        <v>0</v>
      </c>
      <c r="J258" s="9" t="s">
        <v>158</v>
      </c>
      <c r="K258" s="32">
        <v>1300</v>
      </c>
    </row>
    <row r="259" spans="3:11" s="3" customFormat="1" ht="15.95" customHeight="1" x14ac:dyDescent="0.25">
      <c r="C259" s="16" t="s">
        <v>224</v>
      </c>
      <c r="D259" s="12"/>
      <c r="E259" s="10">
        <f>I259*K259</f>
        <v>0</v>
      </c>
      <c r="F259" s="11"/>
      <c r="G259" s="11"/>
      <c r="H259" s="11"/>
      <c r="I259" s="7">
        <v>0</v>
      </c>
      <c r="J259" s="9" t="s">
        <v>175</v>
      </c>
      <c r="K259" s="32">
        <v>1200</v>
      </c>
    </row>
    <row r="260" spans="3:11" s="3" customFormat="1" ht="15.95" customHeight="1" x14ac:dyDescent="0.25">
      <c r="C260" s="16" t="s">
        <v>156</v>
      </c>
      <c r="D260" s="12"/>
      <c r="E260" s="10">
        <f>I260*K260</f>
        <v>0</v>
      </c>
      <c r="F260" s="11"/>
      <c r="G260" s="11"/>
      <c r="H260" s="11"/>
      <c r="I260" s="7">
        <v>0</v>
      </c>
      <c r="J260" s="9" t="s">
        <v>175</v>
      </c>
      <c r="K260" s="32">
        <v>3000</v>
      </c>
    </row>
    <row r="261" spans="3:11" ht="15.95" customHeight="1" thickBot="1" x14ac:dyDescent="0.3">
      <c r="C261" s="18" t="s">
        <v>60</v>
      </c>
      <c r="D261" s="14">
        <f>SUM(D2:D260)</f>
        <v>0</v>
      </c>
      <c r="E261" s="15"/>
      <c r="F261" s="36"/>
      <c r="G261" s="36"/>
      <c r="H261" s="36"/>
      <c r="I261" s="36"/>
      <c r="J261" s="36"/>
      <c r="K261" s="36"/>
    </row>
    <row r="262" spans="3:11" ht="15.95" customHeight="1" thickTop="1" x14ac:dyDescent="0.25"/>
  </sheetData>
  <autoFilter ref="C1:K261" xr:uid="{00000000-0009-0000-0000-000000000000}"/>
  <mergeCells count="1">
    <mergeCell ref="F261:K26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ignoredErrors>
    <ignoredError sqref="E147 E16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Anaya RADON</cp:lastModifiedBy>
  <cp:lastPrinted>2022-11-30T09:01:41Z</cp:lastPrinted>
  <dcterms:created xsi:type="dcterms:W3CDTF">2022-02-07T11:06:01Z</dcterms:created>
  <dcterms:modified xsi:type="dcterms:W3CDTF">2026-03-05T10:59:25Z</dcterms:modified>
</cp:coreProperties>
</file>