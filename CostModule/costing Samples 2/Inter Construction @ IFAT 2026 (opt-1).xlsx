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nter Construction @ IFAT 2026\Option-1\"/>
    </mc:Choice>
  </mc:AlternateContent>
  <xr:revisionPtr revIDLastSave="0" documentId="13_ncr:1_{416A983A-10D3-47DF-8DCE-4172E6DFC1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E96" i="1"/>
  <c r="E113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1" i="1"/>
  <c r="E221" i="1"/>
  <c r="D220" i="1" s="1"/>
  <c r="D16" i="1" l="1"/>
  <c r="D151" i="1"/>
  <c r="D132" i="1"/>
  <c r="D143" i="1"/>
  <c r="D110" i="1"/>
  <c r="D270" i="1" l="1"/>
</calcChain>
</file>

<file path=xl/sharedStrings.xml><?xml version="1.0" encoding="utf-8"?>
<sst xmlns="http://schemas.openxmlformats.org/spreadsheetml/2006/main" count="581" uniqueCount="283">
  <si>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</si>
  <si>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</si>
  <si>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</si>
  <si>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</si>
  <si>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</si>
  <si>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</si>
  <si>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</si>
  <si>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</si>
  <si>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</si>
  <si>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</si>
  <si>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</si>
  <si>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</si>
  <si>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</si>
  <si>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</si>
  <si>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</si>
  <si>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</si>
  <si>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</si>
  <si>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</si>
  <si>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</si>
  <si>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</si>
  <si>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</si>
  <si>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</si>
  <si>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</si>
  <si>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</si>
  <si>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</si>
  <si>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</si>
  <si>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</si>
  <si>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</si>
  <si>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</si>
  <si>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</si>
  <si>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</si>
  <si>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</si>
  <si>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</si>
  <si>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</si>
  <si>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</si>
  <si>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</si>
  <si>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</si>
  <si>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</si>
  <si>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</si>
  <si>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</si>
  <si>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</si>
  <si>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</si>
  <si>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</si>
  <si>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</si>
  <si>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</si>
  <si>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</si>
  <si>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</si>
  <si>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</si>
  <si>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</si>
  <si>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</si>
  <si>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</si>
  <si>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</si>
  <si>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</si>
  <si>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</si>
  <si>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</si>
  <si>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</si>
  <si>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</si>
  <si>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</si>
  <si>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</si>
  <si>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</si>
  <si>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</si>
  <si>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</si>
  <si>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</si>
  <si>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</si>
  <si>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</si>
  <si>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</si>
  <si>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</si>
  <si>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</si>
  <si>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</si>
  <si>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</si>
  <si>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</si>
  <si>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</si>
  <si>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</si>
  <si>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</si>
  <si>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</si>
  <si>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</si>
  <si>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</si>
  <si>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</si>
  <si>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</si>
  <si>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</si>
  <si>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</si>
  <si>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</si>
  <si>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</si>
  <si>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</si>
  <si>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</si>
  <si>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</si>
  <si>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</si>
  <si>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</si>
  <si>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</si>
  <si>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</si>
  <si>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</si>
  <si>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</si>
  <si>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</si>
  <si>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</si>
  <si>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</si>
  <si>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</si>
  <si>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</si>
  <si>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</si>
  <si>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</si>
  <si>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</si>
  <si>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</si>
  <si>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</si>
  <si>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</si>
  <si>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</si>
  <si>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</si>
  <si>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</si>
  <si>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</si>
  <si>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</si>
  <si>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</si>
  <si>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</si>
  <si>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</si>
  <si>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</si>
  <si>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</si>
  <si>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</si>
  <si>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</si>
  <si>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</si>
  <si>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</si>
  <si>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</si>
  <si>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</si>
  <si>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</si>
  <si>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</si>
  <si>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</si>
  <si>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</si>
  <si>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</si>
  <si>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</si>
  <si>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</si>
  <si>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</si>
  <si>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</si>
  <si>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</si>
  <si>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</si>
  <si>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</si>
  <si>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</si>
  <si>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</si>
  <si>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</si>
  <si>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</si>
  <si>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</si>
  <si>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</si>
  <si>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</si>
  <si>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</si>
  <si>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</si>
  <si>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</si>
  <si>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</si>
  <si>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</si>
  <si>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</si>
  <si>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</si>
  <si>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</si>
  <si>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</si>
  <si>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</si>
  <si>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</si>
  <si>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</si>
  <si>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</si>
  <si>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</si>
  <si>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</si>
  <si>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</si>
  <si>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</si>
  <si>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</si>
  <si>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</si>
  <si>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</si>
  <si>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</si>
  <si>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</si>
  <si>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</si>
  <si>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</si>
  <si>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</si>
  <si>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</si>
  <si>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</si>
  <si>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</si>
  <si>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</si>
  <si>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</si>
  <si>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</si>
  <si>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</si>
  <si>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</si>
  <si>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</si>
  <si>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</si>
  <si>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</si>
  <si>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</si>
  <si>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</si>
  <si>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</si>
  <si>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</si>
  <si>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</si>
  <si>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</si>
  <si>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</si>
  <si>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</si>
  <si>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</si>
  <si>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</si>
  <si>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</si>
  <si>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</si>
  <si>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</si>
  <si>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</si>
  <si>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</si>
  <si>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</si>
  <si>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</si>
  <si>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</si>
  <si>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</si>
  <si>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</si>
  <si>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</si>
  <si>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</si>
  <si>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</si>
  <si>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</si>
  <si>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</si>
  <si>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</si>
  <si>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</si>
  <si>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</si>
  <si>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</si>
  <si>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</si>
  <si>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</si>
  <si>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</si>
  <si>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</si>
  <si>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</si>
  <si>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</si>
  <si>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</si>
  <si>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</si>
  <si>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</si>
  <si>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</si>
  <si>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</si>
  <si>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</si>
  <si>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</si>
  <si>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</si>
  <si>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</si>
  <si>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</si>
  <si>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</si>
  <si>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</si>
  <si>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</si>
  <si>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</si>
  <si>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</si>
  <si>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</si>
  <si>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</si>
  <si>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</si>
  <si>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</si>
  <si>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</si>
  <si>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</si>
  <si>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</si>
  <si>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</si>
  <si>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</si>
  <si>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</si>
  <si>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</si>
  <si>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</si>
  <si>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</si>
  <si>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</si>
  <si>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</si>
  <si>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</si>
  <si>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</si>
  <si>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</si>
  <si>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</si>
  <si>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</si>
  <si>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</si>
  <si>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</si>
  <si>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</si>
  <si>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</si>
  <si>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</si>
  <si>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</si>
  <si>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</si>
  <si>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</si>
  <si>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</si>
  <si>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</si>
  <si>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</si>
  <si>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</si>
  <si>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</si>
  <si>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</si>
  <si>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</si>
  <si>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</si>
  <si>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</si>
  <si>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</si>
  <si>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</si>
  <si>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</si>
  <si>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</si>
  <si>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</si>
  <si>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</si>
  <si>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</si>
  <si>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Reception Counter (Roller Painted)- 2.5 x 1.0x 1.0</t>
  </si>
  <si>
    <t>Reception Counter (Laminated)- 2.5 x 0.5 x 1.0</t>
  </si>
  <si>
    <t>GLASS PARTITION</t>
  </si>
  <si>
    <t>Planter (Roller Painted)</t>
  </si>
  <si>
    <t>Curved Wooden Hanging</t>
  </si>
  <si>
    <t>Wooden Backlit</t>
  </si>
  <si>
    <t>Opt Nr:-  1</t>
  </si>
  <si>
    <t>Date:- 05-03-2026</t>
  </si>
  <si>
    <t>Inter Construction</t>
  </si>
  <si>
    <t>IFAT 2026</t>
  </si>
  <si>
    <t>12M X 6M</t>
  </si>
  <si>
    <t>172 SQM</t>
  </si>
  <si>
    <t>4M</t>
  </si>
  <si>
    <t>04-07.05.2026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</si>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</sst>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1047750</xdr:colOff>
      <xdr:row>263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F48B5-F910-4AE5-B088-6E2DB2D4D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22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2018.4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714</v>
      </c>
      <c r="F4" s="8"/>
      <c r="G4" s="8"/>
      <c r="H4" s="8"/>
      <c r="I4" s="9">
        <v>75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750</v>
      </c>
      <c r="F7" s="8"/>
      <c r="G7" s="8"/>
      <c r="H7" s="8"/>
      <c r="I7" s="9">
        <v>75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457.2</v>
      </c>
      <c r="F8" s="8"/>
      <c r="G8" s="8"/>
      <c r="H8" s="8"/>
      <c r="I8" s="9">
        <v>20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97.199999999999989</v>
      </c>
      <c r="F9" s="8"/>
      <c r="G9" s="8"/>
      <c r="H9" s="8"/>
      <c r="I9" s="9">
        <v>24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1422.07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490</v>
      </c>
      <c r="F18" s="8">
        <v>1</v>
      </c>
      <c r="G18" s="8">
        <v>0.1</v>
      </c>
      <c r="H18" s="8">
        <v>2.5</v>
      </c>
      <c r="I18" s="9">
        <v>7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814.31999999999994</v>
      </c>
      <c r="F33" s="8">
        <v>1</v>
      </c>
      <c r="G33" s="8">
        <v>0.1</v>
      </c>
      <c r="H33" s="8">
        <v>4</v>
      </c>
      <c r="I33" s="9">
        <v>12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117.75</v>
      </c>
      <c r="F79" s="24">
        <v>1</v>
      </c>
      <c r="G79" s="24"/>
      <c r="H79" s="24">
        <v>1</v>
      </c>
      <c r="I79" s="44">
        <v>15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SUM(E88:E109)</f>
        <v>1862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9" si="4">I88*K88</f>
        <v>700</v>
      </c>
      <c r="F88" s="24"/>
      <c r="G88" s="24"/>
      <c r="H88" s="24"/>
      <c r="I88" s="24">
        <v>28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80</v>
      </c>
      <c r="F89" s="24"/>
      <c r="G89" s="24"/>
      <c r="H89" s="24"/>
      <c r="I89" s="24">
        <v>8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32</v>
      </c>
      <c r="F90" s="24"/>
      <c r="G90" s="24"/>
      <c r="H90" s="24"/>
      <c r="I90" s="24">
        <v>16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272</v>
      </c>
      <c r="D95" s="7"/>
      <c r="E95" s="24">
        <f t="shared" si="4"/>
        <v>800</v>
      </c>
      <c r="F95" s="8">
        <v>12</v>
      </c>
      <c r="G95" s="8"/>
      <c r="H95" s="8">
        <v>1</v>
      </c>
      <c r="I95" s="8">
        <v>1</v>
      </c>
      <c r="J95" s="10" t="s">
        <v>166</v>
      </c>
      <c r="K95" s="48">
        <v>800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5">I96*K96</f>
        <v>250</v>
      </c>
      <c r="F96" s="8">
        <v>3.6</v>
      </c>
      <c r="G96" s="8">
        <v>1.5</v>
      </c>
      <c r="H96" s="8"/>
      <c r="I96" s="8">
        <v>1</v>
      </c>
      <c r="J96" s="10" t="s">
        <v>166</v>
      </c>
      <c r="K96" s="48">
        <v>250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4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4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4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4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4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4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4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4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4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278</v>
      </c>
      <c r="C110" s="26" t="s">
        <v>196</v>
      </c>
      <c r="D110" s="27">
        <f>SUM(E111:E131)</f>
        <v>358.69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1" si="6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6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269</v>
      </c>
      <c r="D113" s="7"/>
      <c r="E113" s="8">
        <f t="shared" ref="E113" si="7">I113*K113</f>
        <v>358.69</v>
      </c>
      <c r="F113" s="8">
        <v>2.5</v>
      </c>
      <c r="G113" s="8">
        <v>0.5</v>
      </c>
      <c r="H113" s="8">
        <v>1</v>
      </c>
      <c r="I113" s="8">
        <v>1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238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271</v>
      </c>
      <c r="D144" s="7"/>
      <c r="E144" s="8">
        <f t="shared" ref="E144:E150" si="9">I144*K144</f>
        <v>150</v>
      </c>
      <c r="F144" s="8">
        <v>1.5</v>
      </c>
      <c r="G144" s="8">
        <v>0.2</v>
      </c>
      <c r="H144" s="8">
        <v>1</v>
      </c>
      <c r="I144" s="8">
        <v>1</v>
      </c>
      <c r="J144" s="10" t="s">
        <v>166</v>
      </c>
      <c r="K144" s="30">
        <v>150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18</v>
      </c>
      <c r="F146" s="8">
        <v>0</v>
      </c>
      <c r="G146" s="8">
        <v>0</v>
      </c>
      <c r="H146" s="8">
        <v>0</v>
      </c>
      <c r="I146" s="8">
        <v>6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50</v>
      </c>
      <c r="F147" s="8">
        <v>0</v>
      </c>
      <c r="G147" s="8">
        <v>0</v>
      </c>
      <c r="H147" s="8">
        <v>0</v>
      </c>
      <c r="I147" s="8">
        <v>2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20</v>
      </c>
      <c r="F150" s="8"/>
      <c r="G150" s="8"/>
      <c r="H150" s="8"/>
      <c r="I150" s="8">
        <v>1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748.18000000000006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0</v>
      </c>
      <c r="F152" s="8"/>
      <c r="G152" s="8"/>
      <c r="H152" s="8"/>
      <c r="I152" s="8">
        <v>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60</v>
      </c>
      <c r="F159" s="12"/>
      <c r="G159" s="12"/>
      <c r="H159" s="12"/>
      <c r="I159" s="8">
        <v>12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214.20000000000002</v>
      </c>
      <c r="F160" s="8"/>
      <c r="G160" s="8"/>
      <c r="H160" s="8"/>
      <c r="I160" s="8">
        <v>18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283.5</v>
      </c>
      <c r="F163" s="8"/>
      <c r="G163" s="8"/>
      <c r="H163" s="8"/>
      <c r="I163" s="8">
        <v>70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467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15</v>
      </c>
      <c r="F166" s="12"/>
      <c r="G166" s="12"/>
      <c r="H166" s="12"/>
      <c r="I166" s="8">
        <v>1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192</v>
      </c>
      <c r="F167" s="12"/>
      <c r="G167" s="12"/>
      <c r="H167" s="12"/>
      <c r="I167" s="8">
        <v>16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80</v>
      </c>
      <c r="F168" s="12"/>
      <c r="G168" s="12"/>
      <c r="H168" s="12"/>
      <c r="I168" s="8">
        <v>4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105</v>
      </c>
      <c r="F180" s="12"/>
      <c r="G180" s="12"/>
      <c r="H180" s="12"/>
      <c r="I180" s="8">
        <v>3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1146.52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263.16000000000003</v>
      </c>
      <c r="F210" s="8">
        <v>1</v>
      </c>
      <c r="G210" s="8">
        <v>1</v>
      </c>
      <c r="H210" s="12"/>
      <c r="I210" s="8">
        <v>17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26.2</v>
      </c>
      <c r="F212" s="8">
        <v>1</v>
      </c>
      <c r="G212" s="8">
        <v>1</v>
      </c>
      <c r="H212" s="12"/>
      <c r="I212" s="8">
        <v>2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857.16</v>
      </c>
      <c r="F213" s="8">
        <v>1</v>
      </c>
      <c r="G213" s="8">
        <v>1</v>
      </c>
      <c r="H213" s="12"/>
      <c r="I213" s="8">
        <v>9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250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250</v>
      </c>
      <c r="F234" s="8"/>
      <c r="G234" s="8"/>
      <c r="H234" s="8"/>
      <c r="I234" s="8">
        <v>1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166</v>
      </c>
      <c r="K261" s="48">
        <v>11800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27310.86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2026-03-05T12:32:46Z</dcterms:modified>
</cp:coreProperties>
</file>