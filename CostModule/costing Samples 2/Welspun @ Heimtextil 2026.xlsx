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Welspun @ Heimtextil 2026\"/>
    </mc:Choice>
  </mc:AlternateContent>
  <xr:revisionPtr revIDLastSave="0" documentId="13_ncr:1_{C265405E-BEE0-483B-B302-1932989060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Europe!$C$1:$K$271</definedName>
    <definedName name="_xlnm.Print_Area" localSheetId="0">Europe!$A$1:$H$271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3" i="1" l="1"/>
  <c r="E112" i="1"/>
  <c r="E81" i="1"/>
  <c r="E137" i="1" l="1"/>
  <c r="E270" i="1" l="1"/>
  <c r="D269" i="1" s="1"/>
  <c r="E80" i="1" l="1"/>
  <c r="E79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8" i="1" l="1"/>
  <c r="D267" i="1" s="1"/>
  <c r="E266" i="1"/>
  <c r="D265" i="1" s="1"/>
  <c r="E264" i="1"/>
  <c r="D263" i="1" s="1"/>
  <c r="E262" i="1"/>
  <c r="D261" i="1" s="1"/>
  <c r="E14" i="1" l="1"/>
  <c r="E89" i="1" l="1"/>
  <c r="D88" i="1" s="1"/>
  <c r="E15" i="1" l="1"/>
  <c r="E84" i="1" l="1"/>
  <c r="E85" i="1"/>
  <c r="E86" i="1"/>
  <c r="E210" i="1" l="1"/>
  <c r="E134" i="1"/>
  <c r="E167" i="1"/>
  <c r="D166" i="1" s="1"/>
  <c r="D209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3" i="1" l="1"/>
  <c r="E82" i="1"/>
  <c r="E78" i="1"/>
  <c r="E50" i="1"/>
  <c r="E49" i="1"/>
  <c r="E48" i="1"/>
  <c r="E60" i="1" l="1"/>
  <c r="E62" i="1" l="1"/>
  <c r="E59" i="1"/>
  <c r="E44" i="1" l="1"/>
  <c r="E40" i="1"/>
  <c r="E41" i="1"/>
  <c r="E153" i="1" l="1"/>
  <c r="E145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0" i="1"/>
  <c r="E222" i="1"/>
  <c r="D221" i="1" s="1"/>
  <c r="D16" i="1" l="1"/>
  <c r="D152" i="1"/>
  <c r="D133" i="1"/>
  <c r="D144" i="1"/>
  <c r="D109" i="1"/>
  <c r="D271" i="1" l="1"/>
</calcChain>
</file>

<file path=xl/sharedStrings.xml><?xml version="1.0" encoding="utf-8"?>
<sst xmlns="http://schemas.openxmlformats.org/spreadsheetml/2006/main" count="584" uniqueCount="284">
  <si>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</si>
  <si>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</si>
  <si>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</si>
  <si>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</si>
  <si>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</si>
  <si>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</si>
  <si>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</si>
  <si>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</si>
  <si>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</si>
  <si>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</si>
  <si>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</si>
  <si>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</si>
  <si>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</si>
  <si>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</si>
  <si>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</si>
  <si>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</si>
  <si>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</si>
  <si>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</si>
  <si>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</si>
  <si>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</si>
  <si>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</si>
  <si>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</si>
  <si>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</si>
  <si>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</si>
  <si>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</si>
  <si>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</si>
  <si>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</si>
  <si>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</si>
  <si>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</si>
  <si>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</si>
  <si>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</si>
  <si>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</si>
  <si>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</si>
  <si>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</si>
  <si>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</si>
  <si>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</si>
  <si>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</si>
  <si>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</si>
  <si>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</si>
  <si>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</si>
  <si>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</si>
  <si>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</si>
  <si>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</si>
  <si>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</si>
  <si>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</si>
  <si>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</si>
  <si>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</si>
  <si>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</si>
  <si>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</si>
  <si>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</si>
  <si>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</si>
  <si>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</si>
  <si>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</si>
  <si>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</si>
  <si>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</si>
  <si>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</si>
  <si>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</si>
  <si>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</si>
  <si>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</si>
  <si>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</si>
  <si>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</si>
  <si>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</si>
  <si>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</si>
  <si>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</si>
  <si>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</si>
  <si>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</si>
  <si>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</si>
  <si>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</si>
  <si>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</si>
  <si>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</si>
  <si>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</si>
  <si>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</si>
  <si>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</si>
  <si>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</si>
  <si>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</si>
  <si>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</si>
  <si>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</si>
  <si>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</si>
  <si>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</si>
  <si>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</si>
  <si>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</si>
  <si>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</si>
  <si>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</si>
  <si>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</si>
  <si>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</si>
  <si>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</si>
  <si>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</si>
  <si>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</si>
  <si>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</si>
  <si>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</si>
  <si>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</si>
  <si>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</si>
  <si>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</si>
  <si>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</si>
  <si>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</si>
  <si>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</si>
  <si>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</si>
  <si>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</si>
  <si>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</si>
  <si>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</si>
  <si>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</si>
  <si>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</si>
  <si>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</si>
  <si>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</si>
  <si>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</si>
  <si>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</si>
  <si>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</si>
  <si>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</si>
  <si>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</si>
  <si>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</si>
  <si>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</si>
  <si>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</si>
  <si>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</si>
  <si>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</si>
  <si>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</si>
  <si>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</si>
  <si>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</si>
  <si>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</si>
  <si>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</si>
  <si>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</si>
  <si>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</si>
  <si>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</si>
  <si>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</si>
  <si>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</si>
  <si>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</si>
  <si>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</si>
  <si>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</si>
  <si>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</si>
  <si>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</si>
  <si>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</si>
  <si>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</si>
  <si>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</si>
  <si>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</si>
  <si>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</si>
  <si>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</si>
  <si>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</si>
  <si>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</si>
  <si>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</si>
  <si>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</si>
  <si>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</si>
  <si>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</si>
  <si>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</si>
  <si>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</si>
  <si>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</si>
  <si>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</si>
  <si>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</si>
  <si>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</si>
  <si>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</si>
  <si>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</si>
  <si>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</si>
  <si>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</si>
  <si>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</si>
  <si>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</si>
  <si>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</si>
  <si>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</si>
  <si>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</si>
  <si>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</si>
  <si>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</si>
  <si>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</si>
  <si>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</si>
  <si>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</si>
  <si>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</si>
  <si>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</si>
  <si>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</si>
  <si>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</si>
  <si>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</si>
  <si>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</si>
  <si>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</si>
  <si>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</si>
  <si>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</si>
  <si>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</si>
  <si>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</si>
  <si>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</si>
  <si>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</si>
  <si>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</si>
  <si>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</si>
  <si>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</si>
  <si>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</si>
  <si>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</si>
  <si>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</si>
  <si>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</si>
  <si>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</si>
  <si>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</si>
  <si>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</si>
  <si>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</si>
  <si>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</si>
  <si>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</si>
  <si>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</si>
  <si>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</si>
  <si>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</si>
  <si>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</si>
  <si>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</si>
  <si>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</si>
  <si>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</si>
  <si>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</si>
  <si>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</si>
  <si>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</si>
  <si>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</si>
  <si>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</si>
  <si>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</si>
  <si>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</si>
  <si>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</si>
  <si>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</si>
  <si>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</si>
  <si>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</si>
  <si>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</si>
  <si>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</si>
  <si>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</si>
  <si>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</si>
  <si>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</si>
  <si>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</si>
  <si>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</si>
  <si>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</si>
  <si>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</si>
  <si>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</si>
  <si>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</si>
  <si>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</si>
  <si>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</si>
  <si>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</si>
  <si>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</si>
  <si>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</si>
  <si>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</si>
  <si>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</si>
  <si>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</si>
  <si>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</si>
  <si>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</si>
  <si>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</si>
  <si>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</si>
  <si>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</si>
  <si>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</si>
  <si>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</si>
  <si>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</si>
  <si>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</si>
  <si>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</si>
  <si>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</si>
  <si>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</si>
  <si>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</si>
  <si>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</si>
  <si>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</si>
  <si>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</si>
  <si>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</si>
  <si>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</si>
  <si>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</si>
  <si>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</si>
  <si>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</si>
  <si>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</si>
  <si>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</si>
  <si>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</si>
  <si>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</si>
  <si>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</si>
  <si>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</si>
  <si>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</si>
  <si>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</si>
  <si>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</si>
  <si>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</si>
  <si>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</si>
  <si>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</si>
  <si>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</si>
  <si>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</si>
  <si>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</si>
  <si>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</si>
  <si>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</si>
  <si>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</si>
  <si>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</si>
  <si>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</si>
  <si>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</si>
  <si>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</si>
  <si>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</si>
  <si>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</si>
  <si>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</si>
  <si>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</si>
  <si>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MDF- 16mm (Single side Laminated)</t>
  </si>
  <si>
    <t>Display (Laminated)- 0.5 x 0.5 x 0.6</t>
  </si>
  <si>
    <t>Display (Laminated)- 1.5 x 0.4 x 1.0</t>
  </si>
  <si>
    <t>HANGING LAMP (Table)</t>
  </si>
  <si>
    <t>Opt Nr:-  1</t>
  </si>
  <si>
    <t>Date:- 12-11-2025</t>
  </si>
  <si>
    <t>WELSPUN</t>
  </si>
  <si>
    <t>HEIMTEXTIL 2026</t>
  </si>
  <si>
    <t>8M X 8M</t>
  </si>
  <si>
    <t>64 SQM</t>
  </si>
  <si>
    <t>4M</t>
  </si>
  <si>
    <t>13-16 January, 2026</t>
  </si>
  <si>
    <t>FRANKFURT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</si>
</sst>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1</xdr:col>
      <xdr:colOff>1051692</xdr:colOff>
      <xdr:row>266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980074-3957-45FD-B5FE-3D18A7669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8967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2"/>
  <sheetViews>
    <sheetView tabSelected="1" zoomScaleNormal="100" zoomScaleSheetLayoutView="85" workbookViewId="0">
      <pane ySplit="1" topLeftCell="A2" activePane="bottomLeft" state="frozen"/>
      <selection pane="bottomLeft" activeCell="D261" sqref="D261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276</v>
      </c>
      <c r="C1" s="19" t="s">
        <v>46</v>
      </c>
      <c r="D1" s="19" t="s">
        <v>130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266</v>
      </c>
    </row>
    <row r="2" spans="1:11" s="4" customFormat="1" ht="15.95" customHeight="1" x14ac:dyDescent="0.25">
      <c r="A2" s="21" t="s">
        <v>139</v>
      </c>
      <c r="B2" s="4" t="s">
        <v>277</v>
      </c>
      <c r="C2" s="26" t="s">
        <v>150</v>
      </c>
      <c r="D2" s="27">
        <f>SUM(E3:E11)</f>
        <v>811.7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143</v>
      </c>
      <c r="F3" s="8"/>
      <c r="G3" s="8"/>
      <c r="H3" s="8"/>
      <c r="I3" s="9">
        <v>50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257.21999999999997</v>
      </c>
      <c r="F5" s="8"/>
      <c r="G5" s="8"/>
      <c r="H5" s="8"/>
      <c r="I5" s="9">
        <v>18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411.48</v>
      </c>
      <c r="F8" s="8"/>
      <c r="G8" s="8"/>
      <c r="H8" s="8"/>
      <c r="I8" s="9">
        <v>18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278</v>
      </c>
      <c r="C12" s="26" t="s">
        <v>193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283</v>
      </c>
      <c r="C16" s="26" t="s">
        <v>183</v>
      </c>
      <c r="D16" s="27">
        <f>SUM(E17:E87)</f>
        <v>2962.91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1085.76</v>
      </c>
      <c r="F33" s="8">
        <v>1</v>
      </c>
      <c r="G33" s="8">
        <v>0.1</v>
      </c>
      <c r="H33" s="8">
        <v>4</v>
      </c>
      <c r="I33" s="9">
        <v>16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370.28</v>
      </c>
      <c r="F34" s="8">
        <v>1</v>
      </c>
      <c r="G34" s="8">
        <v>0.1</v>
      </c>
      <c r="H34" s="8">
        <v>4</v>
      </c>
      <c r="I34" s="9">
        <v>4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2:11" ht="15.95" hidden="1" customHeight="1" x14ac:dyDescent="0.25">
      <c r="C49" s="7" t="s">
        <v>94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2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2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2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102.38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2:11" ht="15.95" hidden="1" customHeight="1" x14ac:dyDescent="0.25">
      <c r="C62" s="7" t="s">
        <v>77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155</v>
      </c>
      <c r="K63" s="30">
        <v>96.29</v>
      </c>
    </row>
    <row r="64" spans="2:11" ht="15.95" hidden="1" customHeight="1" x14ac:dyDescent="0.25">
      <c r="B64" s="29" t="s">
        <v>248</v>
      </c>
      <c r="C64" s="7" t="s">
        <v>31</v>
      </c>
      <c r="D64" s="7"/>
      <c r="E64" s="8">
        <f t="shared" si="2"/>
        <v>630</v>
      </c>
      <c r="F64" s="8">
        <v>1</v>
      </c>
      <c r="G64" s="8">
        <v>0.2</v>
      </c>
      <c r="H64" s="8">
        <v>4</v>
      </c>
      <c r="I64" s="9">
        <v>5</v>
      </c>
      <c r="J64" s="10" t="s">
        <v>155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179.71</v>
      </c>
    </row>
    <row r="67" spans="1:11" ht="15.95" hidden="1" customHeight="1" x14ac:dyDescent="0.25">
      <c r="C67" s="7" t="s">
        <v>68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155</v>
      </c>
      <c r="K67" s="30">
        <v>100.95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130.94999999999999</v>
      </c>
    </row>
    <row r="69" spans="1:11" ht="15.95" hidden="1" customHeight="1" x14ac:dyDescent="0.25">
      <c r="C69" s="7" t="s">
        <v>107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140.47999999999999</v>
      </c>
    </row>
    <row r="70" spans="1:11" ht="15.95" hidden="1" customHeight="1" x14ac:dyDescent="0.25">
      <c r="C70" s="7" t="s">
        <v>137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357.14</v>
      </c>
    </row>
    <row r="71" spans="1:11" ht="15.95" hidden="1" customHeight="1" x14ac:dyDescent="0.25">
      <c r="C71" s="7" t="s">
        <v>66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155</v>
      </c>
      <c r="K71" s="30">
        <v>111.43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145.24</v>
      </c>
    </row>
    <row r="73" spans="1:11" ht="15.95" hidden="1" customHeight="1" x14ac:dyDescent="0.25">
      <c r="C73" s="7" t="s">
        <v>108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167.86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348.87</v>
      </c>
      <c r="F75" s="8">
        <v>1</v>
      </c>
      <c r="G75" s="8">
        <v>0.2</v>
      </c>
      <c r="H75" s="8">
        <v>6</v>
      </c>
      <c r="I75" s="9">
        <v>3</v>
      </c>
      <c r="J75" s="10" t="s">
        <v>155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259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260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261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15.7</v>
      </c>
    </row>
    <row r="81" spans="1:11" customFormat="1" ht="15.95" hidden="1" customHeight="1" x14ac:dyDescent="0.25">
      <c r="A81" s="43"/>
      <c r="B81" s="45"/>
      <c r="C81" s="23" t="s">
        <v>271</v>
      </c>
      <c r="D81" s="23"/>
      <c r="E81" s="24">
        <f t="shared" ref="E81" si="3">I81*K81</f>
        <v>528</v>
      </c>
      <c r="F81" s="24">
        <v>1</v>
      </c>
      <c r="G81" s="24"/>
      <c r="H81" s="24">
        <v>1</v>
      </c>
      <c r="I81" s="44">
        <v>24</v>
      </c>
      <c r="J81" s="25" t="s">
        <v>260</v>
      </c>
      <c r="K81" s="30">
        <v>22</v>
      </c>
    </row>
    <row r="82" spans="1:11" ht="15.95" hidden="1" customHeight="1" x14ac:dyDescent="0.25">
      <c r="C82" s="7" t="s">
        <v>94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41.67</v>
      </c>
    </row>
    <row r="83" spans="1:11" ht="15.95" hidden="1" customHeight="1" x14ac:dyDescent="0.25">
      <c r="C83" s="7" t="s">
        <v>95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83.33</v>
      </c>
    </row>
    <row r="84" spans="1:11" ht="15.95" hidden="1" customHeight="1" x14ac:dyDescent="0.25">
      <c r="B84" s="29" t="s">
        <v>248</v>
      </c>
      <c r="C84" s="7" t="s">
        <v>172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110</v>
      </c>
      <c r="K84" s="30">
        <v>47.62</v>
      </c>
    </row>
    <row r="85" spans="1:11" ht="15.95" hidden="1" customHeight="1" x14ac:dyDescent="0.25">
      <c r="B85" s="29" t="s">
        <v>248</v>
      </c>
      <c r="C85" s="7" t="s">
        <v>173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B86" s="29" t="s">
        <v>248</v>
      </c>
      <c r="C86" s="7" t="s">
        <v>174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C87" s="7" t="s">
        <v>175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110</v>
      </c>
      <c r="K87" s="30">
        <v>32.14</v>
      </c>
    </row>
    <row r="88" spans="1:11" s="4" customFormat="1" ht="15.95" customHeight="1" x14ac:dyDescent="0.25">
      <c r="A88" s="21" t="s">
        <v>144</v>
      </c>
      <c r="B88" s="4" t="s">
        <v>282</v>
      </c>
      <c r="C88" s="26" t="s">
        <v>194</v>
      </c>
      <c r="D88" s="27">
        <f>SUM(E89:E108)</f>
        <v>1156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248</v>
      </c>
      <c r="C89" s="23" t="s">
        <v>169</v>
      </c>
      <c r="D89" s="23"/>
      <c r="E89" s="24">
        <f t="shared" ref="E89:E108" si="5">I89*K89</f>
        <v>300</v>
      </c>
      <c r="F89" s="24"/>
      <c r="G89" s="24"/>
      <c r="H89" s="24"/>
      <c r="I89" s="24">
        <v>12</v>
      </c>
      <c r="J89" s="25" t="s">
        <v>165</v>
      </c>
      <c r="K89" s="48">
        <v>25</v>
      </c>
    </row>
    <row r="90" spans="1:11" s="22" customFormat="1" ht="15.95" hidden="1" customHeight="1" x14ac:dyDescent="0.25">
      <c r="B90" s="29" t="s">
        <v>248</v>
      </c>
      <c r="C90" s="23" t="s">
        <v>191</v>
      </c>
      <c r="D90" s="23"/>
      <c r="E90" s="24">
        <f t="shared" si="5"/>
        <v>40</v>
      </c>
      <c r="F90" s="24"/>
      <c r="G90" s="24"/>
      <c r="H90" s="24"/>
      <c r="I90" s="24">
        <v>4</v>
      </c>
      <c r="J90" s="25" t="s">
        <v>165</v>
      </c>
      <c r="K90" s="48">
        <v>10</v>
      </c>
    </row>
    <row r="91" spans="1:11" s="22" customFormat="1" ht="15.95" hidden="1" customHeight="1" x14ac:dyDescent="0.25">
      <c r="B91" s="29" t="s">
        <v>248</v>
      </c>
      <c r="C91" s="23" t="s">
        <v>192</v>
      </c>
      <c r="D91" s="23"/>
      <c r="E91" s="24">
        <f t="shared" si="5"/>
        <v>16</v>
      </c>
      <c r="F91" s="24"/>
      <c r="G91" s="24"/>
      <c r="H91" s="24"/>
      <c r="I91" s="24">
        <v>8</v>
      </c>
      <c r="J91" s="25" t="s">
        <v>165</v>
      </c>
      <c r="K91" s="48">
        <v>2</v>
      </c>
    </row>
    <row r="92" spans="1:11" s="4" customFormat="1" ht="15.95" hidden="1" customHeight="1" x14ac:dyDescent="0.25">
      <c r="B92" s="29" t="s">
        <v>248</v>
      </c>
      <c r="C92" s="7" t="s">
        <v>249</v>
      </c>
      <c r="D92" s="7"/>
      <c r="E92" s="24">
        <f t="shared" si="5"/>
        <v>800</v>
      </c>
      <c r="F92" s="8"/>
      <c r="G92" s="8"/>
      <c r="H92" s="8"/>
      <c r="I92" s="8">
        <v>1</v>
      </c>
      <c r="J92" s="10" t="s">
        <v>165</v>
      </c>
      <c r="K92" s="48">
        <v>800</v>
      </c>
    </row>
    <row r="93" spans="1:11" s="4" customFormat="1" ht="15.95" hidden="1" customHeight="1" x14ac:dyDescent="0.25">
      <c r="B93" s="29" t="s">
        <v>248</v>
      </c>
      <c r="C93" s="7" t="s">
        <v>250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165</v>
      </c>
      <c r="K93" s="48">
        <v>1210</v>
      </c>
    </row>
    <row r="94" spans="1:11" s="4" customFormat="1" ht="15.95" hidden="1" customHeight="1" x14ac:dyDescent="0.25">
      <c r="B94" s="29" t="s">
        <v>248</v>
      </c>
      <c r="C94" s="7" t="s">
        <v>264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165</v>
      </c>
      <c r="K94" s="48">
        <v>1820</v>
      </c>
    </row>
    <row r="95" spans="1:11" s="4" customFormat="1" ht="15.95" hidden="1" customHeight="1" x14ac:dyDescent="0.25">
      <c r="B95" s="29" t="s">
        <v>248</v>
      </c>
      <c r="C95" s="7" t="s">
        <v>265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165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1000</v>
      </c>
    </row>
    <row r="98" spans="1:11" s="4" customFormat="1" ht="15.95" hidden="1" customHeight="1" x14ac:dyDescent="0.25">
      <c r="B98" s="42"/>
      <c r="C98" s="7" t="s">
        <v>176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165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165</v>
      </c>
      <c r="K99" s="48">
        <v>1166.67</v>
      </c>
    </row>
    <row r="100" spans="1:11" s="4" customFormat="1" ht="15.95" hidden="1" customHeight="1" x14ac:dyDescent="0.25">
      <c r="B100" s="42"/>
      <c r="C100" s="7" t="s">
        <v>132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165</v>
      </c>
      <c r="K100" s="48">
        <v>35.71</v>
      </c>
    </row>
    <row r="101" spans="1:11" s="4" customFormat="1" ht="15.95" hidden="1" customHeight="1" x14ac:dyDescent="0.25">
      <c r="B101" s="29" t="s">
        <v>248</v>
      </c>
      <c r="C101" s="7" t="s">
        <v>113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110</v>
      </c>
      <c r="K101" s="48">
        <v>23.33</v>
      </c>
    </row>
    <row r="102" spans="1:11" s="4" customFormat="1" ht="15.95" hidden="1" customHeight="1" x14ac:dyDescent="0.25">
      <c r="B102" s="29" t="s">
        <v>248</v>
      </c>
      <c r="C102" s="7" t="s">
        <v>115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12.86</v>
      </c>
    </row>
    <row r="103" spans="1:11" s="4" customFormat="1" ht="15.95" hidden="1" customHeight="1" x14ac:dyDescent="0.25">
      <c r="B103" s="29" t="s">
        <v>248</v>
      </c>
      <c r="C103" s="7" t="s">
        <v>116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11.9</v>
      </c>
    </row>
    <row r="104" spans="1:11" s="4" customFormat="1" ht="15.95" hidden="1" customHeight="1" x14ac:dyDescent="0.25">
      <c r="B104" s="29" t="s">
        <v>248</v>
      </c>
      <c r="C104" s="7" t="s">
        <v>117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9.52</v>
      </c>
    </row>
    <row r="105" spans="1:11" s="4" customFormat="1" ht="15.95" hidden="1" customHeight="1" x14ac:dyDescent="0.25">
      <c r="C105" s="7" t="s">
        <v>251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110</v>
      </c>
      <c r="K105" s="48">
        <v>15.48</v>
      </c>
    </row>
    <row r="106" spans="1:11" s="4" customFormat="1" ht="15.95" hidden="1" customHeight="1" x14ac:dyDescent="0.25">
      <c r="C106" s="7" t="s">
        <v>114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110</v>
      </c>
      <c r="K106" s="48">
        <v>16.07</v>
      </c>
    </row>
    <row r="107" spans="1:11" s="4" customFormat="1" ht="15.95" hidden="1" customHeight="1" x14ac:dyDescent="0.25">
      <c r="C107" s="7" t="s">
        <v>118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165</v>
      </c>
      <c r="K107" s="48">
        <v>2142.86</v>
      </c>
    </row>
    <row r="108" spans="1:11" s="4" customFormat="1" ht="15.95" hidden="1" customHeight="1" x14ac:dyDescent="0.25">
      <c r="C108" s="7" t="s">
        <v>133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165</v>
      </c>
      <c r="K108" s="48">
        <v>11.9</v>
      </c>
    </row>
    <row r="109" spans="1:11" s="4" customFormat="1" ht="15.95" customHeight="1" x14ac:dyDescent="0.25">
      <c r="A109" s="21" t="s">
        <v>140</v>
      </c>
      <c r="B109" s="4" t="s">
        <v>279</v>
      </c>
      <c r="C109" s="26" t="s">
        <v>195</v>
      </c>
      <c r="D109" s="27">
        <f>SUM(E110:E132)</f>
        <v>749.76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268</v>
      </c>
      <c r="D110" s="7"/>
      <c r="E110" s="8">
        <f t="shared" ref="E110:E132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262.86</v>
      </c>
    </row>
    <row r="111" spans="1:11" s="4" customFormat="1" ht="15.95" hidden="1" customHeight="1" x14ac:dyDescent="0.25">
      <c r="C111" s="7" t="s">
        <v>253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564.6</v>
      </c>
    </row>
    <row r="112" spans="1:11" s="4" customFormat="1" ht="15.95" hidden="1" customHeight="1" x14ac:dyDescent="0.25">
      <c r="C112" s="7" t="s">
        <v>269</v>
      </c>
      <c r="D112" s="7"/>
      <c r="E112" s="8">
        <f t="shared" ref="E112:E113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165</v>
      </c>
      <c r="K112" s="30">
        <v>358.69</v>
      </c>
    </row>
    <row r="113" spans="2:11" s="4" customFormat="1" ht="15.95" hidden="1" customHeight="1" x14ac:dyDescent="0.25">
      <c r="C113" s="7" t="s">
        <v>272</v>
      </c>
      <c r="D113" s="7"/>
      <c r="E113" s="8">
        <f t="shared" si="7"/>
        <v>595</v>
      </c>
      <c r="F113" s="8">
        <v>0.5</v>
      </c>
      <c r="G113" s="8">
        <v>0.5</v>
      </c>
      <c r="H113" s="8">
        <v>0.6</v>
      </c>
      <c r="I113" s="8">
        <v>5</v>
      </c>
      <c r="J113" s="10" t="s">
        <v>165</v>
      </c>
      <c r="K113" s="30">
        <v>119</v>
      </c>
    </row>
    <row r="114" spans="2:11" s="4" customFormat="1" ht="15.95" hidden="1" customHeight="1" x14ac:dyDescent="0.25">
      <c r="C114" s="7" t="s">
        <v>273</v>
      </c>
      <c r="D114" s="7"/>
      <c r="E114" s="8">
        <f t="shared" si="6"/>
        <v>154.76</v>
      </c>
      <c r="F114" s="8">
        <v>1.5</v>
      </c>
      <c r="G114" s="8">
        <v>0.4</v>
      </c>
      <c r="H114" s="8">
        <v>1</v>
      </c>
      <c r="I114" s="8">
        <v>1</v>
      </c>
      <c r="J114" s="10" t="s">
        <v>165</v>
      </c>
      <c r="K114" s="30">
        <v>154.76</v>
      </c>
    </row>
    <row r="115" spans="2:11" s="4" customFormat="1" ht="15.95" hidden="1" customHeight="1" x14ac:dyDescent="0.25">
      <c r="C115" s="7" t="s">
        <v>254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165</v>
      </c>
      <c r="K115" s="30">
        <v>302.29000000000002</v>
      </c>
    </row>
    <row r="116" spans="2:11" s="4" customFormat="1" ht="15.95" hidden="1" customHeight="1" x14ac:dyDescent="0.25">
      <c r="C116" s="7" t="s">
        <v>252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165</v>
      </c>
      <c r="K116" s="30">
        <v>604.02</v>
      </c>
    </row>
    <row r="117" spans="2:11" s="4" customFormat="1" ht="15.95" hidden="1" customHeight="1" x14ac:dyDescent="0.25">
      <c r="C117" s="7" t="s">
        <v>255</v>
      </c>
      <c r="D117" s="7"/>
      <c r="E117" s="8">
        <f t="shared" si="6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165</v>
      </c>
      <c r="K117" s="30">
        <v>423.86</v>
      </c>
    </row>
    <row r="118" spans="2:11" s="4" customFormat="1" ht="15.95" hidden="1" customHeight="1" x14ac:dyDescent="0.25">
      <c r="C118" s="7" t="s">
        <v>156</v>
      </c>
      <c r="D118" s="7"/>
      <c r="E118" s="8">
        <f t="shared" si="6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165</v>
      </c>
      <c r="K118" s="30">
        <v>595.24</v>
      </c>
    </row>
    <row r="119" spans="2:11" s="4" customFormat="1" ht="15.95" hidden="1" customHeight="1" x14ac:dyDescent="0.25">
      <c r="C119" s="7" t="s">
        <v>196</v>
      </c>
      <c r="D119" s="7"/>
      <c r="E119" s="8">
        <f t="shared" si="6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165</v>
      </c>
      <c r="K119" s="30">
        <v>161.9</v>
      </c>
    </row>
    <row r="120" spans="2:11" s="4" customFormat="1" ht="15.95" hidden="1" customHeight="1" x14ac:dyDescent="0.25">
      <c r="C120" s="7" t="s">
        <v>197</v>
      </c>
      <c r="D120" s="7"/>
      <c r="E120" s="8">
        <f t="shared" si="6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165</v>
      </c>
      <c r="K120" s="30">
        <v>190.48</v>
      </c>
    </row>
    <row r="121" spans="2:11" s="4" customFormat="1" ht="15.95" hidden="1" customHeight="1" x14ac:dyDescent="0.25">
      <c r="C121" s="7" t="s">
        <v>198</v>
      </c>
      <c r="D121" s="7"/>
      <c r="E121" s="8">
        <f t="shared" si="6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165</v>
      </c>
      <c r="K121" s="30">
        <v>216.67</v>
      </c>
    </row>
    <row r="122" spans="2:11" s="4" customFormat="1" ht="15.95" hidden="1" customHeight="1" x14ac:dyDescent="0.25">
      <c r="C122" s="7" t="s">
        <v>199</v>
      </c>
      <c r="D122" s="7"/>
      <c r="E122" s="8">
        <f t="shared" si="6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165</v>
      </c>
      <c r="K122" s="30">
        <v>154.76</v>
      </c>
    </row>
    <row r="123" spans="2:11" s="4" customFormat="1" ht="15.95" hidden="1" customHeight="1" x14ac:dyDescent="0.25">
      <c r="C123" s="7" t="s">
        <v>200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165</v>
      </c>
      <c r="K123" s="30">
        <v>177.98</v>
      </c>
    </row>
    <row r="124" spans="2:11" s="4" customFormat="1" ht="15.95" hidden="1" customHeight="1" x14ac:dyDescent="0.25">
      <c r="C124" s="7" t="s">
        <v>201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165</v>
      </c>
      <c r="K124" s="30">
        <v>260.12</v>
      </c>
    </row>
    <row r="125" spans="2:11" s="4" customFormat="1" ht="15.95" hidden="1" customHeight="1" x14ac:dyDescent="0.25">
      <c r="B125" s="29" t="s">
        <v>248</v>
      </c>
      <c r="C125" s="7" t="s">
        <v>119</v>
      </c>
      <c r="D125" s="7"/>
      <c r="E125" s="8">
        <f t="shared" si="6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165</v>
      </c>
      <c r="K125" s="30">
        <v>210</v>
      </c>
    </row>
    <row r="126" spans="2:11" s="4" customFormat="1" ht="15.95" hidden="1" customHeight="1" x14ac:dyDescent="0.25">
      <c r="C126" s="7" t="s">
        <v>124</v>
      </c>
      <c r="D126" s="7"/>
      <c r="E126" s="8">
        <f t="shared" si="6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165</v>
      </c>
      <c r="K126" s="30">
        <v>223.81</v>
      </c>
    </row>
    <row r="127" spans="2:11" s="4" customFormat="1" ht="15.95" hidden="1" customHeight="1" x14ac:dyDescent="0.25">
      <c r="C127" s="7" t="s">
        <v>125</v>
      </c>
      <c r="D127" s="7"/>
      <c r="E127" s="8">
        <f t="shared" si="6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165</v>
      </c>
      <c r="K127" s="30">
        <v>65</v>
      </c>
    </row>
    <row r="128" spans="2:11" s="4" customFormat="1" ht="15.95" hidden="1" customHeight="1" x14ac:dyDescent="0.25">
      <c r="C128" s="7" t="s">
        <v>126</v>
      </c>
      <c r="D128" s="7"/>
      <c r="E128" s="8">
        <f t="shared" si="6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165</v>
      </c>
      <c r="K128" s="30">
        <v>35</v>
      </c>
    </row>
    <row r="129" spans="1:11" s="4" customFormat="1" ht="15.95" hidden="1" customHeight="1" x14ac:dyDescent="0.25">
      <c r="B129" s="29" t="s">
        <v>248</v>
      </c>
      <c r="C129" s="7" t="s">
        <v>55</v>
      </c>
      <c r="D129" s="7"/>
      <c r="E129" s="8">
        <f t="shared" si="6"/>
        <v>0</v>
      </c>
      <c r="F129" s="8"/>
      <c r="G129" s="8"/>
      <c r="H129" s="8"/>
      <c r="I129" s="8">
        <v>0</v>
      </c>
      <c r="J129" s="10" t="s">
        <v>165</v>
      </c>
      <c r="K129" s="30">
        <v>12</v>
      </c>
    </row>
    <row r="130" spans="1:11" s="4" customFormat="1" ht="15.95" hidden="1" customHeight="1" x14ac:dyDescent="0.25">
      <c r="C130" s="7" t="s">
        <v>129</v>
      </c>
      <c r="D130" s="7"/>
      <c r="E130" s="8">
        <f t="shared" si="6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110</v>
      </c>
      <c r="K130" s="30">
        <v>21.9</v>
      </c>
    </row>
    <row r="131" spans="1:11" s="4" customFormat="1" ht="15.95" hidden="1" customHeight="1" x14ac:dyDescent="0.25">
      <c r="C131" s="7" t="s">
        <v>202</v>
      </c>
      <c r="D131" s="7"/>
      <c r="E131" s="8">
        <f t="shared" si="6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165</v>
      </c>
      <c r="K131" s="30">
        <v>177.98</v>
      </c>
    </row>
    <row r="132" spans="1:11" s="4" customFormat="1" ht="15.95" hidden="1" customHeight="1" x14ac:dyDescent="0.25">
      <c r="C132" s="7" t="s">
        <v>177</v>
      </c>
      <c r="D132" s="7"/>
      <c r="E132" s="8">
        <f t="shared" si="6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165</v>
      </c>
      <c r="K132" s="30">
        <v>383.33</v>
      </c>
    </row>
    <row r="133" spans="1:11" s="4" customFormat="1" ht="15.95" customHeight="1" x14ac:dyDescent="0.25">
      <c r="A133" s="21" t="s">
        <v>142</v>
      </c>
      <c r="B133" s="4" t="s">
        <v>280</v>
      </c>
      <c r="C133" s="26" t="s">
        <v>203</v>
      </c>
      <c r="D133" s="27">
        <f>SUM(E134:E143)</f>
        <v>35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248</v>
      </c>
      <c r="C134" s="7" t="s">
        <v>49</v>
      </c>
      <c r="D134" s="7"/>
      <c r="E134" s="8">
        <f t="shared" ref="E134:E143" si="8">I134*K134</f>
        <v>35</v>
      </c>
      <c r="F134" s="12"/>
      <c r="G134" s="12"/>
      <c r="H134" s="12"/>
      <c r="I134" s="8">
        <v>1</v>
      </c>
      <c r="J134" s="10" t="s">
        <v>165</v>
      </c>
      <c r="K134" s="30">
        <v>35</v>
      </c>
    </row>
    <row r="135" spans="1:11" s="4" customFormat="1" ht="15.95" hidden="1" customHeight="1" x14ac:dyDescent="0.25">
      <c r="B135" s="29" t="s">
        <v>248</v>
      </c>
      <c r="C135" s="7" t="s">
        <v>50</v>
      </c>
      <c r="D135" s="7"/>
      <c r="E135" s="8">
        <f t="shared" si="8"/>
        <v>0</v>
      </c>
      <c r="F135" s="8"/>
      <c r="G135" s="8"/>
      <c r="H135" s="8"/>
      <c r="I135" s="8">
        <v>0</v>
      </c>
      <c r="J135" s="10" t="s">
        <v>165</v>
      </c>
      <c r="K135" s="30">
        <v>50</v>
      </c>
    </row>
    <row r="136" spans="1:11" s="4" customFormat="1" ht="15.95" hidden="1" customHeight="1" x14ac:dyDescent="0.25">
      <c r="B136" s="29" t="s">
        <v>248</v>
      </c>
      <c r="C136" s="7" t="s">
        <v>270</v>
      </c>
      <c r="D136" s="7"/>
      <c r="E136" s="8">
        <f t="shared" si="8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165</v>
      </c>
      <c r="K136" s="30">
        <v>119.05</v>
      </c>
    </row>
    <row r="137" spans="1:11" s="4" customFormat="1" ht="15.95" hidden="1" customHeight="1" x14ac:dyDescent="0.25">
      <c r="C137" s="7" t="s">
        <v>121</v>
      </c>
      <c r="D137" s="7"/>
      <c r="E137" s="8">
        <f t="shared" si="8"/>
        <v>0</v>
      </c>
      <c r="F137" s="8">
        <v>1</v>
      </c>
      <c r="G137" s="8">
        <v>1</v>
      </c>
      <c r="H137" s="8"/>
      <c r="I137" s="8">
        <v>0</v>
      </c>
      <c r="J137" s="10" t="s">
        <v>110</v>
      </c>
      <c r="K137" s="30">
        <v>28.57</v>
      </c>
    </row>
    <row r="138" spans="1:11" s="4" customFormat="1" ht="15.95" hidden="1" customHeight="1" x14ac:dyDescent="0.25">
      <c r="C138" s="7" t="s">
        <v>73</v>
      </c>
      <c r="D138" s="7"/>
      <c r="E138" s="8">
        <f t="shared" si="8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165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8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165</v>
      </c>
      <c r="K139" s="30">
        <v>136.9</v>
      </c>
    </row>
    <row r="140" spans="1:11" s="4" customFormat="1" ht="15.95" hidden="1" customHeight="1" x14ac:dyDescent="0.25">
      <c r="C140" s="7" t="s">
        <v>170</v>
      </c>
      <c r="D140" s="7"/>
      <c r="E140" s="8">
        <f t="shared" si="8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110</v>
      </c>
      <c r="K140" s="30">
        <v>22.62</v>
      </c>
    </row>
    <row r="141" spans="1:11" s="4" customFormat="1" ht="15.95" hidden="1" customHeight="1" x14ac:dyDescent="0.25">
      <c r="C141" s="7" t="s">
        <v>161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83.33</v>
      </c>
    </row>
    <row r="142" spans="1:11" s="4" customFormat="1" ht="15.95" hidden="1" customHeight="1" x14ac:dyDescent="0.25">
      <c r="C142" s="7" t="s">
        <v>162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32.14</v>
      </c>
    </row>
    <row r="143" spans="1:11" s="4" customFormat="1" ht="15.95" hidden="1" customHeight="1" x14ac:dyDescent="0.25">
      <c r="C143" s="7" t="s">
        <v>163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110</v>
      </c>
      <c r="K143" s="30">
        <v>38.1</v>
      </c>
    </row>
    <row r="144" spans="1:11" s="4" customFormat="1" ht="15.95" customHeight="1" x14ac:dyDescent="0.25">
      <c r="A144" s="21" t="s">
        <v>141</v>
      </c>
      <c r="B144" s="4" t="s">
        <v>281</v>
      </c>
      <c r="C144" s="26" t="s">
        <v>204</v>
      </c>
      <c r="D144" s="27">
        <f>SUM(E145:E151)</f>
        <v>0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267</v>
      </c>
      <c r="D145" s="7"/>
      <c r="E145" s="8">
        <f t="shared" ref="E145:E151" si="9">I145*K145</f>
        <v>0</v>
      </c>
      <c r="F145" s="8">
        <v>2</v>
      </c>
      <c r="G145" s="8">
        <v>0.2</v>
      </c>
      <c r="H145" s="8">
        <v>0.2</v>
      </c>
      <c r="I145" s="8">
        <v>0</v>
      </c>
      <c r="J145" s="10" t="s">
        <v>165</v>
      </c>
      <c r="K145" s="30">
        <v>109.52</v>
      </c>
    </row>
    <row r="146" spans="2:11" s="4" customFormat="1" ht="15.95" hidden="1" customHeight="1" x14ac:dyDescent="0.25">
      <c r="C146" s="7" t="s">
        <v>85</v>
      </c>
      <c r="D146" s="7"/>
      <c r="E146" s="8">
        <f t="shared" si="9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165</v>
      </c>
      <c r="K146" s="30">
        <v>219.05</v>
      </c>
    </row>
    <row r="147" spans="2:11" s="4" customFormat="1" ht="15.95" hidden="1" customHeight="1" x14ac:dyDescent="0.25">
      <c r="C147" s="7" t="s">
        <v>179</v>
      </c>
      <c r="D147" s="7"/>
      <c r="E147" s="8">
        <f t="shared" si="9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165</v>
      </c>
      <c r="K147" s="30">
        <v>3</v>
      </c>
    </row>
    <row r="148" spans="2:11" s="4" customFormat="1" ht="15.95" hidden="1" customHeight="1" x14ac:dyDescent="0.25">
      <c r="C148" s="7" t="s">
        <v>53</v>
      </c>
      <c r="D148" s="7"/>
      <c r="E148" s="8">
        <f t="shared" si="9"/>
        <v>0</v>
      </c>
      <c r="F148" s="8">
        <v>0</v>
      </c>
      <c r="G148" s="8">
        <v>0</v>
      </c>
      <c r="H148" s="8">
        <v>0</v>
      </c>
      <c r="I148" s="8">
        <v>0</v>
      </c>
      <c r="J148" s="10" t="s">
        <v>165</v>
      </c>
      <c r="K148" s="30">
        <v>25</v>
      </c>
    </row>
    <row r="149" spans="2:11" s="4" customFormat="1" ht="15.95" hidden="1" customHeight="1" x14ac:dyDescent="0.25">
      <c r="B149" s="29" t="s">
        <v>248</v>
      </c>
      <c r="C149" s="7" t="s">
        <v>71</v>
      </c>
      <c r="D149" s="7"/>
      <c r="E149" s="8">
        <f t="shared" si="9"/>
        <v>0</v>
      </c>
      <c r="F149" s="8">
        <v>0.5</v>
      </c>
      <c r="G149" s="8">
        <v>0.5</v>
      </c>
      <c r="H149" s="8"/>
      <c r="I149" s="8">
        <v>0</v>
      </c>
      <c r="J149" s="10" t="s">
        <v>110</v>
      </c>
      <c r="K149" s="30">
        <v>25</v>
      </c>
    </row>
    <row r="150" spans="2:11" s="4" customFormat="1" ht="15.95" hidden="1" customHeight="1" x14ac:dyDescent="0.25">
      <c r="C150" s="7" t="s">
        <v>90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165</v>
      </c>
      <c r="K150" s="30">
        <v>25</v>
      </c>
    </row>
    <row r="151" spans="2:11" s="4" customFormat="1" ht="15.95" hidden="1" customHeight="1" x14ac:dyDescent="0.25">
      <c r="C151" s="7" t="s">
        <v>247</v>
      </c>
      <c r="D151" s="7"/>
      <c r="E151" s="8">
        <f t="shared" si="9"/>
        <v>0</v>
      </c>
      <c r="F151" s="8"/>
      <c r="G151" s="8"/>
      <c r="H151" s="8"/>
      <c r="I151" s="8">
        <v>0</v>
      </c>
      <c r="J151" s="10" t="s">
        <v>165</v>
      </c>
      <c r="K151" s="30">
        <v>20</v>
      </c>
    </row>
    <row r="152" spans="2:11" s="4" customFormat="1" ht="15.95" customHeight="1" x14ac:dyDescent="0.25">
      <c r="C152" s="26" t="s">
        <v>131</v>
      </c>
      <c r="D152" s="27">
        <f>SUM(E153:E165)</f>
        <v>873.28000000000009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248</v>
      </c>
      <c r="C153" s="7" t="s">
        <v>19</v>
      </c>
      <c r="D153" s="7"/>
      <c r="E153" s="8">
        <f t="shared" ref="E153:E165" si="10">I153*K153</f>
        <v>166.6</v>
      </c>
      <c r="F153" s="8"/>
      <c r="G153" s="8"/>
      <c r="H153" s="8"/>
      <c r="I153" s="8">
        <v>14</v>
      </c>
      <c r="J153" s="10" t="s">
        <v>165</v>
      </c>
      <c r="K153" s="30">
        <v>11.9</v>
      </c>
    </row>
    <row r="154" spans="2:11" s="4" customFormat="1" ht="15.95" hidden="1" customHeight="1" x14ac:dyDescent="0.25">
      <c r="B154" s="29" t="s">
        <v>248</v>
      </c>
      <c r="C154" s="7" t="s">
        <v>274</v>
      </c>
      <c r="D154" s="7"/>
      <c r="E154" s="8">
        <f t="shared" si="10"/>
        <v>50</v>
      </c>
      <c r="F154" s="8"/>
      <c r="G154" s="8"/>
      <c r="H154" s="8"/>
      <c r="I154" s="8">
        <v>1</v>
      </c>
      <c r="J154" s="10" t="s">
        <v>165</v>
      </c>
      <c r="K154" s="30">
        <v>50</v>
      </c>
    </row>
    <row r="155" spans="2:11" s="4" customFormat="1" ht="15.95" hidden="1" customHeight="1" x14ac:dyDescent="0.25">
      <c r="B155" s="29" t="s">
        <v>248</v>
      </c>
      <c r="C155" s="7" t="s">
        <v>62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165</v>
      </c>
      <c r="K155" s="30">
        <v>65</v>
      </c>
    </row>
    <row r="156" spans="2:11" s="4" customFormat="1" ht="15.95" hidden="1" customHeight="1" x14ac:dyDescent="0.25">
      <c r="C156" s="7" t="s">
        <v>81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165</v>
      </c>
      <c r="K156" s="30">
        <v>23.81</v>
      </c>
    </row>
    <row r="157" spans="2:11" s="4" customFormat="1" ht="15.95" hidden="1" customHeight="1" x14ac:dyDescent="0.25">
      <c r="C157" s="7" t="s">
        <v>82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165</v>
      </c>
      <c r="K157" s="30">
        <v>14.29</v>
      </c>
    </row>
    <row r="158" spans="2:11" s="4" customFormat="1" ht="15.95" hidden="1" customHeight="1" x14ac:dyDescent="0.25">
      <c r="B158" s="29" t="s">
        <v>248</v>
      </c>
      <c r="C158" s="7" t="s">
        <v>63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165</v>
      </c>
      <c r="K158" s="30">
        <v>10</v>
      </c>
    </row>
    <row r="159" spans="2:11" s="4" customFormat="1" ht="15.95" hidden="1" customHeight="1" x14ac:dyDescent="0.25">
      <c r="B159" s="29" t="s">
        <v>248</v>
      </c>
      <c r="C159" s="7" t="s">
        <v>18</v>
      </c>
      <c r="D159" s="7"/>
      <c r="E159" s="8">
        <f t="shared" si="10"/>
        <v>240</v>
      </c>
      <c r="F159" s="8"/>
      <c r="G159" s="8"/>
      <c r="H159" s="8"/>
      <c r="I159" s="8">
        <v>24</v>
      </c>
      <c r="J159" s="10" t="s">
        <v>165</v>
      </c>
      <c r="K159" s="30">
        <v>10</v>
      </c>
    </row>
    <row r="160" spans="2:11" s="4" customFormat="1" ht="15.95" hidden="1" customHeight="1" x14ac:dyDescent="0.25">
      <c r="C160" s="7" t="s">
        <v>51</v>
      </c>
      <c r="D160" s="7"/>
      <c r="E160" s="8">
        <f t="shared" si="10"/>
        <v>50</v>
      </c>
      <c r="F160" s="12"/>
      <c r="G160" s="12"/>
      <c r="H160" s="12"/>
      <c r="I160" s="8">
        <v>10</v>
      </c>
      <c r="J160" s="10" t="s">
        <v>165</v>
      </c>
      <c r="K160" s="30">
        <v>5</v>
      </c>
    </row>
    <row r="161" spans="2:11" s="4" customFormat="1" ht="15.95" hidden="1" customHeight="1" x14ac:dyDescent="0.25">
      <c r="B161" s="29" t="s">
        <v>248</v>
      </c>
      <c r="C161" s="7" t="s">
        <v>17</v>
      </c>
      <c r="D161" s="7"/>
      <c r="E161" s="8">
        <f t="shared" si="10"/>
        <v>95.2</v>
      </c>
      <c r="F161" s="8"/>
      <c r="G161" s="8"/>
      <c r="H161" s="8"/>
      <c r="I161" s="8">
        <v>8</v>
      </c>
      <c r="J161" s="10" t="s">
        <v>165</v>
      </c>
      <c r="K161" s="30">
        <v>11.9</v>
      </c>
    </row>
    <row r="162" spans="2:11" s="4" customFormat="1" ht="15.95" hidden="1" customHeight="1" x14ac:dyDescent="0.25">
      <c r="C162" s="7" t="s">
        <v>56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165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0"/>
        <v>0</v>
      </c>
      <c r="F163" s="8"/>
      <c r="G163" s="8"/>
      <c r="H163" s="8"/>
      <c r="I163" s="8">
        <v>0</v>
      </c>
      <c r="J163" s="10" t="s">
        <v>165</v>
      </c>
      <c r="K163" s="30">
        <v>2.38</v>
      </c>
    </row>
    <row r="164" spans="2:11" ht="15.95" hidden="1" customHeight="1" x14ac:dyDescent="0.25">
      <c r="C164" s="7" t="s">
        <v>187</v>
      </c>
      <c r="D164" s="7"/>
      <c r="E164" s="8">
        <f t="shared" si="10"/>
        <v>81</v>
      </c>
      <c r="F164" s="8"/>
      <c r="G164" s="8"/>
      <c r="H164" s="8"/>
      <c r="I164" s="8">
        <v>20</v>
      </c>
      <c r="J164" s="10" t="s">
        <v>149</v>
      </c>
      <c r="K164" s="30">
        <v>4.05</v>
      </c>
    </row>
    <row r="165" spans="2:11" s="4" customFormat="1" ht="15.95" hidden="1" customHeight="1" x14ac:dyDescent="0.25">
      <c r="C165" s="7" t="s">
        <v>157</v>
      </c>
      <c r="D165" s="7"/>
      <c r="E165" s="8">
        <f t="shared" si="10"/>
        <v>190.48</v>
      </c>
      <c r="F165" s="8"/>
      <c r="G165" s="8"/>
      <c r="H165" s="8"/>
      <c r="I165" s="8">
        <v>1</v>
      </c>
      <c r="J165" s="10" t="s">
        <v>165</v>
      </c>
      <c r="K165" s="30">
        <v>190.48</v>
      </c>
    </row>
    <row r="166" spans="2:11" s="4" customFormat="1" ht="15.95" customHeight="1" x14ac:dyDescent="0.25">
      <c r="C166" s="26" t="s">
        <v>205</v>
      </c>
      <c r="D166" s="27">
        <f>SUM(E167:E208)</f>
        <v>804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1">I167*K167</f>
        <v>75</v>
      </c>
      <c r="F167" s="12"/>
      <c r="G167" s="12"/>
      <c r="H167" s="12"/>
      <c r="I167" s="8">
        <v>5</v>
      </c>
      <c r="J167" s="10" t="s">
        <v>165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1"/>
        <v>96</v>
      </c>
      <c r="F168" s="12"/>
      <c r="G168" s="12"/>
      <c r="H168" s="12"/>
      <c r="I168" s="8">
        <v>8</v>
      </c>
      <c r="J168" s="10" t="s">
        <v>165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1"/>
        <v>40</v>
      </c>
      <c r="F169" s="12"/>
      <c r="G169" s="12"/>
      <c r="H169" s="12"/>
      <c r="I169" s="8">
        <v>2</v>
      </c>
      <c r="J169" s="10" t="s">
        <v>165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1"/>
        <v>30</v>
      </c>
      <c r="F170" s="12"/>
      <c r="G170" s="12"/>
      <c r="H170" s="12"/>
      <c r="I170" s="8">
        <v>2</v>
      </c>
      <c r="J170" s="10" t="s">
        <v>165</v>
      </c>
      <c r="K170" s="30">
        <v>15</v>
      </c>
    </row>
    <row r="171" spans="2:11" s="4" customFormat="1" ht="15.95" hidden="1" customHeight="1" x14ac:dyDescent="0.25">
      <c r="C171" s="7" t="s">
        <v>80</v>
      </c>
      <c r="D171" s="7"/>
      <c r="E171" s="8">
        <f t="shared" si="11"/>
        <v>0</v>
      </c>
      <c r="F171" s="12"/>
      <c r="G171" s="12"/>
      <c r="H171" s="12"/>
      <c r="I171" s="8">
        <v>0</v>
      </c>
      <c r="J171" s="10" t="s">
        <v>165</v>
      </c>
      <c r="K171" s="30">
        <v>15</v>
      </c>
    </row>
    <row r="172" spans="2:11" s="4" customFormat="1" ht="15.95" hidden="1" customHeight="1" x14ac:dyDescent="0.25">
      <c r="C172" s="7" t="s">
        <v>178</v>
      </c>
      <c r="D172" s="7"/>
      <c r="E172" s="8">
        <f t="shared" si="11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165</v>
      </c>
      <c r="K172" s="30">
        <v>385</v>
      </c>
    </row>
    <row r="173" spans="2:11" s="4" customFormat="1" ht="15.95" hidden="1" customHeight="1" x14ac:dyDescent="0.25">
      <c r="C173" s="7" t="s">
        <v>79</v>
      </c>
      <c r="D173" s="7"/>
      <c r="E173" s="8">
        <f t="shared" si="11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165</v>
      </c>
      <c r="K173" s="30">
        <v>130</v>
      </c>
    </row>
    <row r="174" spans="2:11" s="4" customFormat="1" ht="15.95" hidden="1" customHeight="1" x14ac:dyDescent="0.25">
      <c r="C174" s="7" t="s">
        <v>78</v>
      </c>
      <c r="D174" s="7"/>
      <c r="E174" s="8">
        <f t="shared" si="11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165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165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165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165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165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1"/>
        <v>40</v>
      </c>
      <c r="F179" s="12"/>
      <c r="G179" s="12"/>
      <c r="H179" s="12"/>
      <c r="I179" s="8">
        <v>5</v>
      </c>
      <c r="J179" s="10" t="s">
        <v>165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1"/>
        <v>0</v>
      </c>
      <c r="F180" s="12"/>
      <c r="G180" s="12"/>
      <c r="H180" s="12"/>
      <c r="I180" s="8">
        <v>0</v>
      </c>
      <c r="J180" s="10" t="s">
        <v>165</v>
      </c>
      <c r="K180" s="30">
        <v>15</v>
      </c>
    </row>
    <row r="181" spans="3:11" s="4" customFormat="1" ht="15.95" hidden="1" customHeight="1" x14ac:dyDescent="0.25">
      <c r="C181" s="7" t="s">
        <v>189</v>
      </c>
      <c r="D181" s="7"/>
      <c r="E181" s="8">
        <f t="shared" si="11"/>
        <v>70</v>
      </c>
      <c r="F181" s="12"/>
      <c r="G181" s="12"/>
      <c r="H181" s="12"/>
      <c r="I181" s="8">
        <v>2</v>
      </c>
      <c r="J181" s="10" t="s">
        <v>165</v>
      </c>
      <c r="K181" s="30">
        <v>35</v>
      </c>
    </row>
    <row r="182" spans="3:11" s="4" customFormat="1" ht="15.95" hidden="1" customHeight="1" x14ac:dyDescent="0.25">
      <c r="C182" s="7" t="s">
        <v>61</v>
      </c>
      <c r="D182" s="7"/>
      <c r="E182" s="8">
        <f t="shared" si="11"/>
        <v>0</v>
      </c>
      <c r="F182" s="12"/>
      <c r="G182" s="12"/>
      <c r="H182" s="12"/>
      <c r="I182" s="8">
        <v>0</v>
      </c>
      <c r="J182" s="10" t="s">
        <v>165</v>
      </c>
      <c r="K182" s="30">
        <v>85</v>
      </c>
    </row>
    <row r="183" spans="3:11" s="4" customFormat="1" ht="15.95" hidden="1" customHeight="1" x14ac:dyDescent="0.25">
      <c r="C183" s="7" t="s">
        <v>58</v>
      </c>
      <c r="D183" s="7"/>
      <c r="E183" s="8">
        <f t="shared" si="11"/>
        <v>35</v>
      </c>
      <c r="F183" s="12"/>
      <c r="G183" s="12"/>
      <c r="H183" s="12"/>
      <c r="I183" s="8">
        <v>1</v>
      </c>
      <c r="J183" s="10" t="s">
        <v>165</v>
      </c>
      <c r="K183" s="30">
        <v>35</v>
      </c>
    </row>
    <row r="184" spans="3:11" s="4" customFormat="1" ht="15.95" hidden="1" customHeight="1" x14ac:dyDescent="0.25">
      <c r="C184" s="7" t="s">
        <v>60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165</v>
      </c>
      <c r="K184" s="30">
        <v>25</v>
      </c>
    </row>
    <row r="185" spans="3:11" s="4" customFormat="1" ht="15.95" hidden="1" customHeight="1" x14ac:dyDescent="0.25">
      <c r="C185" s="7" t="s">
        <v>134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165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165</v>
      </c>
      <c r="K186" s="30">
        <v>12</v>
      </c>
    </row>
    <row r="187" spans="3:11" s="4" customFormat="1" ht="15.95" hidden="1" customHeight="1" x14ac:dyDescent="0.25">
      <c r="C187" s="7" t="s">
        <v>48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165</v>
      </c>
      <c r="K187" s="30">
        <v>25</v>
      </c>
    </row>
    <row r="188" spans="3:11" s="4" customFormat="1" ht="15.95" hidden="1" customHeight="1" x14ac:dyDescent="0.25">
      <c r="C188" s="7" t="s">
        <v>54</v>
      </c>
      <c r="D188" s="7"/>
      <c r="E188" s="8">
        <f t="shared" si="11"/>
        <v>0</v>
      </c>
      <c r="F188" s="12"/>
      <c r="G188" s="12"/>
      <c r="H188" s="12"/>
      <c r="I188" s="8">
        <v>0</v>
      </c>
      <c r="J188" s="10" t="s">
        <v>165</v>
      </c>
      <c r="K188" s="30">
        <v>150</v>
      </c>
    </row>
    <row r="189" spans="3:11" s="4" customFormat="1" ht="15.95" hidden="1" customHeight="1" x14ac:dyDescent="0.25">
      <c r="C189" s="7" t="s">
        <v>206</v>
      </c>
      <c r="D189" s="7"/>
      <c r="E189" s="8">
        <f t="shared" si="11"/>
        <v>0</v>
      </c>
      <c r="F189" s="8"/>
      <c r="G189" s="8"/>
      <c r="H189" s="8"/>
      <c r="I189" s="8">
        <v>0</v>
      </c>
      <c r="J189" s="10" t="s">
        <v>165</v>
      </c>
      <c r="K189" s="30">
        <v>15</v>
      </c>
    </row>
    <row r="190" spans="3:11" s="4" customFormat="1" ht="15.95" hidden="1" customHeight="1" x14ac:dyDescent="0.25">
      <c r="C190" s="7" t="s">
        <v>158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165</v>
      </c>
      <c r="K190" s="30">
        <v>15</v>
      </c>
    </row>
    <row r="191" spans="3:11" s="4" customFormat="1" ht="15.95" hidden="1" customHeight="1" x14ac:dyDescent="0.25">
      <c r="C191" s="7" t="s">
        <v>207</v>
      </c>
      <c r="D191" s="7"/>
      <c r="E191" s="8">
        <f t="shared" si="11"/>
        <v>0</v>
      </c>
      <c r="F191" s="12"/>
      <c r="G191" s="12"/>
      <c r="H191" s="12"/>
      <c r="I191" s="8">
        <v>0</v>
      </c>
      <c r="J191" s="10" t="s">
        <v>165</v>
      </c>
      <c r="K191" s="30">
        <v>600</v>
      </c>
    </row>
    <row r="192" spans="3:11" s="4" customFormat="1" ht="15.95" hidden="1" customHeight="1" x14ac:dyDescent="0.25">
      <c r="C192" s="7" t="s">
        <v>208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165</v>
      </c>
      <c r="K192" s="30">
        <v>85</v>
      </c>
    </row>
    <row r="193" spans="2:11" s="4" customFormat="1" ht="15.95" hidden="1" customHeight="1" x14ac:dyDescent="0.25">
      <c r="C193" s="7" t="s">
        <v>256</v>
      </c>
      <c r="D193" s="7"/>
      <c r="E193" s="8">
        <f t="shared" si="11"/>
        <v>0</v>
      </c>
      <c r="F193" s="8"/>
      <c r="G193" s="8"/>
      <c r="H193" s="8"/>
      <c r="I193" s="8">
        <v>0</v>
      </c>
      <c r="J193" s="10" t="s">
        <v>165</v>
      </c>
      <c r="K193" s="30">
        <v>210</v>
      </c>
    </row>
    <row r="194" spans="2:11" s="4" customFormat="1" ht="15.95" hidden="1" customHeight="1" x14ac:dyDescent="0.25">
      <c r="C194" s="7" t="s">
        <v>86</v>
      </c>
      <c r="D194" s="7"/>
      <c r="E194" s="8">
        <f t="shared" si="11"/>
        <v>8</v>
      </c>
      <c r="F194" s="8"/>
      <c r="G194" s="8"/>
      <c r="H194" s="8"/>
      <c r="I194" s="8">
        <v>1</v>
      </c>
      <c r="J194" s="10" t="s">
        <v>165</v>
      </c>
      <c r="K194" s="30">
        <v>8</v>
      </c>
    </row>
    <row r="195" spans="2:11" s="4" customFormat="1" ht="15.95" hidden="1" customHeight="1" x14ac:dyDescent="0.25">
      <c r="C195" s="7" t="s">
        <v>72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165</v>
      </c>
      <c r="K195" s="30">
        <v>15</v>
      </c>
    </row>
    <row r="196" spans="2:11" s="4" customFormat="1" ht="15.95" hidden="1" customHeight="1" x14ac:dyDescent="0.25">
      <c r="C196" s="7" t="s">
        <v>83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165</v>
      </c>
      <c r="K196" s="30">
        <v>15</v>
      </c>
    </row>
    <row r="197" spans="2:11" s="4" customFormat="1" ht="15.95" hidden="1" customHeight="1" x14ac:dyDescent="0.25">
      <c r="B197" s="29" t="s">
        <v>248</v>
      </c>
      <c r="C197" s="7" t="s">
        <v>84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165</v>
      </c>
      <c r="K197" s="30">
        <v>25</v>
      </c>
    </row>
    <row r="198" spans="2:11" s="4" customFormat="1" ht="15.95" hidden="1" customHeight="1" x14ac:dyDescent="0.25">
      <c r="C198" s="7" t="s">
        <v>87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165</v>
      </c>
      <c r="K198" s="30">
        <v>85</v>
      </c>
    </row>
    <row r="199" spans="2:11" s="4" customFormat="1" ht="15.95" hidden="1" customHeight="1" x14ac:dyDescent="0.25">
      <c r="C199" s="7" t="s">
        <v>88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165</v>
      </c>
      <c r="K199" s="30">
        <v>15</v>
      </c>
    </row>
    <row r="200" spans="2:11" s="4" customFormat="1" ht="15.95" hidden="1" customHeight="1" x14ac:dyDescent="0.25">
      <c r="C200" s="7" t="s">
        <v>89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165</v>
      </c>
      <c r="K200" s="30">
        <v>5</v>
      </c>
    </row>
    <row r="201" spans="2:11" s="4" customFormat="1" ht="15.95" hidden="1" customHeight="1" x14ac:dyDescent="0.25">
      <c r="C201" s="7" t="s">
        <v>91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165</v>
      </c>
      <c r="K201" s="30">
        <v>12</v>
      </c>
    </row>
    <row r="202" spans="2:11" s="4" customFormat="1" ht="15.95" hidden="1" customHeight="1" x14ac:dyDescent="0.25">
      <c r="C202" s="7" t="s">
        <v>92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165</v>
      </c>
      <c r="K202" s="30">
        <v>25</v>
      </c>
    </row>
    <row r="203" spans="2:11" s="4" customFormat="1" ht="15.95" hidden="1" customHeight="1" x14ac:dyDescent="0.25">
      <c r="C203" s="7" t="s">
        <v>93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165</v>
      </c>
      <c r="K203" s="30">
        <v>20</v>
      </c>
    </row>
    <row r="204" spans="2:11" s="4" customFormat="1" ht="15.95" hidden="1" customHeight="1" x14ac:dyDescent="0.25">
      <c r="C204" s="7" t="s">
        <v>120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165</v>
      </c>
      <c r="K204" s="30">
        <v>6</v>
      </c>
    </row>
    <row r="205" spans="2:11" s="4" customFormat="1" ht="15.95" hidden="1" customHeight="1" x14ac:dyDescent="0.25">
      <c r="C205" s="7" t="s">
        <v>122</v>
      </c>
      <c r="D205" s="7"/>
      <c r="E205" s="8">
        <f t="shared" si="11"/>
        <v>60</v>
      </c>
      <c r="F205" s="8"/>
      <c r="G205" s="8"/>
      <c r="H205" s="8"/>
      <c r="I205" s="8">
        <v>12</v>
      </c>
      <c r="J205" s="10" t="s">
        <v>165</v>
      </c>
      <c r="K205" s="30">
        <v>5</v>
      </c>
    </row>
    <row r="206" spans="2:11" s="4" customFormat="1" ht="15.95" hidden="1" customHeight="1" x14ac:dyDescent="0.25">
      <c r="C206" s="7" t="s">
        <v>123</v>
      </c>
      <c r="D206" s="7"/>
      <c r="E206" s="8">
        <f t="shared" si="11"/>
        <v>350</v>
      </c>
      <c r="F206" s="8"/>
      <c r="G206" s="8"/>
      <c r="H206" s="8"/>
      <c r="I206" s="8">
        <v>10</v>
      </c>
      <c r="J206" s="10" t="s">
        <v>165</v>
      </c>
      <c r="K206" s="30">
        <v>35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1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165</v>
      </c>
      <c r="K207" s="30">
        <v>20</v>
      </c>
    </row>
    <row r="208" spans="2:11" s="4" customFormat="1" ht="15.95" hidden="1" customHeight="1" x14ac:dyDescent="0.25">
      <c r="C208" s="7" t="s">
        <v>245</v>
      </c>
      <c r="D208" s="7"/>
      <c r="E208" s="8">
        <f t="shared" si="11"/>
        <v>0</v>
      </c>
      <c r="F208" s="8"/>
      <c r="G208" s="8"/>
      <c r="H208" s="8"/>
      <c r="I208" s="8">
        <v>0</v>
      </c>
      <c r="J208" s="10" t="s">
        <v>165</v>
      </c>
      <c r="K208" s="30">
        <v>85</v>
      </c>
    </row>
    <row r="209" spans="3:11" s="4" customFormat="1" ht="15.95" customHeight="1" x14ac:dyDescent="0.25">
      <c r="C209" s="26" t="s">
        <v>182</v>
      </c>
      <c r="D209" s="27">
        <f>SUM(E210:E220)</f>
        <v>1524.1200000000001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243</v>
      </c>
      <c r="D210" s="7"/>
      <c r="E210" s="8">
        <f t="shared" ref="E210:E220" si="12">I210*K210</f>
        <v>0</v>
      </c>
      <c r="F210" s="8">
        <v>1</v>
      </c>
      <c r="G210" s="8">
        <v>1</v>
      </c>
      <c r="H210" s="12"/>
      <c r="I210" s="8">
        <v>0</v>
      </c>
      <c r="J210" s="10" t="s">
        <v>110</v>
      </c>
      <c r="K210" s="30">
        <v>10.71</v>
      </c>
    </row>
    <row r="211" spans="3:11" s="4" customFormat="1" ht="15.95" hidden="1" customHeight="1" x14ac:dyDescent="0.25">
      <c r="C211" s="7" t="s">
        <v>242</v>
      </c>
      <c r="D211" s="7"/>
      <c r="E211" s="8">
        <f t="shared" si="12"/>
        <v>1191.96</v>
      </c>
      <c r="F211" s="8">
        <v>1</v>
      </c>
      <c r="G211" s="8">
        <v>1</v>
      </c>
      <c r="H211" s="12"/>
      <c r="I211" s="8">
        <v>77</v>
      </c>
      <c r="J211" s="10" t="s">
        <v>110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2"/>
        <v>46.44</v>
      </c>
      <c r="F212" s="8">
        <v>1</v>
      </c>
      <c r="G212" s="8">
        <v>1</v>
      </c>
      <c r="H212" s="12"/>
      <c r="I212" s="8">
        <v>3</v>
      </c>
      <c r="J212" s="10" t="s">
        <v>110</v>
      </c>
      <c r="K212" s="30">
        <v>15.48</v>
      </c>
    </row>
    <row r="213" spans="3:11" s="4" customFormat="1" ht="15.95" hidden="1" customHeight="1" x14ac:dyDescent="0.25">
      <c r="C213" s="7" t="s">
        <v>190</v>
      </c>
      <c r="D213" s="7"/>
      <c r="E213" s="8">
        <f t="shared" si="12"/>
        <v>0</v>
      </c>
      <c r="F213" s="8">
        <v>1</v>
      </c>
      <c r="G213" s="8">
        <v>1</v>
      </c>
      <c r="H213" s="12"/>
      <c r="I213" s="8">
        <v>0</v>
      </c>
      <c r="J213" s="10" t="s">
        <v>110</v>
      </c>
      <c r="K213" s="30">
        <v>13.1</v>
      </c>
    </row>
    <row r="214" spans="3:11" s="4" customFormat="1" ht="15.95" hidden="1" customHeight="1" x14ac:dyDescent="0.25">
      <c r="C214" s="7" t="s">
        <v>257</v>
      </c>
      <c r="D214" s="7"/>
      <c r="E214" s="8">
        <f t="shared" si="12"/>
        <v>285.71999999999997</v>
      </c>
      <c r="F214" s="8">
        <v>1</v>
      </c>
      <c r="G214" s="8">
        <v>1</v>
      </c>
      <c r="H214" s="12"/>
      <c r="I214" s="8">
        <v>3</v>
      </c>
      <c r="J214" s="10" t="s">
        <v>110</v>
      </c>
      <c r="K214" s="30">
        <v>95.24</v>
      </c>
    </row>
    <row r="215" spans="3:11" s="4" customFormat="1" ht="15.95" hidden="1" customHeight="1" x14ac:dyDescent="0.25">
      <c r="C215" s="7" t="s">
        <v>258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110</v>
      </c>
      <c r="K215" s="30">
        <v>47.62</v>
      </c>
    </row>
    <row r="216" spans="3:11" s="4" customFormat="1" ht="15.95" hidden="1" customHeight="1" x14ac:dyDescent="0.25">
      <c r="C216" s="7" t="s">
        <v>70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35.71</v>
      </c>
    </row>
    <row r="217" spans="3:11" s="4" customFormat="1" ht="15.95" hidden="1" customHeight="1" x14ac:dyDescent="0.25">
      <c r="C217" s="7" t="s">
        <v>121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110</v>
      </c>
      <c r="K217" s="30">
        <v>28.57</v>
      </c>
    </row>
    <row r="218" spans="3:11" s="4" customFormat="1" ht="15.95" hidden="1" customHeight="1" x14ac:dyDescent="0.25">
      <c r="C218" s="7" t="s">
        <v>52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13.1</v>
      </c>
    </row>
    <row r="219" spans="3:11" s="4" customFormat="1" ht="15.95" hidden="1" customHeight="1" x14ac:dyDescent="0.25">
      <c r="C219" s="7" t="s">
        <v>244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10.71</v>
      </c>
    </row>
    <row r="221" spans="3:11" s="4" customFormat="1" ht="15.95" customHeight="1" x14ac:dyDescent="0.25">
      <c r="C221" s="26" t="s">
        <v>181</v>
      </c>
      <c r="D221" s="27">
        <f>SUM(E222:E260)</f>
        <v>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3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165</v>
      </c>
      <c r="K222" s="30">
        <v>320</v>
      </c>
    </row>
    <row r="223" spans="3:11" s="4" customFormat="1" ht="15.95" hidden="1" customHeight="1" x14ac:dyDescent="0.25">
      <c r="C223" s="7" t="s">
        <v>212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165</v>
      </c>
      <c r="K223" s="30">
        <v>210</v>
      </c>
    </row>
    <row r="224" spans="3:11" s="4" customFormat="1" ht="15.95" hidden="1" customHeight="1" x14ac:dyDescent="0.25">
      <c r="C224" s="7" t="s">
        <v>213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165</v>
      </c>
      <c r="K224" s="30">
        <v>180</v>
      </c>
    </row>
    <row r="225" spans="3:11" s="4" customFormat="1" ht="15.95" hidden="1" customHeight="1" x14ac:dyDescent="0.25">
      <c r="C225" s="7" t="s">
        <v>214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165</v>
      </c>
      <c r="K225" s="30">
        <v>180</v>
      </c>
    </row>
    <row r="226" spans="3:11" s="4" customFormat="1" ht="15.95" hidden="1" customHeight="1" x14ac:dyDescent="0.25">
      <c r="C226" s="7" t="s">
        <v>215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165</v>
      </c>
      <c r="K226" s="30">
        <v>110</v>
      </c>
    </row>
    <row r="227" spans="3:11" s="4" customFormat="1" ht="15.95" hidden="1" customHeight="1" x14ac:dyDescent="0.25">
      <c r="C227" s="7" t="s">
        <v>216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165</v>
      </c>
      <c r="K227" s="30">
        <v>310</v>
      </c>
    </row>
    <row r="228" spans="3:11" s="4" customFormat="1" ht="15.95" hidden="1" customHeight="1" x14ac:dyDescent="0.25">
      <c r="C228" s="7" t="s">
        <v>217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165</v>
      </c>
      <c r="K228" s="30">
        <v>160</v>
      </c>
    </row>
    <row r="229" spans="3:11" s="4" customFormat="1" ht="15.95" hidden="1" customHeight="1" x14ac:dyDescent="0.25">
      <c r="C229" s="7" t="s">
        <v>59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165</v>
      </c>
      <c r="K229" s="30">
        <v>10</v>
      </c>
    </row>
    <row r="230" spans="3:11" s="4" customFormat="1" ht="15.95" hidden="1" customHeight="1" x14ac:dyDescent="0.25">
      <c r="C230" s="7" t="s">
        <v>221</v>
      </c>
      <c r="D230" s="7"/>
      <c r="E230" s="8">
        <f t="shared" si="13"/>
        <v>0</v>
      </c>
      <c r="F230" s="12"/>
      <c r="G230" s="12"/>
      <c r="H230" s="12"/>
      <c r="I230" s="8">
        <v>0</v>
      </c>
      <c r="J230" s="10" t="s">
        <v>165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165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165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165</v>
      </c>
      <c r="K233" s="30">
        <v>220</v>
      </c>
    </row>
    <row r="234" spans="3:11" s="4" customFormat="1" ht="15.95" hidden="1" customHeight="1" x14ac:dyDescent="0.25">
      <c r="C234" s="7" t="s">
        <v>180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165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165</v>
      </c>
      <c r="K235" s="30">
        <v>250</v>
      </c>
    </row>
    <row r="236" spans="3:11" s="4" customFormat="1" ht="15.95" hidden="1" customHeight="1" x14ac:dyDescent="0.25">
      <c r="C236" s="7" t="s">
        <v>209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165</v>
      </c>
      <c r="K236" s="30">
        <v>390</v>
      </c>
    </row>
    <row r="237" spans="3:11" s="4" customFormat="1" ht="15.95" hidden="1" customHeight="1" x14ac:dyDescent="0.25">
      <c r="C237" s="7" t="s">
        <v>235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165</v>
      </c>
      <c r="K237" s="30">
        <v>460</v>
      </c>
    </row>
    <row r="238" spans="3:11" s="4" customFormat="1" ht="15.95" hidden="1" customHeight="1" x14ac:dyDescent="0.25">
      <c r="C238" s="7" t="s">
        <v>210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165</v>
      </c>
      <c r="K238" s="30">
        <v>850</v>
      </c>
    </row>
    <row r="239" spans="3:11" s="4" customFormat="1" ht="15.95" hidden="1" customHeight="1" x14ac:dyDescent="0.25">
      <c r="C239" s="7" t="s">
        <v>186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165</v>
      </c>
      <c r="K239" s="30">
        <v>1400</v>
      </c>
    </row>
    <row r="240" spans="3:11" s="4" customFormat="1" ht="15.95" hidden="1" customHeight="1" x14ac:dyDescent="0.25">
      <c r="C240" s="7" t="s">
        <v>237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165</v>
      </c>
      <c r="K240" s="30">
        <v>360</v>
      </c>
    </row>
    <row r="241" spans="3:11" s="4" customFormat="1" ht="15.95" hidden="1" customHeight="1" x14ac:dyDescent="0.25">
      <c r="C241" s="7" t="s">
        <v>240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165</v>
      </c>
      <c r="K241" s="30">
        <v>550</v>
      </c>
    </row>
    <row r="242" spans="3:11" s="4" customFormat="1" ht="15.95" hidden="1" customHeight="1" x14ac:dyDescent="0.25">
      <c r="C242" s="7" t="s">
        <v>241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165</v>
      </c>
      <c r="K242" s="30">
        <v>580</v>
      </c>
    </row>
    <row r="243" spans="3:11" s="4" customFormat="1" ht="15.95" hidden="1" customHeight="1" x14ac:dyDescent="0.25">
      <c r="C243" s="7" t="s">
        <v>233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165</v>
      </c>
      <c r="K243" s="30">
        <v>680</v>
      </c>
    </row>
    <row r="244" spans="3:11" s="4" customFormat="1" ht="15.95" hidden="1" customHeight="1" x14ac:dyDescent="0.25">
      <c r="C244" s="7" t="s">
        <v>238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165</v>
      </c>
      <c r="K244" s="30">
        <v>750</v>
      </c>
    </row>
    <row r="245" spans="3:11" s="4" customFormat="1" ht="15.95" hidden="1" customHeight="1" x14ac:dyDescent="0.25">
      <c r="C245" s="7" t="s">
        <v>234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165</v>
      </c>
      <c r="K245" s="30">
        <v>340</v>
      </c>
    </row>
    <row r="246" spans="3:11" s="4" customFormat="1" ht="15.95" hidden="1" customHeight="1" x14ac:dyDescent="0.25">
      <c r="C246" s="7" t="s">
        <v>239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165</v>
      </c>
      <c r="K246" s="30">
        <v>160</v>
      </c>
    </row>
    <row r="247" spans="3:11" s="4" customFormat="1" ht="15.95" hidden="1" customHeight="1" x14ac:dyDescent="0.25">
      <c r="C247" s="7" t="s">
        <v>236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165</v>
      </c>
      <c r="K247" s="30">
        <v>130</v>
      </c>
    </row>
    <row r="248" spans="3:11" s="4" customFormat="1" ht="15.95" hidden="1" customHeight="1" x14ac:dyDescent="0.25">
      <c r="C248" s="7" t="s">
        <v>226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165</v>
      </c>
      <c r="K248" s="30">
        <v>130</v>
      </c>
    </row>
    <row r="249" spans="3:11" s="4" customFormat="1" ht="15.95" hidden="1" customHeight="1" x14ac:dyDescent="0.25">
      <c r="C249" s="7" t="s">
        <v>222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165</v>
      </c>
      <c r="K249" s="30">
        <v>400</v>
      </c>
    </row>
    <row r="250" spans="3:11" s="4" customFormat="1" ht="15.95" hidden="1" customHeight="1" x14ac:dyDescent="0.25">
      <c r="C250" s="7" t="s">
        <v>224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165</v>
      </c>
      <c r="K250" s="30">
        <v>260</v>
      </c>
    </row>
    <row r="251" spans="3:11" s="4" customFormat="1" ht="15.95" hidden="1" customHeight="1" x14ac:dyDescent="0.25">
      <c r="C251" s="7" t="s">
        <v>230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165</v>
      </c>
      <c r="K251" s="30">
        <v>180</v>
      </c>
    </row>
    <row r="252" spans="3:11" s="4" customFormat="1" ht="15.95" hidden="1" customHeight="1" x14ac:dyDescent="0.25">
      <c r="C252" s="7" t="s">
        <v>231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165</v>
      </c>
      <c r="K252" s="30">
        <v>120</v>
      </c>
    </row>
    <row r="253" spans="3:11" s="4" customFormat="1" ht="15.95" hidden="1" customHeight="1" x14ac:dyDescent="0.25">
      <c r="C253" s="7" t="s">
        <v>232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165</v>
      </c>
      <c r="K253" s="30">
        <v>220</v>
      </c>
    </row>
    <row r="254" spans="3:11" s="4" customFormat="1" ht="15.95" hidden="1" customHeight="1" x14ac:dyDescent="0.25">
      <c r="C254" s="7" t="s">
        <v>225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165</v>
      </c>
      <c r="K254" s="30">
        <v>230</v>
      </c>
    </row>
    <row r="255" spans="3:11" s="4" customFormat="1" ht="15.95" hidden="1" customHeight="1" x14ac:dyDescent="0.25">
      <c r="C255" s="7" t="s">
        <v>227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228</v>
      </c>
      <c r="K255" s="30">
        <v>500</v>
      </c>
    </row>
    <row r="256" spans="3:11" s="4" customFormat="1" ht="15.95" hidden="1" customHeight="1" x14ac:dyDescent="0.25">
      <c r="C256" s="7" t="s">
        <v>229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165</v>
      </c>
      <c r="K256" s="30">
        <v>180</v>
      </c>
    </row>
    <row r="257" spans="3:11" s="4" customFormat="1" ht="15.95" hidden="1" customHeight="1" x14ac:dyDescent="0.25">
      <c r="C257" s="7" t="s">
        <v>223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165</v>
      </c>
      <c r="K257" s="30">
        <v>260</v>
      </c>
    </row>
    <row r="258" spans="3:11" s="4" customFormat="1" ht="15.95" hidden="1" customHeight="1" x14ac:dyDescent="0.25">
      <c r="C258" s="7" t="s">
        <v>218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165</v>
      </c>
      <c r="K258" s="30">
        <v>6500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165</v>
      </c>
      <c r="K259" s="30">
        <v>8800</v>
      </c>
    </row>
    <row r="260" spans="3:11" s="4" customFormat="1" ht="15.95" hidden="1" customHeight="1" x14ac:dyDescent="0.25">
      <c r="C260" s="7" t="s">
        <v>219</v>
      </c>
      <c r="D260" s="7"/>
      <c r="E260" s="8">
        <f t="shared" si="13"/>
        <v>0</v>
      </c>
      <c r="F260" s="8"/>
      <c r="G260" s="8"/>
      <c r="H260" s="8"/>
      <c r="I260" s="8">
        <v>0</v>
      </c>
      <c r="J260" s="10" t="s">
        <v>165</v>
      </c>
      <c r="K260" s="30">
        <v>1050</v>
      </c>
    </row>
    <row r="261" spans="3:11" s="22" customFormat="1" ht="15.95" customHeight="1" x14ac:dyDescent="0.25">
      <c r="C261" s="32" t="s">
        <v>147</v>
      </c>
      <c r="D261" s="33">
        <f>SUM(E262)</f>
        <v>11800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11800</v>
      </c>
      <c r="F262" s="24"/>
      <c r="G262" s="24"/>
      <c r="H262" s="24"/>
      <c r="I262" s="24">
        <v>1</v>
      </c>
      <c r="J262" s="25" t="s">
        <v>165</v>
      </c>
      <c r="K262" s="48">
        <v>11800</v>
      </c>
    </row>
    <row r="263" spans="3:11" s="22" customFormat="1" ht="15.95" customHeight="1" x14ac:dyDescent="0.25">
      <c r="C263" s="32" t="s">
        <v>145</v>
      </c>
      <c r="D263" s="33">
        <f>SUM(E264)</f>
        <v>2500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2500</v>
      </c>
      <c r="F264" s="41"/>
      <c r="G264" s="41"/>
      <c r="H264" s="41"/>
      <c r="I264" s="24">
        <v>2</v>
      </c>
      <c r="J264" s="25" t="s">
        <v>148</v>
      </c>
      <c r="K264" s="48">
        <v>1250</v>
      </c>
    </row>
    <row r="265" spans="3:11" s="22" customFormat="1" ht="15.95" customHeight="1" x14ac:dyDescent="0.25">
      <c r="C265" s="32" t="s">
        <v>146</v>
      </c>
      <c r="D265" s="33">
        <f>SUM(E266)</f>
        <v>3000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3000</v>
      </c>
      <c r="F266" s="41"/>
      <c r="G266" s="41"/>
      <c r="H266" s="41"/>
      <c r="I266" s="24">
        <v>2</v>
      </c>
      <c r="J266" s="25" t="s">
        <v>165</v>
      </c>
      <c r="K266" s="48">
        <v>1500</v>
      </c>
    </row>
    <row r="267" spans="3:11" s="22" customFormat="1" ht="15.95" customHeight="1" x14ac:dyDescent="0.25">
      <c r="C267" s="32" t="s">
        <v>211</v>
      </c>
      <c r="D267" s="33">
        <f>SUM(E268)</f>
        <v>1200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1200</v>
      </c>
      <c r="F268" s="41"/>
      <c r="G268" s="41"/>
      <c r="H268" s="41"/>
      <c r="I268" s="24">
        <v>1</v>
      </c>
      <c r="J268" s="25" t="s">
        <v>165</v>
      </c>
      <c r="K268" s="48">
        <v>1200</v>
      </c>
    </row>
    <row r="269" spans="3:11" s="22" customFormat="1" ht="15.95" customHeight="1" x14ac:dyDescent="0.25">
      <c r="C269" s="32" t="s">
        <v>263</v>
      </c>
      <c r="D269" s="33">
        <f>SUM(E270)</f>
        <v>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 t="s">
        <v>262</v>
      </c>
      <c r="D270" s="38"/>
      <c r="E270" s="39">
        <f>I270*K270</f>
        <v>0</v>
      </c>
      <c r="F270" s="41"/>
      <c r="G270" s="41"/>
      <c r="H270" s="41"/>
      <c r="I270" s="24">
        <v>0</v>
      </c>
      <c r="J270" s="25" t="s">
        <v>165</v>
      </c>
      <c r="K270" s="48">
        <v>0</v>
      </c>
    </row>
    <row r="271" spans="3:11" ht="15.95" customHeight="1" thickBot="1" x14ac:dyDescent="0.3">
      <c r="C271" s="18" t="s">
        <v>57</v>
      </c>
      <c r="D271" s="14">
        <f>SUM(D2:D270)</f>
        <v>27681.77</v>
      </c>
      <c r="E271" s="15"/>
      <c r="F271" s="53"/>
      <c r="G271" s="53"/>
      <c r="H271" s="53"/>
      <c r="I271" s="53"/>
      <c r="J271" s="53"/>
      <c r="K271" s="53"/>
    </row>
    <row r="272" spans="3:11" ht="15.95" customHeight="1" thickTop="1" x14ac:dyDescent="0.25"/>
  </sheetData>
  <autoFilter ref="C1:K271" xr:uid="{00000000-0009-0000-0000-000000000000}">
    <filterColumn colId="1">
      <customFilters>
        <customFilter operator="notEqual" val=" "/>
      </customFilters>
    </filterColumn>
  </autoFilter>
  <mergeCells count="1">
    <mergeCell ref="F271:K27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2025-11-12T14:13:38Z</dcterms:modified>
</cp:coreProperties>
</file>