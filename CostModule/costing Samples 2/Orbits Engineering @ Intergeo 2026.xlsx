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Orbits Engineering @ Intergeo 2026\"/>
    </mc:Choice>
  </mc:AlternateContent>
  <xr:revisionPtr revIDLastSave="0" documentId="13_ncr:1_{7852DFB8-D536-4D03-A1CA-F9650849AB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112" i="1"/>
  <c r="E56" i="1"/>
  <c r="E266" i="1" l="1"/>
  <c r="D265" i="1" s="1"/>
  <c r="E137" i="1" l="1"/>
  <c r="E272" i="1" l="1"/>
  <c r="D271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70" i="1" l="1"/>
  <c r="D269" i="1" s="1"/>
  <c r="E268" i="1"/>
  <c r="D267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1" i="1" l="1"/>
  <c r="E63" i="1" l="1"/>
  <c r="E60" i="1"/>
  <c r="E44" i="1" l="1"/>
  <c r="E40" i="1"/>
  <c r="E41" i="1"/>
  <c r="E153" i="1" l="1"/>
  <c r="E145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7" i="1"/>
  <c r="E58" i="1"/>
  <c r="E59" i="1"/>
  <c r="E64" i="1"/>
  <c r="E65" i="1"/>
  <c r="E66" i="1"/>
  <c r="E67" i="1"/>
  <c r="E76" i="1"/>
  <c r="E77" i="1"/>
  <c r="E78" i="1"/>
  <c r="E110" i="1"/>
  <c r="E222" i="1"/>
  <c r="D221" i="1" s="1"/>
  <c r="D16" i="1" l="1"/>
  <c r="D152" i="1"/>
  <c r="D133" i="1"/>
  <c r="D144" i="1"/>
  <c r="D109" i="1"/>
  <c r="D273" i="1" l="1"/>
</calcChain>
</file>

<file path=xl/sharedStrings.xml><?xml version="1.0" encoding="utf-8"?>
<sst xmlns="http://schemas.openxmlformats.org/spreadsheetml/2006/main" count="587" uniqueCount="284">
  <si>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</si>
  <si>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</si>
  <si>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</si>
  <si>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</si>
  <si>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</si>
  <si>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</si>
  <si>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</si>
  <si>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</si>
  <si>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</si>
  <si>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</si>
  <si>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</si>
  <si>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</si>
  <si>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</si>
  <si>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</si>
  <si>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</si>
  <si>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</si>
  <si>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</si>
  <si>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</si>
  <si>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</si>
  <si>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</si>
  <si>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</si>
  <si>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</si>
  <si>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</si>
  <si>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</si>
  <si>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</si>
  <si>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</si>
  <si>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</si>
  <si>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</si>
  <si>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</si>
  <si>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</si>
  <si>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</si>
  <si>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</si>
  <si>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</si>
  <si>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</si>
  <si>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</si>
  <si>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</si>
  <si>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</si>
  <si>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</si>
  <si>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</si>
  <si>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</si>
  <si>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</si>
  <si>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</si>
  <si>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</si>
  <si>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</si>
  <si>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</si>
  <si>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</si>
  <si>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</si>
  <si>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</si>
  <si>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</si>
  <si>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</si>
  <si>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</si>
  <si>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</si>
  <si>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</si>
  <si>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</si>
  <si>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</si>
  <si>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</si>
  <si>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</si>
  <si>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</si>
  <si>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</si>
  <si>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</si>
  <si>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</si>
  <si>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</si>
  <si>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</si>
  <si>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</si>
  <si>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</si>
  <si>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</si>
  <si>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</si>
  <si>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</si>
  <si>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</si>
  <si>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</si>
  <si>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</si>
  <si>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</si>
  <si>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</si>
  <si>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</si>
  <si>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</si>
  <si>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</si>
  <si>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</si>
  <si>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</si>
  <si>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</si>
  <si>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</si>
  <si>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</si>
  <si>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</si>
  <si>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</si>
  <si>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</si>
  <si>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</si>
  <si>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</si>
  <si>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</si>
  <si>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</si>
  <si>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</si>
  <si>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</si>
  <si>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</si>
  <si>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</si>
  <si>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</si>
  <si>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</si>
  <si>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</si>
  <si>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</si>
  <si>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</si>
  <si>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</si>
  <si>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</si>
  <si>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</si>
  <si>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</si>
  <si>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</si>
  <si>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</si>
  <si>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</si>
  <si>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</si>
  <si>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</si>
  <si>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</si>
  <si>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</si>
  <si>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</si>
  <si>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</si>
  <si>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</si>
  <si>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</si>
  <si>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</si>
  <si>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</si>
  <si>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</si>
  <si>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</si>
  <si>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</si>
  <si>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</si>
  <si>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</si>
  <si>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</si>
  <si>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</si>
  <si>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</si>
  <si>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</si>
  <si>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</si>
  <si>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</si>
  <si>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</si>
  <si>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</si>
  <si>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</si>
  <si>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</si>
  <si>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</si>
  <si>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</si>
  <si>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</si>
  <si>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</si>
  <si>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</si>
  <si>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</si>
  <si>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</si>
  <si>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</si>
  <si>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</si>
  <si>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</si>
  <si>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</si>
  <si>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</si>
  <si>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</si>
  <si>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</si>
  <si>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</si>
  <si>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</si>
  <si>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</si>
  <si>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</si>
  <si>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</si>
  <si>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</si>
  <si>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</si>
  <si>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</si>
  <si>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</si>
  <si>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</si>
  <si>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</si>
  <si>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</si>
  <si>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</si>
  <si>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</si>
  <si>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</si>
  <si>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</si>
  <si>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</si>
  <si>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</si>
  <si>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</si>
  <si>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</si>
  <si>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</si>
  <si>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</si>
  <si>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</si>
  <si>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</si>
  <si>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</si>
  <si>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</si>
  <si>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</si>
  <si>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</si>
  <si>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</si>
  <si>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</si>
  <si>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</si>
  <si>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</si>
  <si>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</si>
  <si>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</si>
  <si>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</si>
  <si>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</si>
  <si>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</si>
  <si>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</si>
  <si>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</si>
  <si>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</si>
  <si>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</si>
  <si>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</si>
  <si>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</si>
  <si>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</si>
  <si>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</si>
  <si>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</si>
  <si>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</si>
  <si>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</si>
  <si>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</si>
  <si>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</si>
  <si>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</si>
  <si>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</si>
  <si>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</si>
  <si>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</si>
  <si>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</si>
  <si>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</si>
  <si>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</si>
  <si>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</si>
  <si>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</si>
  <si>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</si>
  <si>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</si>
  <si>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</si>
  <si>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</si>
  <si>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</si>
  <si>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</si>
  <si>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</si>
  <si>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</si>
  <si>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</si>
  <si>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</si>
  <si>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</si>
  <si>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</si>
  <si>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</si>
  <si>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</si>
  <si>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</si>
  <si>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</si>
  <si>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</si>
  <si>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</si>
  <si>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</si>
  <si>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</si>
  <si>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</si>
  <si>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</si>
  <si>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</si>
  <si>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</si>
  <si>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</si>
  <si>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</si>
  <si>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</si>
  <si>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</si>
  <si>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</si>
  <si>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</si>
  <si>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</si>
  <si>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</si>
  <si>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</si>
  <si>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</si>
  <si>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</si>
  <si>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</si>
  <si>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</si>
  <si>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</si>
  <si>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</si>
  <si>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</si>
  <si>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</si>
  <si>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</si>
  <si>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</si>
  <si>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</si>
  <si>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</si>
  <si>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</si>
  <si>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</si>
  <si>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</si>
  <si>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</si>
  <si>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</si>
  <si>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</si>
  <si>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</si>
  <si>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</si>
  <si>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</si>
  <si>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</si>
  <si>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</si>
  <si>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</si>
  <si>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</si>
  <si>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</si>
  <si>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</si>
  <si>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</si>
  <si>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</si>
  <si>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</si>
  <si>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</si>
  <si>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</si>
  <si>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</si>
  <si>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</si>
  <si>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</si>
  <si>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</si>
  <si>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</si>
  <si>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(Laminated)- 3.5 x 0.5 x 1.0</t>
  </si>
  <si>
    <t>Bar Counter (Laminated)- 2.0 x 0.5 x 1.0</t>
  </si>
  <si>
    <t xml:space="preserve">COFFEE TABLE </t>
  </si>
  <si>
    <t>Opt Nr:-  1</t>
  </si>
  <si>
    <t>Date:- 13-05-2026</t>
  </si>
  <si>
    <t>Orbits Engineering</t>
  </si>
  <si>
    <t>INTERGEO 2026</t>
  </si>
  <si>
    <t>8.5M X 6M</t>
  </si>
  <si>
    <t>51 SQM</t>
  </si>
  <si>
    <t>4M</t>
  </si>
  <si>
    <t>15. - 17.09.2026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</si>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</sst>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143</xdr:row>
      <xdr:rowOff>200024</xdr:rowOff>
    </xdr:from>
    <xdr:to>
      <xdr:col>1</xdr:col>
      <xdr:colOff>1057276</xdr:colOff>
      <xdr:row>264</xdr:row>
      <xdr:rowOff>200024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C28F7-DFA5-4B1E-AFE2-CAC64F1F6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666874"/>
          <a:ext cx="2114550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D276" sqref="D276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277</v>
      </c>
      <c r="C2" s="26" t="s">
        <v>150</v>
      </c>
      <c r="D2" s="27">
        <f>SUM(E3:E11)</f>
        <v>2123.5499999999997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771.66</v>
      </c>
      <c r="F5" s="8"/>
      <c r="G5" s="8"/>
      <c r="H5" s="8"/>
      <c r="I5" s="9">
        <v>54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1234.44</v>
      </c>
      <c r="F8" s="8"/>
      <c r="G8" s="8"/>
      <c r="H8" s="8"/>
      <c r="I8" s="9">
        <v>54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117.44999999999999</v>
      </c>
      <c r="F9" s="8"/>
      <c r="G9" s="8"/>
      <c r="H9" s="8"/>
      <c r="I9" s="9">
        <v>29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278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283</v>
      </c>
      <c r="C16" s="26" t="s">
        <v>183</v>
      </c>
      <c r="D16" s="27">
        <f>SUM(E17:E87)</f>
        <v>2193.15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462.84999999999997</v>
      </c>
      <c r="F34" s="8">
        <v>1</v>
      </c>
      <c r="G34" s="8">
        <v>0.1</v>
      </c>
      <c r="H34" s="8">
        <v>4</v>
      </c>
      <c r="I34" s="9">
        <v>5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B56" s="29" t="s">
        <v>248</v>
      </c>
      <c r="C56" s="7" t="s">
        <v>35</v>
      </c>
      <c r="D56" s="7"/>
      <c r="E56" s="8">
        <f t="shared" ref="E56" si="3">I56*K56</f>
        <v>292.29000000000002</v>
      </c>
      <c r="F56" s="8">
        <v>1</v>
      </c>
      <c r="G56" s="8">
        <v>0.2</v>
      </c>
      <c r="H56" s="8">
        <v>3</v>
      </c>
      <c r="I56" s="9">
        <v>3</v>
      </c>
      <c r="J56" s="10" t="s">
        <v>155</v>
      </c>
      <c r="K56" s="30">
        <v>97.43</v>
      </c>
    </row>
    <row r="57" spans="2:11" ht="15.95" hidden="1" customHeight="1" x14ac:dyDescent="0.25">
      <c r="B57" s="29"/>
      <c r="C57" s="7" t="s">
        <v>35</v>
      </c>
      <c r="D57" s="7"/>
      <c r="E57" s="8">
        <f t="shared" si="2"/>
        <v>682.01</v>
      </c>
      <c r="F57" s="8">
        <v>1</v>
      </c>
      <c r="G57" s="8">
        <v>0.2</v>
      </c>
      <c r="H57" s="8">
        <v>3</v>
      </c>
      <c r="I57" s="9">
        <v>7</v>
      </c>
      <c r="J57" s="10" t="s">
        <v>155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2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2:11" ht="15.95" hidden="1" customHeight="1" x14ac:dyDescent="0.25">
      <c r="C60" s="7" t="s">
        <v>104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2:11" ht="15.95" hidden="1" customHeight="1" x14ac:dyDescent="0.25">
      <c r="C61" s="7" t="s">
        <v>105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102.38</v>
      </c>
    </row>
    <row r="62" spans="2:11" ht="15.95" hidden="1" customHeight="1" x14ac:dyDescent="0.25">
      <c r="C62" s="7" t="s">
        <v>106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2:11" ht="15.95" hidden="1" customHeight="1" x14ac:dyDescent="0.25">
      <c r="C63" s="7" t="s">
        <v>77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96.29</v>
      </c>
    </row>
    <row r="65" spans="1:11" ht="15.95" hidden="1" customHeight="1" x14ac:dyDescent="0.25">
      <c r="B65" s="29" t="s">
        <v>248</v>
      </c>
      <c r="C65" s="7" t="s">
        <v>31</v>
      </c>
      <c r="D65" s="7"/>
      <c r="E65" s="8">
        <f t="shared" si="2"/>
        <v>756</v>
      </c>
      <c r="F65" s="8">
        <v>1</v>
      </c>
      <c r="G65" s="8">
        <v>0.2</v>
      </c>
      <c r="H65" s="8">
        <v>4</v>
      </c>
      <c r="I65" s="9">
        <v>6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282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279</v>
      </c>
      <c r="C109" s="26" t="s">
        <v>195</v>
      </c>
      <c r="D109" s="27">
        <f>SUM(E110:E132)</f>
        <v>782.55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ref="E112:E113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423.86</v>
      </c>
      <c r="F113" s="8">
        <v>3.5</v>
      </c>
      <c r="G113" s="8">
        <v>0.5</v>
      </c>
      <c r="H113" s="8">
        <v>1</v>
      </c>
      <c r="I113" s="8">
        <v>1</v>
      </c>
      <c r="J113" s="10" t="s">
        <v>165</v>
      </c>
      <c r="K113" s="30">
        <v>423.86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6"/>
        <v>358.69</v>
      </c>
      <c r="F114" s="8">
        <v>2</v>
      </c>
      <c r="G114" s="8">
        <v>0.5</v>
      </c>
      <c r="H114" s="8">
        <v>1</v>
      </c>
      <c r="I114" s="8">
        <v>1</v>
      </c>
      <c r="J114" s="10" t="s">
        <v>165</v>
      </c>
      <c r="K114" s="30">
        <v>358.69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302.29000000000002</v>
      </c>
    </row>
    <row r="116" spans="2:11" s="4" customFormat="1" ht="15.95" hidden="1" customHeight="1" x14ac:dyDescent="0.25">
      <c r="C116" s="7" t="s">
        <v>252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604.02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423.86</v>
      </c>
    </row>
    <row r="118" spans="2:11" s="4" customFormat="1" ht="15.95" hidden="1" customHeight="1" x14ac:dyDescent="0.25">
      <c r="C118" s="7" t="s">
        <v>156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165</v>
      </c>
      <c r="K118" s="30">
        <v>595.24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165</v>
      </c>
      <c r="K119" s="30">
        <v>161.9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165</v>
      </c>
      <c r="K120" s="30">
        <v>190.48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165</v>
      </c>
      <c r="K121" s="30">
        <v>216.67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165</v>
      </c>
      <c r="K122" s="30">
        <v>154.76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177.98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260.12</v>
      </c>
    </row>
    <row r="125" spans="2:11" s="4" customFormat="1" ht="15.95" hidden="1" customHeight="1" x14ac:dyDescent="0.25">
      <c r="B125" s="29" t="s">
        <v>248</v>
      </c>
      <c r="C125" s="7" t="s">
        <v>119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165</v>
      </c>
      <c r="K125" s="30">
        <v>210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165</v>
      </c>
      <c r="K126" s="30">
        <v>223.81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165</v>
      </c>
      <c r="K127" s="30">
        <v>65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165</v>
      </c>
      <c r="K128" s="30">
        <v>35</v>
      </c>
    </row>
    <row r="129" spans="1:11" s="4" customFormat="1" ht="15.95" hidden="1" customHeight="1" x14ac:dyDescent="0.25">
      <c r="B129" s="29" t="s">
        <v>248</v>
      </c>
      <c r="C129" s="7" t="s">
        <v>54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165</v>
      </c>
      <c r="K129" s="30">
        <v>12</v>
      </c>
    </row>
    <row r="130" spans="1:11" s="4" customFormat="1" ht="15.95" hidden="1" customHeight="1" x14ac:dyDescent="0.25">
      <c r="C130" s="7" t="s">
        <v>129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110</v>
      </c>
      <c r="K130" s="30">
        <v>21.9</v>
      </c>
    </row>
    <row r="131" spans="1:11" s="4" customFormat="1" ht="15.95" hidden="1" customHeight="1" x14ac:dyDescent="0.25">
      <c r="C131" s="7" t="s">
        <v>202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177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165</v>
      </c>
      <c r="K132" s="30">
        <v>383.33</v>
      </c>
    </row>
    <row r="133" spans="1:11" s="4" customFormat="1" ht="15.95" customHeight="1" x14ac:dyDescent="0.25">
      <c r="A133" s="21" t="s">
        <v>142</v>
      </c>
      <c r="B133" s="4" t="s">
        <v>280</v>
      </c>
      <c r="C133" s="26" t="s">
        <v>203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248</v>
      </c>
      <c r="C134" s="7" t="s">
        <v>48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165</v>
      </c>
      <c r="K134" s="30">
        <v>35</v>
      </c>
    </row>
    <row r="135" spans="1:11" s="4" customFormat="1" ht="15.95" hidden="1" customHeight="1" x14ac:dyDescent="0.25">
      <c r="B135" s="29" t="s">
        <v>248</v>
      </c>
      <c r="C135" s="7" t="s">
        <v>49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165</v>
      </c>
      <c r="K135" s="30">
        <v>50</v>
      </c>
    </row>
    <row r="136" spans="1:11" s="4" customFormat="1" ht="15.95" hidden="1" customHeight="1" x14ac:dyDescent="0.25">
      <c r="B136" s="29" t="s">
        <v>248</v>
      </c>
      <c r="C136" s="7" t="s">
        <v>270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165</v>
      </c>
      <c r="K136" s="30">
        <v>119.05</v>
      </c>
    </row>
    <row r="137" spans="1:11" s="4" customFormat="1" ht="15.95" hidden="1" customHeight="1" x14ac:dyDescent="0.25">
      <c r="C137" s="7" t="s">
        <v>121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110</v>
      </c>
      <c r="K137" s="30">
        <v>28.57</v>
      </c>
    </row>
    <row r="138" spans="1:11" s="4" customFormat="1" ht="15.95" hidden="1" customHeight="1" x14ac:dyDescent="0.25">
      <c r="C138" s="7" t="s">
        <v>73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165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165</v>
      </c>
      <c r="K139" s="30">
        <v>136.9</v>
      </c>
    </row>
    <row r="140" spans="1:11" s="4" customFormat="1" ht="15.95" hidden="1" customHeight="1" x14ac:dyDescent="0.25">
      <c r="C140" s="7" t="s">
        <v>170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110</v>
      </c>
      <c r="K140" s="30">
        <v>22.62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83.33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32.14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38.1</v>
      </c>
    </row>
    <row r="144" spans="1:11" s="4" customFormat="1" ht="15.95" customHeight="1" x14ac:dyDescent="0.25">
      <c r="A144" s="21" t="s">
        <v>141</v>
      </c>
      <c r="B144" s="4" t="s">
        <v>281</v>
      </c>
      <c r="C144" s="26" t="s">
        <v>204</v>
      </c>
      <c r="D144" s="27">
        <f>SUM(E145:E151)</f>
        <v>237.76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267</v>
      </c>
      <c r="D145" s="7"/>
      <c r="E145" s="8">
        <f t="shared" ref="E145:E151" si="9">I145*K145</f>
        <v>154.76</v>
      </c>
      <c r="F145" s="8">
        <v>1.5</v>
      </c>
      <c r="G145" s="8">
        <v>0.3</v>
      </c>
      <c r="H145" s="8">
        <v>0.6</v>
      </c>
      <c r="I145" s="8">
        <v>1</v>
      </c>
      <c r="J145" s="10" t="s">
        <v>165</v>
      </c>
      <c r="K145" s="30">
        <v>154.76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9"/>
        <v>18</v>
      </c>
      <c r="F147" s="8">
        <v>0</v>
      </c>
      <c r="G147" s="8">
        <v>0</v>
      </c>
      <c r="H147" s="8">
        <v>0</v>
      </c>
      <c r="I147" s="8">
        <v>6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52</v>
      </c>
      <c r="D148" s="7"/>
      <c r="E148" s="8">
        <f t="shared" si="9"/>
        <v>25</v>
      </c>
      <c r="F148" s="8">
        <v>0</v>
      </c>
      <c r="G148" s="8">
        <v>0</v>
      </c>
      <c r="H148" s="8">
        <v>0</v>
      </c>
      <c r="I148" s="8">
        <v>1</v>
      </c>
      <c r="J148" s="10" t="s">
        <v>165</v>
      </c>
      <c r="K148" s="30">
        <v>25</v>
      </c>
    </row>
    <row r="149" spans="2:11" s="4" customFormat="1" ht="15.95" hidden="1" customHeight="1" x14ac:dyDescent="0.25">
      <c r="B149" s="29" t="s">
        <v>248</v>
      </c>
      <c r="C149" s="7" t="s">
        <v>71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110</v>
      </c>
      <c r="K149" s="30">
        <v>25</v>
      </c>
    </row>
    <row r="150" spans="2:11" s="4" customFormat="1" ht="15.95" hidden="1" customHeight="1" x14ac:dyDescent="0.25">
      <c r="C150" s="7" t="s">
        <v>90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165</v>
      </c>
      <c r="K150" s="30">
        <v>25</v>
      </c>
    </row>
    <row r="151" spans="2:11" s="4" customFormat="1" ht="15.95" hidden="1" customHeight="1" x14ac:dyDescent="0.25">
      <c r="C151" s="7" t="s">
        <v>247</v>
      </c>
      <c r="D151" s="7"/>
      <c r="E151" s="8">
        <f t="shared" si="9"/>
        <v>40</v>
      </c>
      <c r="F151" s="8"/>
      <c r="G151" s="8"/>
      <c r="H151" s="8"/>
      <c r="I151" s="8">
        <v>2</v>
      </c>
      <c r="J151" s="10" t="s">
        <v>165</v>
      </c>
      <c r="K151" s="30">
        <v>20</v>
      </c>
    </row>
    <row r="152" spans="2:11" s="4" customFormat="1" ht="15.95" customHeight="1" x14ac:dyDescent="0.25">
      <c r="C152" s="26" t="s">
        <v>131</v>
      </c>
      <c r="D152" s="27">
        <f>SUM(E153:E165)</f>
        <v>974.48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248</v>
      </c>
      <c r="C153" s="7" t="s">
        <v>19</v>
      </c>
      <c r="D153" s="7"/>
      <c r="E153" s="8">
        <f t="shared" ref="E153:E165" si="10">I153*K153</f>
        <v>119</v>
      </c>
      <c r="F153" s="8"/>
      <c r="G153" s="8"/>
      <c r="H153" s="8"/>
      <c r="I153" s="8">
        <v>10</v>
      </c>
      <c r="J153" s="10" t="s">
        <v>165</v>
      </c>
      <c r="K153" s="30">
        <v>11.9</v>
      </c>
    </row>
    <row r="154" spans="2:11" s="4" customFormat="1" ht="15.95" hidden="1" customHeight="1" x14ac:dyDescent="0.25">
      <c r="B154" s="29" t="s">
        <v>248</v>
      </c>
      <c r="C154" s="7" t="s">
        <v>61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50</v>
      </c>
    </row>
    <row r="155" spans="2:11" s="4" customFormat="1" ht="15.95" hidden="1" customHeight="1" x14ac:dyDescent="0.25">
      <c r="B155" s="29" t="s">
        <v>248</v>
      </c>
      <c r="C155" s="7" t="s">
        <v>62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65</v>
      </c>
    </row>
    <row r="156" spans="2:11" s="4" customFormat="1" ht="15.95" hidden="1" customHeight="1" x14ac:dyDescent="0.25">
      <c r="C156" s="7" t="s">
        <v>81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23.81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14.29</v>
      </c>
    </row>
    <row r="158" spans="2:11" s="4" customFormat="1" ht="15.95" hidden="1" customHeight="1" x14ac:dyDescent="0.25">
      <c r="B158" s="29" t="s">
        <v>248</v>
      </c>
      <c r="C158" s="7" t="s">
        <v>63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B159" s="29" t="s">
        <v>248</v>
      </c>
      <c r="C159" s="7" t="s">
        <v>18</v>
      </c>
      <c r="D159" s="7"/>
      <c r="E159" s="8">
        <f t="shared" si="10"/>
        <v>200</v>
      </c>
      <c r="F159" s="8"/>
      <c r="G159" s="8"/>
      <c r="H159" s="8"/>
      <c r="I159" s="8">
        <v>20</v>
      </c>
      <c r="J159" s="10" t="s">
        <v>165</v>
      </c>
      <c r="K159" s="30">
        <v>10</v>
      </c>
    </row>
    <row r="160" spans="2:11" s="4" customFormat="1" ht="15.95" hidden="1" customHeight="1" x14ac:dyDescent="0.25">
      <c r="C160" s="7" t="s">
        <v>50</v>
      </c>
      <c r="D160" s="7"/>
      <c r="E160" s="8">
        <f t="shared" si="10"/>
        <v>60</v>
      </c>
      <c r="F160" s="12"/>
      <c r="G160" s="12"/>
      <c r="H160" s="12"/>
      <c r="I160" s="8">
        <v>12</v>
      </c>
      <c r="J160" s="10" t="s">
        <v>165</v>
      </c>
      <c r="K160" s="30">
        <v>5</v>
      </c>
    </row>
    <row r="161" spans="2:11" s="4" customFormat="1" ht="15.95" hidden="1" customHeight="1" x14ac:dyDescent="0.25">
      <c r="B161" s="29" t="s">
        <v>248</v>
      </c>
      <c r="C161" s="7" t="s">
        <v>17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165</v>
      </c>
      <c r="K161" s="30">
        <v>11.9</v>
      </c>
    </row>
    <row r="162" spans="2:11" s="4" customFormat="1" ht="15.95" hidden="1" customHeight="1" x14ac:dyDescent="0.25">
      <c r="C162" s="7" t="s">
        <v>55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165</v>
      </c>
      <c r="K163" s="30">
        <v>2.38</v>
      </c>
    </row>
    <row r="164" spans="2:11" ht="15.95" hidden="1" customHeight="1" x14ac:dyDescent="0.25">
      <c r="C164" s="7" t="s">
        <v>187</v>
      </c>
      <c r="D164" s="7"/>
      <c r="E164" s="8">
        <f t="shared" si="10"/>
        <v>405</v>
      </c>
      <c r="F164" s="8"/>
      <c r="G164" s="8"/>
      <c r="H164" s="8"/>
      <c r="I164" s="8">
        <v>100</v>
      </c>
      <c r="J164" s="10" t="s">
        <v>149</v>
      </c>
      <c r="K164" s="30">
        <v>4.05</v>
      </c>
    </row>
    <row r="165" spans="2:11" s="4" customFormat="1" ht="15.95" hidden="1" customHeight="1" x14ac:dyDescent="0.25">
      <c r="C165" s="7" t="s">
        <v>157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165</v>
      </c>
      <c r="K165" s="30">
        <v>190.48</v>
      </c>
    </row>
    <row r="166" spans="2:11" s="4" customFormat="1" ht="15.95" customHeight="1" x14ac:dyDescent="0.25">
      <c r="C166" s="26" t="s">
        <v>205</v>
      </c>
      <c r="D166" s="27">
        <f>SUM(E167:E208)</f>
        <v>591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90</v>
      </c>
      <c r="F167" s="12"/>
      <c r="G167" s="12"/>
      <c r="H167" s="12"/>
      <c r="I167" s="8">
        <v>6</v>
      </c>
      <c r="J167" s="10" t="s">
        <v>165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96</v>
      </c>
      <c r="F168" s="12"/>
      <c r="G168" s="12"/>
      <c r="H168" s="12"/>
      <c r="I168" s="8">
        <v>8</v>
      </c>
      <c r="J168" s="10" t="s">
        <v>165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40</v>
      </c>
      <c r="F169" s="12"/>
      <c r="G169" s="12"/>
      <c r="H169" s="12"/>
      <c r="I169" s="8">
        <v>2</v>
      </c>
      <c r="J169" s="10" t="s">
        <v>165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80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178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165</v>
      </c>
      <c r="K172" s="30">
        <v>385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130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195</v>
      </c>
      <c r="F175" s="12"/>
      <c r="G175" s="12"/>
      <c r="H175" s="12"/>
      <c r="I175" s="8">
        <v>3</v>
      </c>
      <c r="J175" s="10" t="s">
        <v>165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165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165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32</v>
      </c>
      <c r="F179" s="12"/>
      <c r="G179" s="12"/>
      <c r="H179" s="12"/>
      <c r="I179" s="8">
        <v>4</v>
      </c>
      <c r="J179" s="10" t="s">
        <v>165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165</v>
      </c>
      <c r="K180" s="30">
        <v>15</v>
      </c>
    </row>
    <row r="181" spans="3:11" s="4" customFormat="1" ht="15.95" hidden="1" customHeight="1" x14ac:dyDescent="0.25">
      <c r="C181" s="7" t="s">
        <v>189</v>
      </c>
      <c r="D181" s="7"/>
      <c r="E181" s="8">
        <f t="shared" si="11"/>
        <v>70</v>
      </c>
      <c r="F181" s="12"/>
      <c r="G181" s="12"/>
      <c r="H181" s="12"/>
      <c r="I181" s="8">
        <v>2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60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165</v>
      </c>
      <c r="K182" s="30">
        <v>85</v>
      </c>
    </row>
    <row r="183" spans="3:11" s="4" customFormat="1" ht="15.95" hidden="1" customHeight="1" x14ac:dyDescent="0.25">
      <c r="C183" s="7" t="s">
        <v>57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59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25</v>
      </c>
    </row>
    <row r="185" spans="3:11" s="4" customFormat="1" ht="15.95" hidden="1" customHeight="1" x14ac:dyDescent="0.25">
      <c r="C185" s="7" t="s">
        <v>134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12</v>
      </c>
    </row>
    <row r="187" spans="3:11" s="4" customFormat="1" ht="15.95" hidden="1" customHeight="1" x14ac:dyDescent="0.25">
      <c r="C187" s="7" t="s">
        <v>274</v>
      </c>
      <c r="D187" s="7"/>
      <c r="E187" s="8">
        <f t="shared" si="11"/>
        <v>25</v>
      </c>
      <c r="F187" s="12"/>
      <c r="G187" s="12"/>
      <c r="H187" s="12"/>
      <c r="I187" s="8">
        <v>1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53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165</v>
      </c>
      <c r="K188" s="30">
        <v>150</v>
      </c>
    </row>
    <row r="189" spans="3:11" s="4" customFormat="1" ht="15.95" hidden="1" customHeight="1" x14ac:dyDescent="0.25">
      <c r="C189" s="7" t="s">
        <v>206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158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165</v>
      </c>
      <c r="K191" s="30">
        <v>600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165</v>
      </c>
      <c r="K193" s="30">
        <v>210</v>
      </c>
    </row>
    <row r="194" spans="2:11" s="4" customFormat="1" ht="15.95" hidden="1" customHeight="1" x14ac:dyDescent="0.25">
      <c r="C194" s="7" t="s">
        <v>86</v>
      </c>
      <c r="D194" s="7"/>
      <c r="E194" s="8">
        <f t="shared" si="11"/>
        <v>8</v>
      </c>
      <c r="F194" s="8"/>
      <c r="G194" s="8"/>
      <c r="H194" s="8"/>
      <c r="I194" s="8">
        <v>1</v>
      </c>
      <c r="J194" s="10" t="s">
        <v>165</v>
      </c>
      <c r="K194" s="30">
        <v>8</v>
      </c>
    </row>
    <row r="195" spans="2:11" s="4" customFormat="1" ht="15.95" hidden="1" customHeight="1" x14ac:dyDescent="0.25">
      <c r="C195" s="7" t="s">
        <v>72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83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B197" s="29" t="s">
        <v>248</v>
      </c>
      <c r="C197" s="7" t="s">
        <v>84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25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85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12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20</v>
      </c>
    </row>
    <row r="204" spans="2:11" s="4" customFormat="1" ht="15.95" hidden="1" customHeight="1" x14ac:dyDescent="0.25">
      <c r="C204" s="7" t="s">
        <v>120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6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3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165</v>
      </c>
      <c r="K206" s="30">
        <v>35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165</v>
      </c>
      <c r="K208" s="30">
        <v>85</v>
      </c>
    </row>
    <row r="209" spans="3:11" s="4" customFormat="1" ht="15.95" customHeight="1" x14ac:dyDescent="0.25">
      <c r="C209" s="26" t="s">
        <v>182</v>
      </c>
      <c r="D209" s="27">
        <f>SUM(E210:E220)</f>
        <v>671.52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243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110</v>
      </c>
      <c r="K210" s="30">
        <v>10.71</v>
      </c>
    </row>
    <row r="211" spans="3:11" s="4" customFormat="1" ht="15.95" hidden="1" customHeight="1" x14ac:dyDescent="0.25">
      <c r="C211" s="7" t="s">
        <v>242</v>
      </c>
      <c r="D211" s="7"/>
      <c r="E211" s="8">
        <f t="shared" si="12"/>
        <v>154.80000000000001</v>
      </c>
      <c r="F211" s="8">
        <v>1</v>
      </c>
      <c r="G211" s="8">
        <v>1</v>
      </c>
      <c r="H211" s="12"/>
      <c r="I211" s="8">
        <v>10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30.96</v>
      </c>
      <c r="F212" s="8">
        <v>1</v>
      </c>
      <c r="G212" s="8">
        <v>1</v>
      </c>
      <c r="H212" s="12"/>
      <c r="I212" s="8">
        <v>2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190</v>
      </c>
      <c r="D213" s="7"/>
      <c r="E213" s="8">
        <f t="shared" si="12"/>
        <v>104.8</v>
      </c>
      <c r="F213" s="8">
        <v>1</v>
      </c>
      <c r="G213" s="8">
        <v>1</v>
      </c>
      <c r="H213" s="12"/>
      <c r="I213" s="8">
        <v>8</v>
      </c>
      <c r="J213" s="10" t="s">
        <v>110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2"/>
        <v>380.96</v>
      </c>
      <c r="F214" s="8">
        <v>1</v>
      </c>
      <c r="G214" s="8">
        <v>1</v>
      </c>
      <c r="H214" s="12"/>
      <c r="I214" s="8">
        <v>4</v>
      </c>
      <c r="J214" s="10" t="s">
        <v>110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47.62</v>
      </c>
    </row>
    <row r="216" spans="3:11" s="4" customFormat="1" ht="15.95" hidden="1" customHeight="1" x14ac:dyDescent="0.25">
      <c r="C216" s="7" t="s">
        <v>70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35.71</v>
      </c>
    </row>
    <row r="217" spans="3:11" s="4" customFormat="1" ht="15.95" hidden="1" customHeight="1" x14ac:dyDescent="0.25">
      <c r="C217" s="7" t="s">
        <v>121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28.57</v>
      </c>
    </row>
    <row r="218" spans="3:11" s="4" customFormat="1" ht="15.95" hidden="1" customHeight="1" x14ac:dyDescent="0.25">
      <c r="C218" s="7" t="s">
        <v>51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244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10.71</v>
      </c>
    </row>
    <row r="221" spans="3:11" s="4" customFormat="1" ht="15.95" customHeight="1" x14ac:dyDescent="0.25">
      <c r="C221" s="26" t="s">
        <v>181</v>
      </c>
      <c r="D221" s="27">
        <f>SUM(E222:E260)</f>
        <v>3937.5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165</v>
      </c>
      <c r="K222" s="30">
        <v>320</v>
      </c>
    </row>
    <row r="223" spans="3:11" s="4" customFormat="1" ht="15.95" hidden="1" customHeight="1" x14ac:dyDescent="0.25">
      <c r="C223" s="7" t="s">
        <v>212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210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110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310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165</v>
      </c>
      <c r="K228" s="30">
        <v>160</v>
      </c>
    </row>
    <row r="229" spans="3:11" s="4" customFormat="1" ht="15.95" hidden="1" customHeight="1" x14ac:dyDescent="0.25">
      <c r="C229" s="7" t="s">
        <v>58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10</v>
      </c>
    </row>
    <row r="230" spans="3:11" s="4" customFormat="1" ht="15.95" hidden="1" customHeight="1" x14ac:dyDescent="0.25">
      <c r="C230" s="7" t="s">
        <v>221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165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180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165</v>
      </c>
      <c r="K235" s="30">
        <v>250</v>
      </c>
    </row>
    <row r="236" spans="3:11" s="4" customFormat="1" ht="15.95" hidden="1" customHeight="1" x14ac:dyDescent="0.25">
      <c r="C236" s="7" t="s">
        <v>209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390</v>
      </c>
    </row>
    <row r="237" spans="3:11" s="4" customFormat="1" ht="15.95" hidden="1" customHeight="1" x14ac:dyDescent="0.25">
      <c r="C237" s="7" t="s">
        <v>235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460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850</v>
      </c>
    </row>
    <row r="239" spans="3:11" s="4" customFormat="1" ht="15.95" hidden="1" customHeight="1" x14ac:dyDescent="0.25">
      <c r="C239" s="7" t="s">
        <v>186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1400</v>
      </c>
    </row>
    <row r="240" spans="3:11" s="4" customFormat="1" ht="15.95" hidden="1" customHeight="1" x14ac:dyDescent="0.25">
      <c r="C240" s="7" t="s">
        <v>237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360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550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580</v>
      </c>
    </row>
    <row r="243" spans="3:11" s="4" customFormat="1" ht="15.95" hidden="1" customHeight="1" x14ac:dyDescent="0.25">
      <c r="C243" s="7" t="s">
        <v>233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680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750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340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160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226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222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400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260</v>
      </c>
    </row>
    <row r="251" spans="3:11" s="4" customFormat="1" ht="15.95" hidden="1" customHeight="1" x14ac:dyDescent="0.25">
      <c r="C251" s="7" t="s">
        <v>230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180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120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220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165</v>
      </c>
      <c r="K254" s="30">
        <v>230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228</v>
      </c>
      <c r="K255" s="30">
        <v>500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223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260</v>
      </c>
    </row>
    <row r="258" spans="3:11" s="4" customFormat="1" ht="15.95" hidden="1" customHeight="1" x14ac:dyDescent="0.25">
      <c r="C258" s="7" t="s">
        <v>218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6500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8800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3"/>
        <v>3937.5</v>
      </c>
      <c r="F260" s="8">
        <v>2.5</v>
      </c>
      <c r="G260" s="8">
        <v>1.5</v>
      </c>
      <c r="H260" s="8"/>
      <c r="I260" s="8">
        <v>3.75</v>
      </c>
      <c r="J260" s="10" t="s">
        <v>165</v>
      </c>
      <c r="K260" s="30">
        <v>1050</v>
      </c>
    </row>
    <row r="261" spans="3:11" s="22" customFormat="1" ht="15.95" customHeight="1" x14ac:dyDescent="0.25">
      <c r="C261" s="32" t="s">
        <v>147</v>
      </c>
      <c r="D261" s="33">
        <f>SUM(E262)</f>
        <v>9500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9500</v>
      </c>
      <c r="F262" s="24"/>
      <c r="G262" s="24"/>
      <c r="H262" s="24"/>
      <c r="I262" s="24">
        <v>1</v>
      </c>
      <c r="J262" s="25" t="s">
        <v>165</v>
      </c>
      <c r="K262" s="48">
        <v>9500</v>
      </c>
    </row>
    <row r="263" spans="3:11" s="22" customFormat="1" ht="15.95" customHeight="1" x14ac:dyDescent="0.25">
      <c r="C263" s="32" t="s">
        <v>145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148</v>
      </c>
      <c r="K264" s="48">
        <v>1250</v>
      </c>
    </row>
    <row r="265" spans="3:11" s="22" customFormat="1" ht="15.95" customHeight="1" x14ac:dyDescent="0.25">
      <c r="C265" s="32" t="s">
        <v>271</v>
      </c>
      <c r="D265" s="33">
        <f>SUM(E266)</f>
        <v>500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500</v>
      </c>
      <c r="F266" s="41"/>
      <c r="G266" s="41"/>
      <c r="H266" s="41"/>
      <c r="I266" s="24">
        <v>1</v>
      </c>
      <c r="J266" s="25" t="s">
        <v>165</v>
      </c>
      <c r="K266" s="48">
        <v>500</v>
      </c>
    </row>
    <row r="267" spans="3:11" s="22" customFormat="1" ht="15.95" customHeight="1" x14ac:dyDescent="0.25">
      <c r="C267" s="32" t="s">
        <v>146</v>
      </c>
      <c r="D267" s="33">
        <f>SUM(E268)</f>
        <v>3000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3000</v>
      </c>
      <c r="F268" s="41"/>
      <c r="G268" s="41"/>
      <c r="H268" s="41"/>
      <c r="I268" s="24">
        <v>2</v>
      </c>
      <c r="J268" s="25" t="s">
        <v>165</v>
      </c>
      <c r="K268" s="48">
        <v>1500</v>
      </c>
    </row>
    <row r="269" spans="3:11" s="22" customFormat="1" ht="15.95" customHeight="1" x14ac:dyDescent="0.25">
      <c r="C269" s="32" t="s">
        <v>211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165</v>
      </c>
      <c r="K270" s="48">
        <v>1200</v>
      </c>
    </row>
    <row r="271" spans="3:11" s="22" customFormat="1" ht="15.95" customHeight="1" x14ac:dyDescent="0.25">
      <c r="C271" s="32" t="s">
        <v>263</v>
      </c>
      <c r="D271" s="33">
        <f>SUM(E272)</f>
        <v>1000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262</v>
      </c>
      <c r="D272" s="38"/>
      <c r="E272" s="39">
        <f>I272*K272</f>
        <v>1000</v>
      </c>
      <c r="F272" s="41"/>
      <c r="G272" s="41"/>
      <c r="H272" s="41"/>
      <c r="I272" s="24">
        <v>1</v>
      </c>
      <c r="J272" s="25" t="s">
        <v>165</v>
      </c>
      <c r="K272" s="48">
        <v>1000</v>
      </c>
    </row>
    <row r="273" spans="3:11" ht="15.95" customHeight="1" thickBot="1" x14ac:dyDescent="0.3">
      <c r="C273" s="18" t="s">
        <v>56</v>
      </c>
      <c r="D273" s="14">
        <f>SUM(D2:D272)</f>
        <v>29246.510000000002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2026-05-13T12:12:46Z</dcterms:modified>
</cp:coreProperties>
</file>