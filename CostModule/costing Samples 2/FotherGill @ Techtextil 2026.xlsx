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FotherGill @ Techtextil 2026\"/>
    </mc:Choice>
  </mc:AlternateContent>
  <xr:revisionPtr revIDLastSave="0" documentId="13_ncr:1_{2D80A15F-4364-47BA-88EF-26BE0BD7B0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6" i="1" l="1"/>
  <c r="E60" i="1"/>
  <c r="E136" i="1" l="1"/>
  <c r="E269" i="1" l="1"/>
  <c r="D268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2" i="1"/>
  <c r="E113" i="1"/>
  <c r="E114" i="1"/>
  <c r="E115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4" i="1" l="1"/>
  <c r="E89" i="1" l="1"/>
  <c r="D88" i="1" s="1"/>
  <c r="E15" i="1" l="1"/>
  <c r="E84" i="1" l="1"/>
  <c r="E85" i="1"/>
  <c r="E86" i="1"/>
  <c r="E209" i="1" l="1"/>
  <c r="E133" i="1"/>
  <c r="E166" i="1"/>
  <c r="D165" i="1" s="1"/>
  <c r="D208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1" i="1" l="1"/>
  <c r="E63" i="1" l="1"/>
  <c r="E59" i="1"/>
  <c r="E44" i="1" l="1"/>
  <c r="E40" i="1"/>
  <c r="E41" i="1"/>
  <c r="E152" i="1" l="1"/>
  <c r="E144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4" i="1"/>
  <c r="E65" i="1"/>
  <c r="E66" i="1"/>
  <c r="E67" i="1"/>
  <c r="E76" i="1"/>
  <c r="E77" i="1"/>
  <c r="E78" i="1"/>
  <c r="E110" i="1"/>
  <c r="E221" i="1"/>
  <c r="D220" i="1" s="1"/>
  <c r="D16" i="1" l="1"/>
  <c r="D151" i="1"/>
  <c r="D132" i="1"/>
  <c r="D143" i="1"/>
  <c r="D109" i="1"/>
  <c r="D270" i="1" l="1"/>
</calcChain>
</file>

<file path=xl/sharedStrings.xml><?xml version="1.0" encoding="utf-8"?>
<sst xmlns="http://schemas.openxmlformats.org/spreadsheetml/2006/main" count="582" uniqueCount="282">
  <si>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</si>
  <si>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</si>
  <si>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</si>
  <si>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</si>
  <si>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</si>
  <si>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</si>
  <si>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</si>
  <si>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</si>
  <si>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</si>
  <si>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</si>
  <si>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</si>
  <si>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</si>
  <si>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</si>
  <si>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</si>
  <si>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</si>
  <si>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</si>
  <si>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</si>
  <si>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</si>
  <si>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</si>
  <si>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</si>
  <si>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</si>
  <si>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</si>
  <si>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</si>
  <si>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</si>
  <si>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</si>
  <si>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</si>
  <si>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</si>
  <si>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</si>
  <si>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</si>
  <si>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</si>
  <si>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</si>
  <si>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</si>
  <si>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</si>
  <si>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</si>
  <si>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</si>
  <si>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</si>
  <si>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</si>
  <si>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</si>
  <si>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</si>
  <si>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</si>
  <si>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</si>
  <si>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</si>
  <si>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</si>
  <si>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</si>
  <si>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</si>
  <si>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</si>
  <si>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</si>
  <si>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</si>
  <si>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</si>
  <si>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</si>
  <si>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</si>
  <si>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</si>
  <si>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</si>
  <si>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</si>
  <si>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</si>
  <si>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</si>
  <si>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</si>
  <si>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</si>
  <si>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</si>
  <si>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</si>
  <si>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</si>
  <si>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</si>
  <si>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</si>
  <si>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</si>
  <si>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</si>
  <si>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</si>
  <si>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</si>
  <si>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</si>
  <si>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</si>
  <si>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</si>
  <si>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</si>
  <si>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</si>
  <si>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</si>
  <si>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</si>
  <si>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</si>
  <si>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</si>
  <si>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</si>
  <si>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</si>
  <si>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</si>
  <si>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</si>
  <si>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</si>
  <si>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</si>
  <si>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</si>
  <si>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</si>
  <si>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</si>
  <si>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</si>
  <si>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</si>
  <si>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</si>
  <si>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</si>
  <si>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</si>
  <si>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</si>
  <si>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</si>
  <si>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</si>
  <si>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</si>
  <si>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</si>
  <si>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</si>
  <si>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</si>
  <si>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</si>
  <si>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</si>
  <si>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</si>
  <si>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</si>
  <si>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</si>
  <si>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</si>
  <si>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</si>
  <si>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</si>
  <si>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</si>
  <si>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</si>
  <si>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</si>
  <si>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</si>
  <si>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</si>
  <si>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</si>
  <si>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</si>
  <si>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</si>
  <si>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</si>
  <si>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</si>
  <si>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</si>
  <si>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</si>
  <si>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</si>
  <si>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</si>
  <si>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</si>
  <si>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</si>
  <si>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</si>
  <si>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</si>
  <si>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</si>
  <si>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</si>
  <si>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</si>
  <si>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</si>
  <si>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</si>
  <si>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</si>
  <si>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</si>
  <si>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</si>
  <si>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</si>
  <si>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</si>
  <si>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</si>
  <si>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</si>
  <si>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</si>
  <si>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</si>
  <si>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</si>
  <si>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</si>
  <si>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</si>
  <si>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</si>
  <si>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</si>
  <si>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</si>
  <si>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</si>
  <si>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</si>
  <si>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</si>
  <si>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</si>
  <si>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</si>
  <si>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</si>
  <si>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</si>
  <si>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</si>
  <si>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</si>
  <si>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</si>
  <si>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</si>
  <si>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</si>
  <si>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</si>
  <si>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</si>
  <si>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</si>
  <si>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</si>
  <si>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</si>
  <si>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</si>
  <si>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</si>
  <si>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</si>
  <si>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</si>
  <si>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</si>
  <si>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</si>
  <si>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</si>
  <si>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</si>
  <si>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</si>
  <si>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</si>
  <si>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</si>
  <si>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</si>
  <si>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</si>
  <si>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</si>
  <si>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</si>
  <si>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</si>
  <si>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</si>
  <si>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</si>
  <si>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</si>
  <si>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</si>
  <si>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</si>
  <si>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</si>
  <si>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</si>
  <si>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</si>
  <si>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</si>
  <si>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</si>
  <si>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</si>
  <si>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</si>
  <si>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</si>
  <si>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</si>
  <si>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</si>
  <si>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</si>
  <si>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</si>
  <si>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</si>
  <si>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</si>
  <si>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</si>
  <si>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</si>
  <si>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</si>
  <si>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</si>
  <si>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</si>
  <si>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</si>
  <si>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</si>
  <si>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</si>
  <si>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</si>
  <si>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</si>
  <si>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</si>
  <si>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</si>
  <si>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</si>
  <si>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</si>
  <si>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</si>
  <si>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</si>
  <si>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</si>
  <si>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</si>
  <si>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</si>
  <si>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</si>
  <si>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</si>
  <si>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</si>
  <si>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</si>
  <si>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</si>
  <si>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</si>
  <si>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</si>
  <si>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</si>
  <si>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</si>
  <si>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</si>
  <si>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</si>
  <si>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</si>
  <si>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</si>
  <si>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</si>
  <si>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</si>
  <si>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</si>
  <si>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</si>
  <si>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</si>
  <si>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</si>
  <si>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</si>
  <si>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</si>
  <si>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</si>
  <si>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</si>
  <si>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</si>
  <si>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</si>
  <si>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</si>
  <si>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</si>
  <si>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</si>
  <si>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</si>
  <si>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</si>
  <si>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</si>
  <si>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</si>
  <si>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</si>
  <si>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</si>
  <si>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</si>
  <si>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</si>
  <si>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</si>
  <si>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</si>
  <si>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</si>
  <si>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</si>
  <si>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</si>
  <si>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</si>
  <si>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</si>
  <si>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</si>
  <si>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</si>
  <si>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</si>
  <si>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</si>
  <si>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</si>
  <si>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</si>
  <si>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</si>
  <si>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</si>
  <si>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</si>
  <si>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</si>
  <si>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GLASS PARTITION</t>
  </si>
  <si>
    <t>wall 5m (single side painted) (Ceiling)</t>
  </si>
  <si>
    <t>Reception Counter (Laminated)- 2.4 x 0.5 x 1.0</t>
  </si>
  <si>
    <t>Bar Counter (Laminated)  4.2 x 0.5 x 1.0</t>
  </si>
  <si>
    <t>Cabinate (Laminated)- 0.8 x 0.4 x 1.0</t>
  </si>
  <si>
    <t>Opt Nr:-  1</t>
  </si>
  <si>
    <t>Date:- 20-11-2025</t>
  </si>
  <si>
    <t>FOTHERGILL</t>
  </si>
  <si>
    <t>TECHTEXTIL 2026</t>
  </si>
  <si>
    <t>8M X 5M</t>
  </si>
  <si>
    <t>40 SQM</t>
  </si>
  <si>
    <t>3.5M</t>
  </si>
  <si>
    <t>21-24 April 2026</t>
  </si>
  <si>
    <t>FRANKFURT</t>
  </si>
  <si>
    <t>1 GENIE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</si>
</sst>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1032970</xdr:colOff>
      <xdr:row>263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B27FF7-A4AD-4F09-A627-295D9B3DC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090245" cy="1362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D273" sqref="D273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272</v>
      </c>
      <c r="B1" s="31" t="s">
        <v>273</v>
      </c>
      <c r="C1" s="19" t="s">
        <v>46</v>
      </c>
      <c r="D1" s="19" t="s">
        <v>130</v>
      </c>
      <c r="E1" s="20" t="s">
        <v>264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154</v>
      </c>
      <c r="K1" s="46" t="s">
        <v>264</v>
      </c>
    </row>
    <row r="2" spans="1:11" s="4" customFormat="1" ht="15.95" customHeight="1" x14ac:dyDescent="0.25">
      <c r="A2" s="21" t="s">
        <v>139</v>
      </c>
      <c r="B2" s="4" t="s">
        <v>274</v>
      </c>
      <c r="C2" s="26" t="s">
        <v>150</v>
      </c>
      <c r="D2" s="27">
        <f>SUM(E3:E11)</f>
        <v>1127.17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159</v>
      </c>
      <c r="D3" s="7"/>
      <c r="E3" s="8">
        <f t="shared" ref="E3:E11" si="0">I3*K3</f>
        <v>114.39999999999999</v>
      </c>
      <c r="F3" s="8"/>
      <c r="G3" s="8"/>
      <c r="H3" s="8"/>
      <c r="I3" s="9">
        <v>40</v>
      </c>
      <c r="J3" s="10" t="s">
        <v>164</v>
      </c>
      <c r="K3" s="30">
        <v>2.86</v>
      </c>
    </row>
    <row r="4" spans="1:11" ht="15.95" hidden="1" customHeight="1" x14ac:dyDescent="0.25">
      <c r="C4" s="7" t="s">
        <v>167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164</v>
      </c>
      <c r="K4" s="30">
        <v>9.52</v>
      </c>
    </row>
    <row r="5" spans="1:11" ht="15.95" hidden="1" customHeight="1" x14ac:dyDescent="0.25">
      <c r="C5" s="7" t="s">
        <v>171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164</v>
      </c>
      <c r="K5" s="30">
        <v>14.29</v>
      </c>
    </row>
    <row r="6" spans="1:11" ht="15.95" hidden="1" customHeight="1" x14ac:dyDescent="0.25">
      <c r="C6" s="7" t="s">
        <v>160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164</v>
      </c>
      <c r="K6" s="30">
        <v>28.1</v>
      </c>
    </row>
    <row r="7" spans="1:11" ht="15.95" hidden="1" customHeight="1" x14ac:dyDescent="0.25">
      <c r="B7" s="29" t="s">
        <v>248</v>
      </c>
      <c r="C7" s="7" t="s">
        <v>151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164</v>
      </c>
      <c r="K7" s="30">
        <v>10</v>
      </c>
    </row>
    <row r="8" spans="1:11" ht="15.95" hidden="1" customHeight="1" x14ac:dyDescent="0.25">
      <c r="B8" s="29" t="s">
        <v>248</v>
      </c>
      <c r="C8" s="7" t="s">
        <v>166</v>
      </c>
      <c r="D8" s="7"/>
      <c r="E8" s="8">
        <f t="shared" si="0"/>
        <v>960.12</v>
      </c>
      <c r="F8" s="8"/>
      <c r="G8" s="8"/>
      <c r="H8" s="8"/>
      <c r="I8" s="9">
        <v>42</v>
      </c>
      <c r="J8" s="10" t="s">
        <v>164</v>
      </c>
      <c r="K8" s="30">
        <v>22.86</v>
      </c>
    </row>
    <row r="9" spans="1:11" ht="15.95" hidden="1" customHeight="1" x14ac:dyDescent="0.25">
      <c r="C9" s="7" t="s">
        <v>152</v>
      </c>
      <c r="D9" s="7"/>
      <c r="E9" s="8">
        <f t="shared" si="0"/>
        <v>52.65</v>
      </c>
      <c r="F9" s="8"/>
      <c r="G9" s="8"/>
      <c r="H9" s="8"/>
      <c r="I9" s="9">
        <v>13</v>
      </c>
      <c r="J9" s="10" t="s">
        <v>149</v>
      </c>
      <c r="K9" s="30">
        <v>4.05</v>
      </c>
    </row>
    <row r="10" spans="1:11" ht="15.95" hidden="1" customHeight="1" x14ac:dyDescent="0.25">
      <c r="C10" s="7" t="s">
        <v>111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164</v>
      </c>
      <c r="K10" s="30">
        <v>28.57</v>
      </c>
    </row>
    <row r="11" spans="1:11" ht="15.95" hidden="1" customHeight="1" x14ac:dyDescent="0.25">
      <c r="C11" s="7" t="s">
        <v>112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164</v>
      </c>
      <c r="K11" s="30">
        <v>22.62</v>
      </c>
    </row>
    <row r="12" spans="1:11" s="4" customFormat="1" ht="15.95" customHeight="1" x14ac:dyDescent="0.25">
      <c r="A12" s="21" t="s">
        <v>138</v>
      </c>
      <c r="B12" s="4" t="s">
        <v>275</v>
      </c>
      <c r="C12" s="26" t="s">
        <v>193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184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165</v>
      </c>
      <c r="K13" s="30">
        <v>265</v>
      </c>
    </row>
    <row r="14" spans="1:11" ht="15.95" hidden="1" customHeight="1" x14ac:dyDescent="0.25">
      <c r="B14" s="13"/>
      <c r="C14" s="16" t="s">
        <v>185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165</v>
      </c>
      <c r="K14" s="30">
        <v>365</v>
      </c>
    </row>
    <row r="15" spans="1:11" ht="15.95" hidden="1" customHeight="1" x14ac:dyDescent="0.25">
      <c r="B15" s="13"/>
      <c r="C15" s="16" t="s">
        <v>188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165</v>
      </c>
      <c r="K15" s="30">
        <v>810</v>
      </c>
    </row>
    <row r="16" spans="1:11" s="4" customFormat="1" ht="15.95" customHeight="1" x14ac:dyDescent="0.25">
      <c r="A16" s="21" t="s">
        <v>143</v>
      </c>
      <c r="B16" s="4" t="s">
        <v>280</v>
      </c>
      <c r="C16" s="26" t="s">
        <v>183</v>
      </c>
      <c r="D16" s="27">
        <f>SUM(E17:E87)</f>
        <v>2145.1419999999998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248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153</v>
      </c>
      <c r="K17" s="30">
        <v>52.86</v>
      </c>
    </row>
    <row r="18" spans="2:11" ht="15.95" hidden="1" customHeight="1" x14ac:dyDescent="0.25">
      <c r="B18" s="29" t="s">
        <v>248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153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153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153</v>
      </c>
      <c r="K20" s="30">
        <v>97.71</v>
      </c>
    </row>
    <row r="21" spans="2:11" ht="15.95" hidden="1" customHeight="1" x14ac:dyDescent="0.25">
      <c r="C21" s="7" t="s">
        <v>135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153</v>
      </c>
      <c r="K21" s="30">
        <v>214.29</v>
      </c>
    </row>
    <row r="22" spans="2:11" ht="15.95" hidden="1" customHeight="1" x14ac:dyDescent="0.25">
      <c r="C22" s="7" t="s">
        <v>136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153</v>
      </c>
      <c r="K22" s="30">
        <v>333.33</v>
      </c>
    </row>
    <row r="23" spans="2:11" ht="15.95" hidden="1" customHeight="1" x14ac:dyDescent="0.25">
      <c r="C23" s="7" t="s">
        <v>127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153</v>
      </c>
      <c r="K23" s="30">
        <v>99.52</v>
      </c>
    </row>
    <row r="24" spans="2:11" ht="15.95" hidden="1" customHeight="1" x14ac:dyDescent="0.25">
      <c r="C24" s="7" t="s">
        <v>128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153</v>
      </c>
      <c r="K24" s="30">
        <v>199.05</v>
      </c>
    </row>
    <row r="25" spans="2:11" ht="15.95" hidden="1" customHeight="1" x14ac:dyDescent="0.25">
      <c r="B25" s="29" t="s">
        <v>248</v>
      </c>
      <c r="C25" s="7" t="s">
        <v>36</v>
      </c>
      <c r="D25" s="7"/>
      <c r="E25" s="8">
        <f t="shared" si="1"/>
        <v>817.18</v>
      </c>
      <c r="F25" s="8">
        <v>1</v>
      </c>
      <c r="G25" s="8">
        <v>0.1</v>
      </c>
      <c r="H25" s="8">
        <v>3</v>
      </c>
      <c r="I25" s="9">
        <v>13</v>
      </c>
      <c r="J25" s="10" t="s">
        <v>153</v>
      </c>
      <c r="K25" s="30">
        <v>62.86</v>
      </c>
    </row>
    <row r="26" spans="2:11" ht="15.95" hidden="1" customHeight="1" x14ac:dyDescent="0.25">
      <c r="B26" s="29" t="s">
        <v>248</v>
      </c>
      <c r="C26" s="7" t="s">
        <v>35</v>
      </c>
      <c r="D26" s="7"/>
      <c r="E26" s="8">
        <f t="shared" si="1"/>
        <v>557.67999999999995</v>
      </c>
      <c r="F26" s="8">
        <v>1</v>
      </c>
      <c r="G26" s="8">
        <v>0.1</v>
      </c>
      <c r="H26" s="8">
        <v>3</v>
      </c>
      <c r="I26" s="9">
        <v>8</v>
      </c>
      <c r="J26" s="10" t="s">
        <v>153</v>
      </c>
      <c r="K26" s="30">
        <v>69.709999999999994</v>
      </c>
    </row>
    <row r="27" spans="2:11" ht="15.95" hidden="1" customHeight="1" x14ac:dyDescent="0.25">
      <c r="C27" s="7" t="s">
        <v>98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153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153</v>
      </c>
      <c r="K28" s="30">
        <v>104.86</v>
      </c>
    </row>
    <row r="29" spans="2:11" ht="15.95" hidden="1" customHeight="1" x14ac:dyDescent="0.25">
      <c r="B29" s="29" t="s">
        <v>248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153</v>
      </c>
      <c r="K29" s="30">
        <v>71.430000000000007</v>
      </c>
    </row>
    <row r="30" spans="2:11" ht="15.95" hidden="1" customHeight="1" x14ac:dyDescent="0.25">
      <c r="B30" s="29" t="s">
        <v>248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153</v>
      </c>
      <c r="K30" s="30">
        <v>83.81</v>
      </c>
    </row>
    <row r="31" spans="2:11" ht="15.95" hidden="1" customHeight="1" x14ac:dyDescent="0.25">
      <c r="C31" s="7" t="s">
        <v>96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153</v>
      </c>
      <c r="K31" s="30">
        <v>98.57</v>
      </c>
    </row>
    <row r="32" spans="2:11" ht="15.95" hidden="1" customHeight="1" x14ac:dyDescent="0.25">
      <c r="C32" s="7" t="s">
        <v>97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153</v>
      </c>
      <c r="K32" s="30">
        <v>123.81</v>
      </c>
    </row>
    <row r="33" spans="2:11" ht="15.95" hidden="1" customHeight="1" x14ac:dyDescent="0.25">
      <c r="B33" s="29" t="s">
        <v>248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153</v>
      </c>
      <c r="K33" s="30">
        <v>67.86</v>
      </c>
    </row>
    <row r="34" spans="2:11" ht="15.95" hidden="1" customHeight="1" x14ac:dyDescent="0.25">
      <c r="B34" s="29" t="s">
        <v>248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153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153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153</v>
      </c>
      <c r="K36" s="30">
        <v>146.29</v>
      </c>
    </row>
    <row r="37" spans="2:11" ht="15.95" hidden="1" customHeight="1" x14ac:dyDescent="0.25">
      <c r="C37" s="7" t="s">
        <v>74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153</v>
      </c>
      <c r="K37" s="30">
        <v>76.19</v>
      </c>
    </row>
    <row r="38" spans="2:11" ht="15.95" hidden="1" customHeight="1" x14ac:dyDescent="0.25">
      <c r="C38" s="7" t="s">
        <v>99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153</v>
      </c>
      <c r="K38" s="30">
        <v>104.76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153</v>
      </c>
      <c r="K39" s="30">
        <v>115.24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153</v>
      </c>
      <c r="K40" s="30">
        <v>160.47999999999999</v>
      </c>
    </row>
    <row r="41" spans="2:11" ht="15.95" hidden="1" customHeight="1" x14ac:dyDescent="0.25">
      <c r="B41" s="29" t="s">
        <v>248</v>
      </c>
      <c r="C41" s="7" t="s">
        <v>75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153</v>
      </c>
      <c r="K41" s="30">
        <v>77.38</v>
      </c>
    </row>
    <row r="42" spans="2:11" ht="15.95" hidden="1" customHeight="1" x14ac:dyDescent="0.25">
      <c r="B42" s="29" t="s">
        <v>248</v>
      </c>
      <c r="C42" s="7" t="s">
        <v>102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153</v>
      </c>
      <c r="K42" s="30">
        <v>110.71</v>
      </c>
    </row>
    <row r="43" spans="2:11" ht="15.95" hidden="1" customHeight="1" x14ac:dyDescent="0.25">
      <c r="C43" s="7" t="s">
        <v>76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153</v>
      </c>
      <c r="K43" s="30">
        <v>128.57</v>
      </c>
    </row>
    <row r="44" spans="2:11" ht="15.95" hidden="1" customHeight="1" x14ac:dyDescent="0.25">
      <c r="C44" s="7" t="s">
        <v>103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153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153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153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153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153</v>
      </c>
      <c r="K48" s="30">
        <v>193.14</v>
      </c>
    </row>
    <row r="49" spans="2:11" ht="15.95" hidden="1" customHeight="1" x14ac:dyDescent="0.25">
      <c r="C49" s="7" t="s">
        <v>94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153</v>
      </c>
      <c r="K49" s="30">
        <v>41.67</v>
      </c>
    </row>
    <row r="50" spans="2:11" ht="15.95" hidden="1" customHeight="1" x14ac:dyDescent="0.25">
      <c r="C50" s="7" t="s">
        <v>95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153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155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155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155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155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155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155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155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155</v>
      </c>
      <c r="K58" s="30">
        <v>132.57</v>
      </c>
    </row>
    <row r="59" spans="2:11" ht="15.95" hidden="1" customHeight="1" x14ac:dyDescent="0.25">
      <c r="C59" s="7" t="s">
        <v>104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155</v>
      </c>
      <c r="K59" s="30">
        <v>95.24</v>
      </c>
    </row>
    <row r="60" spans="2:11" ht="15.95" hidden="1" customHeight="1" x14ac:dyDescent="0.25">
      <c r="B60" s="29" t="s">
        <v>248</v>
      </c>
      <c r="C60" s="7" t="s">
        <v>105</v>
      </c>
      <c r="D60" s="7"/>
      <c r="E60" s="8">
        <f t="shared" ref="E60" si="3">I60*K60</f>
        <v>307.14</v>
      </c>
      <c r="F60" s="8">
        <v>1</v>
      </c>
      <c r="G60" s="8">
        <v>0.2</v>
      </c>
      <c r="H60" s="8">
        <v>3.5</v>
      </c>
      <c r="I60" s="9">
        <v>3</v>
      </c>
      <c r="J60" s="10" t="s">
        <v>155</v>
      </c>
      <c r="K60" s="30">
        <v>102.38</v>
      </c>
    </row>
    <row r="61" spans="2:11" ht="15.95" hidden="1" customHeight="1" x14ac:dyDescent="0.25">
      <c r="B61" s="29"/>
      <c r="C61" s="7" t="s">
        <v>105</v>
      </c>
      <c r="D61" s="7"/>
      <c r="E61" s="8">
        <f t="shared" si="2"/>
        <v>307.14</v>
      </c>
      <c r="F61" s="8">
        <v>1</v>
      </c>
      <c r="G61" s="8">
        <v>0.2</v>
      </c>
      <c r="H61" s="8">
        <v>3.5</v>
      </c>
      <c r="I61" s="9">
        <v>3</v>
      </c>
      <c r="J61" s="10" t="s">
        <v>155</v>
      </c>
      <c r="K61" s="30">
        <v>102.38</v>
      </c>
    </row>
    <row r="62" spans="2:11" ht="15.95" hidden="1" customHeight="1" x14ac:dyDescent="0.25">
      <c r="C62" s="7" t="s">
        <v>106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155</v>
      </c>
      <c r="K62" s="30">
        <v>117.14</v>
      </c>
    </row>
    <row r="63" spans="2:11" ht="15.95" hidden="1" customHeight="1" x14ac:dyDescent="0.25">
      <c r="C63" s="7" t="s">
        <v>77</v>
      </c>
      <c r="D63" s="7"/>
      <c r="E63" s="8">
        <f t="shared" si="2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155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155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155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155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155</v>
      </c>
      <c r="K67" s="30">
        <v>179.71</v>
      </c>
    </row>
    <row r="68" spans="1:11" ht="15.95" hidden="1" customHeight="1" x14ac:dyDescent="0.25">
      <c r="C68" s="7" t="s">
        <v>68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155</v>
      </c>
      <c r="K68" s="30">
        <v>100.95</v>
      </c>
    </row>
    <row r="69" spans="1:11" ht="15.95" hidden="1" customHeight="1" x14ac:dyDescent="0.25">
      <c r="C69" s="7" t="s">
        <v>69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155</v>
      </c>
      <c r="K69" s="30">
        <v>130.94999999999999</v>
      </c>
    </row>
    <row r="70" spans="1:11" ht="15.95" hidden="1" customHeight="1" x14ac:dyDescent="0.25">
      <c r="C70" s="7" t="s">
        <v>107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155</v>
      </c>
      <c r="K70" s="30">
        <v>140.47999999999999</v>
      </c>
    </row>
    <row r="71" spans="1:11" ht="15.95" hidden="1" customHeight="1" x14ac:dyDescent="0.25">
      <c r="C71" s="7" t="s">
        <v>137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155</v>
      </c>
      <c r="K71" s="30">
        <v>357.14</v>
      </c>
    </row>
    <row r="72" spans="1:11" ht="15.95" hidden="1" customHeight="1" x14ac:dyDescent="0.25">
      <c r="C72" s="7" t="s">
        <v>268</v>
      </c>
      <c r="D72" s="7"/>
      <c r="E72" s="8">
        <f t="shared" si="2"/>
        <v>156.00200000000001</v>
      </c>
      <c r="F72" s="8">
        <v>1</v>
      </c>
      <c r="G72" s="8">
        <v>0.2</v>
      </c>
      <c r="H72" s="8">
        <v>5</v>
      </c>
      <c r="I72" s="9">
        <v>1.4</v>
      </c>
      <c r="J72" s="10" t="s">
        <v>155</v>
      </c>
      <c r="K72" s="30">
        <v>111.43</v>
      </c>
    </row>
    <row r="73" spans="1:11" ht="15.95" hidden="1" customHeight="1" x14ac:dyDescent="0.25">
      <c r="C73" s="7" t="s">
        <v>67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155</v>
      </c>
      <c r="K73" s="30">
        <v>145.24</v>
      </c>
    </row>
    <row r="74" spans="1:11" ht="15.95" hidden="1" customHeight="1" x14ac:dyDescent="0.25">
      <c r="C74" s="7" t="s">
        <v>108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155</v>
      </c>
      <c r="K74" s="30">
        <v>167.86</v>
      </c>
    </row>
    <row r="75" spans="1:11" ht="15.95" hidden="1" customHeight="1" x14ac:dyDescent="0.25">
      <c r="C75" s="7" t="s">
        <v>109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155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155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155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155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155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258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259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260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259</v>
      </c>
      <c r="K81" s="30">
        <v>15.7</v>
      </c>
    </row>
    <row r="82" spans="1:11" ht="15.95" hidden="1" customHeight="1" x14ac:dyDescent="0.25">
      <c r="C82" s="7" t="s">
        <v>94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155</v>
      </c>
      <c r="K82" s="30">
        <v>41.67</v>
      </c>
    </row>
    <row r="83" spans="1:11" ht="15.95" hidden="1" customHeight="1" x14ac:dyDescent="0.25">
      <c r="C83" s="7" t="s">
        <v>95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155</v>
      </c>
      <c r="K83" s="30">
        <v>83.33</v>
      </c>
    </row>
    <row r="84" spans="1:11" ht="15.95" hidden="1" customHeight="1" x14ac:dyDescent="0.25">
      <c r="B84" s="29" t="s">
        <v>248</v>
      </c>
      <c r="C84" s="7" t="s">
        <v>172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110</v>
      </c>
      <c r="K84" s="30">
        <v>47.62</v>
      </c>
    </row>
    <row r="85" spans="1:11" ht="15.95" hidden="1" customHeight="1" x14ac:dyDescent="0.25">
      <c r="B85" s="29" t="s">
        <v>248</v>
      </c>
      <c r="C85" s="7" t="s">
        <v>173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168</v>
      </c>
      <c r="K85" s="30">
        <v>190.48</v>
      </c>
    </row>
    <row r="86" spans="1:11" ht="15.95" hidden="1" customHeight="1" x14ac:dyDescent="0.25">
      <c r="B86" s="29" t="s">
        <v>248</v>
      </c>
      <c r="C86" s="7" t="s">
        <v>174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168</v>
      </c>
      <c r="K86" s="30">
        <v>190.48</v>
      </c>
    </row>
    <row r="87" spans="1:11" ht="15.95" hidden="1" customHeight="1" x14ac:dyDescent="0.25">
      <c r="C87" s="7" t="s">
        <v>175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110</v>
      </c>
      <c r="K87" s="30">
        <v>32.14</v>
      </c>
    </row>
    <row r="88" spans="1:11" s="4" customFormat="1" ht="15.95" customHeight="1" x14ac:dyDescent="0.25">
      <c r="A88" s="21" t="s">
        <v>144</v>
      </c>
      <c r="B88" s="4" t="s">
        <v>279</v>
      </c>
      <c r="C88" s="26" t="s">
        <v>194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248</v>
      </c>
      <c r="C89" s="23" t="s">
        <v>169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165</v>
      </c>
      <c r="K89" s="48">
        <v>25</v>
      </c>
    </row>
    <row r="90" spans="1:11" s="22" customFormat="1" ht="15.95" hidden="1" customHeight="1" x14ac:dyDescent="0.25">
      <c r="B90" s="29" t="s">
        <v>248</v>
      </c>
      <c r="C90" s="23" t="s">
        <v>191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165</v>
      </c>
      <c r="K90" s="48">
        <v>10</v>
      </c>
    </row>
    <row r="91" spans="1:11" s="22" customFormat="1" ht="15.95" hidden="1" customHeight="1" x14ac:dyDescent="0.25">
      <c r="B91" s="29" t="s">
        <v>248</v>
      </c>
      <c r="C91" s="23" t="s">
        <v>192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165</v>
      </c>
      <c r="K91" s="48">
        <v>2</v>
      </c>
    </row>
    <row r="92" spans="1:11" s="4" customFormat="1" ht="15.95" hidden="1" customHeight="1" x14ac:dyDescent="0.25">
      <c r="B92" s="29" t="s">
        <v>248</v>
      </c>
      <c r="C92" s="7" t="s">
        <v>249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165</v>
      </c>
      <c r="K92" s="48">
        <v>800</v>
      </c>
    </row>
    <row r="93" spans="1:11" s="4" customFormat="1" ht="15.95" hidden="1" customHeight="1" x14ac:dyDescent="0.25">
      <c r="B93" s="29" t="s">
        <v>248</v>
      </c>
      <c r="C93" s="7" t="s">
        <v>250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165</v>
      </c>
      <c r="K93" s="48">
        <v>1210</v>
      </c>
    </row>
    <row r="94" spans="1:11" s="4" customFormat="1" ht="15.95" hidden="1" customHeight="1" x14ac:dyDescent="0.25">
      <c r="B94" s="29" t="s">
        <v>248</v>
      </c>
      <c r="C94" s="7" t="s">
        <v>262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165</v>
      </c>
      <c r="K94" s="48">
        <v>1820</v>
      </c>
    </row>
    <row r="95" spans="1:11" s="4" customFormat="1" ht="15.95" hidden="1" customHeight="1" x14ac:dyDescent="0.25">
      <c r="B95" s="29" t="s">
        <v>248</v>
      </c>
      <c r="C95" s="7" t="s">
        <v>263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165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165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165</v>
      </c>
      <c r="K97" s="48">
        <v>1000</v>
      </c>
    </row>
    <row r="98" spans="1:11" s="4" customFormat="1" ht="15.95" hidden="1" customHeight="1" x14ac:dyDescent="0.25">
      <c r="B98" s="42"/>
      <c r="C98" s="7" t="s">
        <v>176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165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165</v>
      </c>
      <c r="K99" s="48">
        <v>1166.67</v>
      </c>
    </row>
    <row r="100" spans="1:11" s="4" customFormat="1" ht="15.95" hidden="1" customHeight="1" x14ac:dyDescent="0.25">
      <c r="B100" s="42"/>
      <c r="C100" s="7" t="s">
        <v>132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165</v>
      </c>
      <c r="K100" s="48">
        <v>35.71</v>
      </c>
    </row>
    <row r="101" spans="1:11" s="4" customFormat="1" ht="15.95" hidden="1" customHeight="1" x14ac:dyDescent="0.25">
      <c r="B101" s="29" t="s">
        <v>248</v>
      </c>
      <c r="C101" s="7" t="s">
        <v>113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110</v>
      </c>
      <c r="K101" s="48">
        <v>23.33</v>
      </c>
    </row>
    <row r="102" spans="1:11" s="4" customFormat="1" ht="15.95" hidden="1" customHeight="1" x14ac:dyDescent="0.25">
      <c r="B102" s="29" t="s">
        <v>248</v>
      </c>
      <c r="C102" s="7" t="s">
        <v>115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165</v>
      </c>
      <c r="K102" s="48">
        <v>12.86</v>
      </c>
    </row>
    <row r="103" spans="1:11" s="4" customFormat="1" ht="15.95" hidden="1" customHeight="1" x14ac:dyDescent="0.25">
      <c r="B103" s="29" t="s">
        <v>248</v>
      </c>
      <c r="C103" s="7" t="s">
        <v>116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165</v>
      </c>
      <c r="K103" s="48">
        <v>11.9</v>
      </c>
    </row>
    <row r="104" spans="1:11" s="4" customFormat="1" ht="15.95" hidden="1" customHeight="1" x14ac:dyDescent="0.25">
      <c r="B104" s="29" t="s">
        <v>248</v>
      </c>
      <c r="C104" s="7" t="s">
        <v>117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165</v>
      </c>
      <c r="K104" s="48">
        <v>9.52</v>
      </c>
    </row>
    <row r="105" spans="1:11" s="4" customFormat="1" ht="15.95" hidden="1" customHeight="1" x14ac:dyDescent="0.25">
      <c r="C105" s="7" t="s">
        <v>251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110</v>
      </c>
      <c r="K105" s="48">
        <v>15.48</v>
      </c>
    </row>
    <row r="106" spans="1:11" s="4" customFormat="1" ht="15.95" hidden="1" customHeight="1" x14ac:dyDescent="0.25">
      <c r="C106" s="7" t="s">
        <v>114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110</v>
      </c>
      <c r="K106" s="48">
        <v>16.07</v>
      </c>
    </row>
    <row r="107" spans="1:11" s="4" customFormat="1" ht="15.95" hidden="1" customHeight="1" x14ac:dyDescent="0.25">
      <c r="C107" s="7" t="s">
        <v>118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165</v>
      </c>
      <c r="K107" s="48">
        <v>2142.86</v>
      </c>
    </row>
    <row r="108" spans="1:11" s="4" customFormat="1" ht="15.95" hidden="1" customHeight="1" x14ac:dyDescent="0.25">
      <c r="C108" s="7" t="s">
        <v>133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165</v>
      </c>
      <c r="K108" s="48">
        <v>11.9</v>
      </c>
    </row>
    <row r="109" spans="1:11" s="4" customFormat="1" ht="15.95" customHeight="1" x14ac:dyDescent="0.25">
      <c r="A109" s="21" t="s">
        <v>140</v>
      </c>
      <c r="B109" s="4" t="s">
        <v>276</v>
      </c>
      <c r="C109" s="26" t="s">
        <v>195</v>
      </c>
      <c r="D109" s="27">
        <f>SUM(E110:E131)</f>
        <v>1092.07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266</v>
      </c>
      <c r="D110" s="7"/>
      <c r="E110" s="8">
        <f t="shared" ref="E110:E131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165</v>
      </c>
      <c r="K110" s="30">
        <v>262.86</v>
      </c>
    </row>
    <row r="111" spans="1:11" s="4" customFormat="1" ht="15.95" hidden="1" customHeight="1" x14ac:dyDescent="0.25">
      <c r="C111" s="7" t="s">
        <v>253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165</v>
      </c>
      <c r="K111" s="30">
        <v>564.6</v>
      </c>
    </row>
    <row r="112" spans="1:11" s="4" customFormat="1" ht="15.95" hidden="1" customHeight="1" x14ac:dyDescent="0.25">
      <c r="C112" s="7" t="s">
        <v>269</v>
      </c>
      <c r="D112" s="7"/>
      <c r="E112" s="8">
        <f t="shared" si="6"/>
        <v>358.69</v>
      </c>
      <c r="F112" s="8">
        <v>2.4</v>
      </c>
      <c r="G112" s="8">
        <v>0.5</v>
      </c>
      <c r="H112" s="8">
        <v>1</v>
      </c>
      <c r="I112" s="8">
        <v>1</v>
      </c>
      <c r="J112" s="10" t="s">
        <v>165</v>
      </c>
      <c r="K112" s="30">
        <v>358.69</v>
      </c>
    </row>
    <row r="113" spans="2:11" s="4" customFormat="1" ht="15.95" hidden="1" customHeight="1" x14ac:dyDescent="0.25">
      <c r="C113" s="7" t="s">
        <v>254</v>
      </c>
      <c r="D113" s="7"/>
      <c r="E113" s="8">
        <f t="shared" si="6"/>
        <v>0</v>
      </c>
      <c r="F113" s="8">
        <v>4.5</v>
      </c>
      <c r="G113" s="8">
        <v>1</v>
      </c>
      <c r="H113" s="8">
        <v>1</v>
      </c>
      <c r="I113" s="8">
        <v>0</v>
      </c>
      <c r="J113" s="10" t="s">
        <v>165</v>
      </c>
      <c r="K113" s="30">
        <v>302.29000000000002</v>
      </c>
    </row>
    <row r="114" spans="2:11" s="4" customFormat="1" ht="15.95" hidden="1" customHeight="1" x14ac:dyDescent="0.25">
      <c r="C114" s="7" t="s">
        <v>252</v>
      </c>
      <c r="D114" s="7"/>
      <c r="E114" s="8">
        <f t="shared" si="6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165</v>
      </c>
      <c r="K114" s="30">
        <v>604.02</v>
      </c>
    </row>
    <row r="115" spans="2:11" s="4" customFormat="1" ht="15.95" hidden="1" customHeight="1" x14ac:dyDescent="0.25">
      <c r="C115" s="7" t="s">
        <v>270</v>
      </c>
      <c r="D115" s="7"/>
      <c r="E115" s="8">
        <f t="shared" si="6"/>
        <v>423.86</v>
      </c>
      <c r="F115" s="8">
        <v>4.2</v>
      </c>
      <c r="G115" s="8">
        <v>0.5</v>
      </c>
      <c r="H115" s="8">
        <v>1</v>
      </c>
      <c r="I115" s="8">
        <v>1</v>
      </c>
      <c r="J115" s="10" t="s">
        <v>165</v>
      </c>
      <c r="K115" s="30">
        <v>423.86</v>
      </c>
    </row>
    <row r="116" spans="2:11" s="4" customFormat="1" ht="15.95" hidden="1" customHeight="1" x14ac:dyDescent="0.25">
      <c r="C116" s="7" t="s">
        <v>271</v>
      </c>
      <c r="D116" s="7"/>
      <c r="E116" s="8">
        <f t="shared" ref="E116" si="7">I116*K116</f>
        <v>309.52</v>
      </c>
      <c r="F116" s="8">
        <v>0.8</v>
      </c>
      <c r="G116" s="8">
        <v>0.4</v>
      </c>
      <c r="H116" s="8">
        <v>1</v>
      </c>
      <c r="I116" s="8">
        <v>2</v>
      </c>
      <c r="J116" s="10" t="s">
        <v>165</v>
      </c>
      <c r="K116" s="30">
        <v>154.76</v>
      </c>
    </row>
    <row r="117" spans="2:11" s="4" customFormat="1" ht="15.95" hidden="1" customHeight="1" x14ac:dyDescent="0.25">
      <c r="C117" s="7" t="s">
        <v>156</v>
      </c>
      <c r="D117" s="7"/>
      <c r="E117" s="8">
        <f t="shared" si="6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165</v>
      </c>
      <c r="K117" s="30">
        <v>595.24</v>
      </c>
    </row>
    <row r="118" spans="2:11" s="4" customFormat="1" ht="15.95" hidden="1" customHeight="1" x14ac:dyDescent="0.25">
      <c r="C118" s="7" t="s">
        <v>196</v>
      </c>
      <c r="D118" s="7"/>
      <c r="E118" s="8">
        <f t="shared" si="6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165</v>
      </c>
      <c r="K118" s="30">
        <v>161.9</v>
      </c>
    </row>
    <row r="119" spans="2:11" s="4" customFormat="1" ht="15.95" hidden="1" customHeight="1" x14ac:dyDescent="0.25">
      <c r="C119" s="7" t="s">
        <v>197</v>
      </c>
      <c r="D119" s="7"/>
      <c r="E119" s="8">
        <f t="shared" si="6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165</v>
      </c>
      <c r="K119" s="30">
        <v>190.48</v>
      </c>
    </row>
    <row r="120" spans="2:11" s="4" customFormat="1" ht="15.95" hidden="1" customHeight="1" x14ac:dyDescent="0.25">
      <c r="C120" s="7" t="s">
        <v>198</v>
      </c>
      <c r="D120" s="7"/>
      <c r="E120" s="8">
        <f t="shared" si="6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165</v>
      </c>
      <c r="K120" s="30">
        <v>216.67</v>
      </c>
    </row>
    <row r="121" spans="2:11" s="4" customFormat="1" ht="15.95" hidden="1" customHeight="1" x14ac:dyDescent="0.25">
      <c r="C121" s="7" t="s">
        <v>199</v>
      </c>
      <c r="D121" s="7"/>
      <c r="E121" s="8">
        <f t="shared" si="6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165</v>
      </c>
      <c r="K121" s="30">
        <v>154.76</v>
      </c>
    </row>
    <row r="122" spans="2:11" s="4" customFormat="1" ht="15.95" hidden="1" customHeight="1" x14ac:dyDescent="0.25">
      <c r="C122" s="7" t="s">
        <v>200</v>
      </c>
      <c r="D122" s="7"/>
      <c r="E122" s="8">
        <f t="shared" si="6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165</v>
      </c>
      <c r="K122" s="30">
        <v>177.98</v>
      </c>
    </row>
    <row r="123" spans="2:11" s="4" customFormat="1" ht="15.95" hidden="1" customHeight="1" x14ac:dyDescent="0.25">
      <c r="C123" s="7" t="s">
        <v>201</v>
      </c>
      <c r="D123" s="7"/>
      <c r="E123" s="8">
        <f t="shared" si="6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165</v>
      </c>
      <c r="K123" s="30">
        <v>260.12</v>
      </c>
    </row>
    <row r="124" spans="2:11" s="4" customFormat="1" ht="15.95" hidden="1" customHeight="1" x14ac:dyDescent="0.25">
      <c r="B124" s="29" t="s">
        <v>248</v>
      </c>
      <c r="C124" s="7" t="s">
        <v>119</v>
      </c>
      <c r="D124" s="7"/>
      <c r="E124" s="8">
        <f t="shared" si="6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165</v>
      </c>
      <c r="K124" s="30">
        <v>210</v>
      </c>
    </row>
    <row r="125" spans="2:11" s="4" customFormat="1" ht="15.95" hidden="1" customHeight="1" x14ac:dyDescent="0.25">
      <c r="C125" s="7" t="s">
        <v>124</v>
      </c>
      <c r="D125" s="7"/>
      <c r="E125" s="8">
        <f t="shared" si="6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165</v>
      </c>
      <c r="K125" s="30">
        <v>223.81</v>
      </c>
    </row>
    <row r="126" spans="2:11" s="4" customFormat="1" ht="15.95" hidden="1" customHeight="1" x14ac:dyDescent="0.25">
      <c r="C126" s="7" t="s">
        <v>125</v>
      </c>
      <c r="D126" s="7"/>
      <c r="E126" s="8">
        <f t="shared" si="6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165</v>
      </c>
      <c r="K126" s="30">
        <v>65</v>
      </c>
    </row>
    <row r="127" spans="2:11" s="4" customFormat="1" ht="15.95" hidden="1" customHeight="1" x14ac:dyDescent="0.25">
      <c r="C127" s="7" t="s">
        <v>126</v>
      </c>
      <c r="D127" s="7"/>
      <c r="E127" s="8">
        <f t="shared" si="6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165</v>
      </c>
      <c r="K127" s="30">
        <v>35</v>
      </c>
    </row>
    <row r="128" spans="2:11" s="4" customFormat="1" ht="15.95" hidden="1" customHeight="1" x14ac:dyDescent="0.25">
      <c r="B128" s="29" t="s">
        <v>248</v>
      </c>
      <c r="C128" s="7" t="s">
        <v>55</v>
      </c>
      <c r="D128" s="7"/>
      <c r="E128" s="8">
        <f t="shared" si="6"/>
        <v>0</v>
      </c>
      <c r="F128" s="8"/>
      <c r="G128" s="8"/>
      <c r="H128" s="8"/>
      <c r="I128" s="8">
        <v>0</v>
      </c>
      <c r="J128" s="10" t="s">
        <v>165</v>
      </c>
      <c r="K128" s="30">
        <v>12</v>
      </c>
    </row>
    <row r="129" spans="1:11" s="4" customFormat="1" ht="15.95" hidden="1" customHeight="1" x14ac:dyDescent="0.25">
      <c r="C129" s="7" t="s">
        <v>129</v>
      </c>
      <c r="D129" s="7"/>
      <c r="E129" s="8">
        <f t="shared" si="6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110</v>
      </c>
      <c r="K129" s="30">
        <v>21.9</v>
      </c>
    </row>
    <row r="130" spans="1:11" s="4" customFormat="1" ht="15.95" hidden="1" customHeight="1" x14ac:dyDescent="0.25">
      <c r="C130" s="7" t="s">
        <v>202</v>
      </c>
      <c r="D130" s="7"/>
      <c r="E130" s="8">
        <f t="shared" si="6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165</v>
      </c>
      <c r="K130" s="30">
        <v>177.98</v>
      </c>
    </row>
    <row r="131" spans="1:11" s="4" customFormat="1" ht="15.95" hidden="1" customHeight="1" x14ac:dyDescent="0.25">
      <c r="C131" s="7" t="s">
        <v>177</v>
      </c>
      <c r="D131" s="7"/>
      <c r="E131" s="8">
        <f t="shared" si="6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165</v>
      </c>
      <c r="K131" s="30">
        <v>383.33</v>
      </c>
    </row>
    <row r="132" spans="1:11" s="4" customFormat="1" ht="15.95" customHeight="1" x14ac:dyDescent="0.25">
      <c r="A132" s="21" t="s">
        <v>142</v>
      </c>
      <c r="B132" s="4" t="s">
        <v>277</v>
      </c>
      <c r="C132" s="26" t="s">
        <v>203</v>
      </c>
      <c r="D132" s="27">
        <f>SUM(E133:E142)</f>
        <v>215.95500000000001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248</v>
      </c>
      <c r="C133" s="7" t="s">
        <v>49</v>
      </c>
      <c r="D133" s="7"/>
      <c r="E133" s="8">
        <f t="shared" ref="E133:E142" si="8">I133*K133</f>
        <v>35</v>
      </c>
      <c r="F133" s="12"/>
      <c r="G133" s="12"/>
      <c r="H133" s="12"/>
      <c r="I133" s="8">
        <v>1</v>
      </c>
      <c r="J133" s="10" t="s">
        <v>165</v>
      </c>
      <c r="K133" s="30">
        <v>35</v>
      </c>
    </row>
    <row r="134" spans="1:11" s="4" customFormat="1" ht="15.95" hidden="1" customHeight="1" x14ac:dyDescent="0.25">
      <c r="B134" s="29" t="s">
        <v>248</v>
      </c>
      <c r="C134" s="7" t="s">
        <v>50</v>
      </c>
      <c r="D134" s="7"/>
      <c r="E134" s="8">
        <f t="shared" si="8"/>
        <v>50</v>
      </c>
      <c r="F134" s="8"/>
      <c r="G134" s="8"/>
      <c r="H134" s="8"/>
      <c r="I134" s="8">
        <v>1</v>
      </c>
      <c r="J134" s="10" t="s">
        <v>165</v>
      </c>
      <c r="K134" s="30">
        <v>50</v>
      </c>
    </row>
    <row r="135" spans="1:11" s="4" customFormat="1" ht="15.95" hidden="1" customHeight="1" x14ac:dyDescent="0.25">
      <c r="B135" s="29" t="s">
        <v>248</v>
      </c>
      <c r="C135" s="7" t="s">
        <v>267</v>
      </c>
      <c r="D135" s="7"/>
      <c r="E135" s="8">
        <f t="shared" si="8"/>
        <v>130.95500000000001</v>
      </c>
      <c r="F135" s="8">
        <v>1</v>
      </c>
      <c r="G135" s="8">
        <v>0</v>
      </c>
      <c r="H135" s="8">
        <v>2</v>
      </c>
      <c r="I135" s="8">
        <v>1.1000000000000001</v>
      </c>
      <c r="J135" s="10" t="s">
        <v>165</v>
      </c>
      <c r="K135" s="30">
        <v>119.05</v>
      </c>
    </row>
    <row r="136" spans="1:11" s="4" customFormat="1" ht="15.95" hidden="1" customHeight="1" x14ac:dyDescent="0.25">
      <c r="C136" s="7" t="s">
        <v>121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110</v>
      </c>
      <c r="K136" s="30">
        <v>28.57</v>
      </c>
    </row>
    <row r="137" spans="1:11" s="4" customFormat="1" ht="15.95" hidden="1" customHeight="1" x14ac:dyDescent="0.25">
      <c r="C137" s="7" t="s">
        <v>73</v>
      </c>
      <c r="D137" s="7"/>
      <c r="E137" s="8">
        <f t="shared" si="8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165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8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165</v>
      </c>
      <c r="K138" s="30">
        <v>136.9</v>
      </c>
    </row>
    <row r="139" spans="1:11" s="4" customFormat="1" ht="15.95" hidden="1" customHeight="1" x14ac:dyDescent="0.25">
      <c r="C139" s="7" t="s">
        <v>170</v>
      </c>
      <c r="D139" s="7"/>
      <c r="E139" s="8">
        <f t="shared" si="8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110</v>
      </c>
      <c r="K139" s="30">
        <v>22.62</v>
      </c>
    </row>
    <row r="140" spans="1:11" s="4" customFormat="1" ht="15.95" hidden="1" customHeight="1" x14ac:dyDescent="0.25">
      <c r="C140" s="7" t="s">
        <v>161</v>
      </c>
      <c r="D140" s="7"/>
      <c r="E140" s="8">
        <f t="shared" si="8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110</v>
      </c>
      <c r="K140" s="30">
        <v>83.33</v>
      </c>
    </row>
    <row r="141" spans="1:11" s="4" customFormat="1" ht="15.95" hidden="1" customHeight="1" x14ac:dyDescent="0.25">
      <c r="C141" s="7" t="s">
        <v>162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110</v>
      </c>
      <c r="K141" s="30">
        <v>32.14</v>
      </c>
    </row>
    <row r="142" spans="1:11" s="4" customFormat="1" ht="15.95" hidden="1" customHeight="1" x14ac:dyDescent="0.25">
      <c r="C142" s="7" t="s">
        <v>163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110</v>
      </c>
      <c r="K142" s="30">
        <v>38.1</v>
      </c>
    </row>
    <row r="143" spans="1:11" s="4" customFormat="1" ht="15.95" customHeight="1" x14ac:dyDescent="0.25">
      <c r="A143" s="21" t="s">
        <v>141</v>
      </c>
      <c r="B143" s="4" t="s">
        <v>278</v>
      </c>
      <c r="C143" s="26" t="s">
        <v>204</v>
      </c>
      <c r="D143" s="27">
        <f>SUM(E144:E150)</f>
        <v>0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265</v>
      </c>
      <c r="D144" s="7"/>
      <c r="E144" s="8">
        <f t="shared" ref="E144:E150" si="9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165</v>
      </c>
      <c r="K144" s="30">
        <v>109.52</v>
      </c>
    </row>
    <row r="145" spans="2:11" s="4" customFormat="1" ht="15.95" hidden="1" customHeight="1" x14ac:dyDescent="0.25">
      <c r="C145" s="7" t="s">
        <v>85</v>
      </c>
      <c r="D145" s="7"/>
      <c r="E145" s="8">
        <f t="shared" si="9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165</v>
      </c>
      <c r="K145" s="30">
        <v>219.05</v>
      </c>
    </row>
    <row r="146" spans="2:11" s="4" customFormat="1" ht="15.95" hidden="1" customHeight="1" x14ac:dyDescent="0.25">
      <c r="C146" s="7" t="s">
        <v>179</v>
      </c>
      <c r="D146" s="7"/>
      <c r="E146" s="8">
        <f t="shared" si="9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165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9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165</v>
      </c>
      <c r="K147" s="30">
        <v>25</v>
      </c>
    </row>
    <row r="148" spans="2:11" s="4" customFormat="1" ht="15.95" hidden="1" customHeight="1" x14ac:dyDescent="0.25">
      <c r="B148" s="29" t="s">
        <v>248</v>
      </c>
      <c r="C148" s="7" t="s">
        <v>71</v>
      </c>
      <c r="D148" s="7"/>
      <c r="E148" s="8">
        <f t="shared" si="9"/>
        <v>0</v>
      </c>
      <c r="F148" s="8">
        <v>0.5</v>
      </c>
      <c r="G148" s="8">
        <v>0.5</v>
      </c>
      <c r="H148" s="8"/>
      <c r="I148" s="8">
        <v>0</v>
      </c>
      <c r="J148" s="10" t="s">
        <v>110</v>
      </c>
      <c r="K148" s="30">
        <v>25</v>
      </c>
    </row>
    <row r="149" spans="2:11" s="4" customFormat="1" ht="15.95" hidden="1" customHeight="1" x14ac:dyDescent="0.25">
      <c r="C149" s="7" t="s">
        <v>90</v>
      </c>
      <c r="D149" s="7"/>
      <c r="E149" s="8">
        <f t="shared" si="9"/>
        <v>0</v>
      </c>
      <c r="F149" s="8"/>
      <c r="G149" s="8"/>
      <c r="H149" s="8"/>
      <c r="I149" s="8">
        <v>0</v>
      </c>
      <c r="J149" s="10" t="s">
        <v>165</v>
      </c>
      <c r="K149" s="30">
        <v>25</v>
      </c>
    </row>
    <row r="150" spans="2:11" s="4" customFormat="1" ht="15.95" hidden="1" customHeight="1" x14ac:dyDescent="0.25">
      <c r="C150" s="7" t="s">
        <v>247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165</v>
      </c>
      <c r="K150" s="30">
        <v>20</v>
      </c>
    </row>
    <row r="151" spans="2:11" s="4" customFormat="1" ht="15.95" customHeight="1" x14ac:dyDescent="0.25">
      <c r="C151" s="26" t="s">
        <v>131</v>
      </c>
      <c r="D151" s="27">
        <f>SUM(E152:E164)</f>
        <v>822.48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248</v>
      </c>
      <c r="C152" s="7" t="s">
        <v>19</v>
      </c>
      <c r="D152" s="7"/>
      <c r="E152" s="8">
        <f t="shared" ref="E152:E164" si="10">I152*K152</f>
        <v>71.400000000000006</v>
      </c>
      <c r="F152" s="8"/>
      <c r="G152" s="8"/>
      <c r="H152" s="8"/>
      <c r="I152" s="8">
        <v>6</v>
      </c>
      <c r="J152" s="10" t="s">
        <v>165</v>
      </c>
      <c r="K152" s="30">
        <v>11.9</v>
      </c>
    </row>
    <row r="153" spans="2:11" s="4" customFormat="1" ht="15.95" hidden="1" customHeight="1" x14ac:dyDescent="0.25">
      <c r="B153" s="29" t="s">
        <v>248</v>
      </c>
      <c r="C153" s="7" t="s">
        <v>62</v>
      </c>
      <c r="D153" s="7"/>
      <c r="E153" s="8">
        <f t="shared" si="10"/>
        <v>0</v>
      </c>
      <c r="F153" s="8"/>
      <c r="G153" s="8"/>
      <c r="H153" s="8"/>
      <c r="I153" s="8">
        <v>0</v>
      </c>
      <c r="J153" s="10" t="s">
        <v>165</v>
      </c>
      <c r="K153" s="30">
        <v>50</v>
      </c>
    </row>
    <row r="154" spans="2:11" s="4" customFormat="1" ht="15.95" hidden="1" customHeight="1" x14ac:dyDescent="0.25">
      <c r="B154" s="29" t="s">
        <v>248</v>
      </c>
      <c r="C154" s="7" t="s">
        <v>63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165</v>
      </c>
      <c r="K154" s="30">
        <v>65</v>
      </c>
    </row>
    <row r="155" spans="2:11" s="4" customFormat="1" ht="15.95" hidden="1" customHeight="1" x14ac:dyDescent="0.25">
      <c r="C155" s="7" t="s">
        <v>81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165</v>
      </c>
      <c r="K155" s="30">
        <v>23.81</v>
      </c>
    </row>
    <row r="156" spans="2:11" s="4" customFormat="1" ht="15.95" hidden="1" customHeight="1" x14ac:dyDescent="0.25">
      <c r="C156" s="7" t="s">
        <v>82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165</v>
      </c>
      <c r="K156" s="30">
        <v>14.29</v>
      </c>
    </row>
    <row r="157" spans="2:11" s="4" customFormat="1" ht="15.95" hidden="1" customHeight="1" x14ac:dyDescent="0.25">
      <c r="B157" s="29" t="s">
        <v>248</v>
      </c>
      <c r="C157" s="7" t="s">
        <v>64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165</v>
      </c>
      <c r="K157" s="30">
        <v>10</v>
      </c>
    </row>
    <row r="158" spans="2:11" s="4" customFormat="1" ht="15.95" hidden="1" customHeight="1" x14ac:dyDescent="0.25">
      <c r="B158" s="29" t="s">
        <v>248</v>
      </c>
      <c r="C158" s="7" t="s">
        <v>18</v>
      </c>
      <c r="D158" s="7"/>
      <c r="E158" s="8">
        <f t="shared" si="10"/>
        <v>110</v>
      </c>
      <c r="F158" s="8"/>
      <c r="G158" s="8"/>
      <c r="H158" s="8"/>
      <c r="I158" s="8">
        <v>11</v>
      </c>
      <c r="J158" s="10" t="s">
        <v>165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10"/>
        <v>60</v>
      </c>
      <c r="F159" s="12"/>
      <c r="G159" s="12"/>
      <c r="H159" s="12"/>
      <c r="I159" s="8">
        <v>12</v>
      </c>
      <c r="J159" s="10" t="s">
        <v>165</v>
      </c>
      <c r="K159" s="30">
        <v>5</v>
      </c>
    </row>
    <row r="160" spans="2:11" s="4" customFormat="1" ht="15.95" hidden="1" customHeight="1" x14ac:dyDescent="0.25">
      <c r="B160" s="29" t="s">
        <v>248</v>
      </c>
      <c r="C160" s="7" t="s">
        <v>17</v>
      </c>
      <c r="D160" s="7"/>
      <c r="E160" s="8">
        <f t="shared" si="10"/>
        <v>107.10000000000001</v>
      </c>
      <c r="F160" s="8"/>
      <c r="G160" s="8"/>
      <c r="H160" s="8"/>
      <c r="I160" s="8">
        <v>9</v>
      </c>
      <c r="J160" s="10" t="s">
        <v>165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165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165</v>
      </c>
      <c r="K162" s="30">
        <v>2.38</v>
      </c>
    </row>
    <row r="163" spans="3:11" ht="15.95" hidden="1" customHeight="1" x14ac:dyDescent="0.25">
      <c r="C163" s="7" t="s">
        <v>187</v>
      </c>
      <c r="D163" s="7"/>
      <c r="E163" s="8">
        <f t="shared" si="10"/>
        <v>283.5</v>
      </c>
      <c r="F163" s="8"/>
      <c r="G163" s="8"/>
      <c r="H163" s="8"/>
      <c r="I163" s="8">
        <v>70</v>
      </c>
      <c r="J163" s="10" t="s">
        <v>149</v>
      </c>
      <c r="K163" s="30">
        <v>4.05</v>
      </c>
    </row>
    <row r="164" spans="3:11" s="4" customFormat="1" ht="15.95" hidden="1" customHeight="1" x14ac:dyDescent="0.25">
      <c r="C164" s="7" t="s">
        <v>157</v>
      </c>
      <c r="D164" s="7"/>
      <c r="E164" s="8">
        <f t="shared" si="10"/>
        <v>190.48</v>
      </c>
      <c r="F164" s="8"/>
      <c r="G164" s="8"/>
      <c r="H164" s="8"/>
      <c r="I164" s="8">
        <v>1</v>
      </c>
      <c r="J164" s="10" t="s">
        <v>165</v>
      </c>
      <c r="K164" s="30">
        <v>190.48</v>
      </c>
    </row>
    <row r="165" spans="3:11" s="4" customFormat="1" ht="15.95" customHeight="1" x14ac:dyDescent="0.25">
      <c r="C165" s="26" t="s">
        <v>205</v>
      </c>
      <c r="D165" s="27">
        <f>SUM(E166:E207)</f>
        <v>1057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1">I166*K166</f>
        <v>90</v>
      </c>
      <c r="F166" s="12"/>
      <c r="G166" s="12"/>
      <c r="H166" s="12"/>
      <c r="I166" s="8">
        <v>6</v>
      </c>
      <c r="J166" s="10" t="s">
        <v>165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1"/>
        <v>168</v>
      </c>
      <c r="F167" s="12"/>
      <c r="G167" s="12"/>
      <c r="H167" s="12"/>
      <c r="I167" s="8">
        <v>14</v>
      </c>
      <c r="J167" s="10" t="s">
        <v>165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1"/>
        <v>40</v>
      </c>
      <c r="F168" s="12"/>
      <c r="G168" s="12"/>
      <c r="H168" s="12"/>
      <c r="I168" s="8">
        <v>2</v>
      </c>
      <c r="J168" s="10" t="s">
        <v>165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1"/>
        <v>0</v>
      </c>
      <c r="F169" s="12"/>
      <c r="G169" s="12"/>
      <c r="H169" s="12"/>
      <c r="I169" s="8">
        <v>0</v>
      </c>
      <c r="J169" s="10" t="s">
        <v>165</v>
      </c>
      <c r="K169" s="30">
        <v>15</v>
      </c>
    </row>
    <row r="170" spans="3:11" s="4" customFormat="1" ht="15.95" hidden="1" customHeight="1" x14ac:dyDescent="0.25">
      <c r="C170" s="7" t="s">
        <v>80</v>
      </c>
      <c r="D170" s="7"/>
      <c r="E170" s="8">
        <f t="shared" si="11"/>
        <v>25</v>
      </c>
      <c r="F170" s="12"/>
      <c r="G170" s="12"/>
      <c r="H170" s="12"/>
      <c r="I170" s="8">
        <v>1</v>
      </c>
      <c r="J170" s="10" t="s">
        <v>165</v>
      </c>
      <c r="K170" s="30">
        <v>25</v>
      </c>
    </row>
    <row r="171" spans="3:11" s="4" customFormat="1" ht="15.95" hidden="1" customHeight="1" x14ac:dyDescent="0.25">
      <c r="C171" s="7" t="s">
        <v>178</v>
      </c>
      <c r="D171" s="7"/>
      <c r="E171" s="8">
        <f t="shared" si="11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165</v>
      </c>
      <c r="K171" s="30">
        <v>385</v>
      </c>
    </row>
    <row r="172" spans="3:11" s="4" customFormat="1" ht="15.95" hidden="1" customHeight="1" x14ac:dyDescent="0.25">
      <c r="C172" s="7" t="s">
        <v>79</v>
      </c>
      <c r="D172" s="7"/>
      <c r="E172" s="8">
        <f t="shared" si="11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165</v>
      </c>
      <c r="K172" s="30">
        <v>130</v>
      </c>
    </row>
    <row r="173" spans="3:11" s="4" customFormat="1" ht="15.95" hidden="1" customHeight="1" x14ac:dyDescent="0.25">
      <c r="C173" s="7" t="s">
        <v>78</v>
      </c>
      <c r="D173" s="7"/>
      <c r="E173" s="8">
        <f t="shared" si="11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165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165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165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165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165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1"/>
        <v>40</v>
      </c>
      <c r="F178" s="12"/>
      <c r="G178" s="12"/>
      <c r="H178" s="12"/>
      <c r="I178" s="8">
        <v>5</v>
      </c>
      <c r="J178" s="10" t="s">
        <v>165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165</v>
      </c>
      <c r="K179" s="30">
        <v>15</v>
      </c>
    </row>
    <row r="180" spans="3:11" s="4" customFormat="1" ht="15.95" hidden="1" customHeight="1" x14ac:dyDescent="0.25">
      <c r="C180" s="7" t="s">
        <v>189</v>
      </c>
      <c r="D180" s="7"/>
      <c r="E180" s="8">
        <f t="shared" si="11"/>
        <v>70</v>
      </c>
      <c r="F180" s="12"/>
      <c r="G180" s="12"/>
      <c r="H180" s="12"/>
      <c r="I180" s="8">
        <v>2</v>
      </c>
      <c r="J180" s="10" t="s">
        <v>165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165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1"/>
        <v>35</v>
      </c>
      <c r="F182" s="12"/>
      <c r="G182" s="12"/>
      <c r="H182" s="12"/>
      <c r="I182" s="8">
        <v>1</v>
      </c>
      <c r="J182" s="10" t="s">
        <v>165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165</v>
      </c>
      <c r="K183" s="30">
        <v>25</v>
      </c>
    </row>
    <row r="184" spans="3:11" s="4" customFormat="1" ht="15.95" hidden="1" customHeight="1" x14ac:dyDescent="0.25">
      <c r="C184" s="7" t="s">
        <v>134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165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1"/>
        <v>12</v>
      </c>
      <c r="F185" s="12"/>
      <c r="G185" s="12"/>
      <c r="H185" s="12"/>
      <c r="I185" s="8">
        <v>1</v>
      </c>
      <c r="J185" s="10" t="s">
        <v>165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165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165</v>
      </c>
      <c r="K187" s="30">
        <v>150</v>
      </c>
    </row>
    <row r="188" spans="3:11" s="4" customFormat="1" ht="15.95" hidden="1" customHeight="1" x14ac:dyDescent="0.25">
      <c r="C188" s="7" t="s">
        <v>206</v>
      </c>
      <c r="D188" s="7"/>
      <c r="E188" s="8">
        <f t="shared" si="11"/>
        <v>0</v>
      </c>
      <c r="F188" s="8"/>
      <c r="G188" s="8"/>
      <c r="H188" s="8"/>
      <c r="I188" s="8">
        <v>0</v>
      </c>
      <c r="J188" s="10" t="s">
        <v>165</v>
      </c>
      <c r="K188" s="30">
        <v>15</v>
      </c>
    </row>
    <row r="189" spans="3:11" s="4" customFormat="1" ht="15.95" hidden="1" customHeight="1" x14ac:dyDescent="0.25">
      <c r="C189" s="7" t="s">
        <v>158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165</v>
      </c>
      <c r="K189" s="30">
        <v>15</v>
      </c>
    </row>
    <row r="190" spans="3:11" s="4" customFormat="1" ht="15.95" hidden="1" customHeight="1" x14ac:dyDescent="0.25">
      <c r="C190" s="7" t="s">
        <v>207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165</v>
      </c>
      <c r="K190" s="30">
        <v>600</v>
      </c>
    </row>
    <row r="191" spans="3:11" s="4" customFormat="1" ht="15.95" hidden="1" customHeight="1" x14ac:dyDescent="0.25">
      <c r="C191" s="7" t="s">
        <v>208</v>
      </c>
      <c r="D191" s="7"/>
      <c r="E191" s="8">
        <f t="shared" si="11"/>
        <v>0</v>
      </c>
      <c r="F191" s="8"/>
      <c r="G191" s="8"/>
      <c r="H191" s="8"/>
      <c r="I191" s="8">
        <v>0</v>
      </c>
      <c r="J191" s="10" t="s">
        <v>165</v>
      </c>
      <c r="K191" s="30">
        <v>85</v>
      </c>
    </row>
    <row r="192" spans="3:11" s="4" customFormat="1" ht="15.95" hidden="1" customHeight="1" x14ac:dyDescent="0.25">
      <c r="C192" s="7" t="s">
        <v>255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165</v>
      </c>
      <c r="K192" s="30">
        <v>210</v>
      </c>
    </row>
    <row r="193" spans="2:11" s="4" customFormat="1" ht="15.95" hidden="1" customHeight="1" x14ac:dyDescent="0.25">
      <c r="C193" s="7" t="s">
        <v>86</v>
      </c>
      <c r="D193" s="7"/>
      <c r="E193" s="8">
        <f t="shared" si="11"/>
        <v>24</v>
      </c>
      <c r="F193" s="8"/>
      <c r="G193" s="8"/>
      <c r="H193" s="8"/>
      <c r="I193" s="8">
        <v>3</v>
      </c>
      <c r="J193" s="10" t="s">
        <v>165</v>
      </c>
      <c r="K193" s="30">
        <v>8</v>
      </c>
    </row>
    <row r="194" spans="2:11" s="4" customFormat="1" ht="15.95" hidden="1" customHeight="1" x14ac:dyDescent="0.25">
      <c r="C194" s="7" t="s">
        <v>72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165</v>
      </c>
      <c r="K194" s="30">
        <v>15</v>
      </c>
    </row>
    <row r="195" spans="2:11" s="4" customFormat="1" ht="15.95" hidden="1" customHeight="1" x14ac:dyDescent="0.25">
      <c r="C195" s="7" t="s">
        <v>83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165</v>
      </c>
      <c r="K195" s="30">
        <v>15</v>
      </c>
    </row>
    <row r="196" spans="2:11" s="4" customFormat="1" ht="15.95" hidden="1" customHeight="1" x14ac:dyDescent="0.25">
      <c r="B196" s="29" t="s">
        <v>248</v>
      </c>
      <c r="C196" s="7" t="s">
        <v>84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165</v>
      </c>
      <c r="K196" s="30">
        <v>25</v>
      </c>
    </row>
    <row r="197" spans="2:11" s="4" customFormat="1" ht="15.95" hidden="1" customHeight="1" x14ac:dyDescent="0.25">
      <c r="C197" s="7" t="s">
        <v>87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165</v>
      </c>
      <c r="K197" s="30">
        <v>85</v>
      </c>
    </row>
    <row r="198" spans="2:11" s="4" customFormat="1" ht="15.95" hidden="1" customHeight="1" x14ac:dyDescent="0.25">
      <c r="C198" s="7" t="s">
        <v>88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165</v>
      </c>
      <c r="K198" s="30">
        <v>15</v>
      </c>
    </row>
    <row r="199" spans="2:11" s="4" customFormat="1" ht="15.95" hidden="1" customHeight="1" x14ac:dyDescent="0.25">
      <c r="C199" s="7" t="s">
        <v>89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165</v>
      </c>
      <c r="K199" s="30">
        <v>5</v>
      </c>
    </row>
    <row r="200" spans="2:11" s="4" customFormat="1" ht="15.95" hidden="1" customHeight="1" x14ac:dyDescent="0.25">
      <c r="C200" s="7" t="s">
        <v>91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165</v>
      </c>
      <c r="K200" s="30">
        <v>12</v>
      </c>
    </row>
    <row r="201" spans="2:11" s="4" customFormat="1" ht="15.95" hidden="1" customHeight="1" x14ac:dyDescent="0.25">
      <c r="C201" s="7" t="s">
        <v>92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165</v>
      </c>
      <c r="K201" s="30">
        <v>25</v>
      </c>
    </row>
    <row r="202" spans="2:11" s="4" customFormat="1" ht="15.95" hidden="1" customHeight="1" x14ac:dyDescent="0.25">
      <c r="C202" s="7" t="s">
        <v>93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165</v>
      </c>
      <c r="K202" s="30">
        <v>20</v>
      </c>
    </row>
    <row r="203" spans="2:11" s="4" customFormat="1" ht="15.95" hidden="1" customHeight="1" x14ac:dyDescent="0.25">
      <c r="C203" s="7" t="s">
        <v>120</v>
      </c>
      <c r="D203" s="7"/>
      <c r="E203" s="8">
        <f t="shared" si="11"/>
        <v>48</v>
      </c>
      <c r="F203" s="8"/>
      <c r="G203" s="8"/>
      <c r="H203" s="8"/>
      <c r="I203" s="8">
        <v>8</v>
      </c>
      <c r="J203" s="10" t="s">
        <v>165</v>
      </c>
      <c r="K203" s="30">
        <v>6</v>
      </c>
    </row>
    <row r="204" spans="2:11" s="4" customFormat="1" ht="15.95" hidden="1" customHeight="1" x14ac:dyDescent="0.25">
      <c r="C204" s="7" t="s">
        <v>122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165</v>
      </c>
      <c r="K204" s="30">
        <v>3</v>
      </c>
    </row>
    <row r="205" spans="2:11" s="4" customFormat="1" ht="15.95" hidden="1" customHeight="1" x14ac:dyDescent="0.25">
      <c r="C205" s="7" t="s">
        <v>123</v>
      </c>
      <c r="D205" s="7"/>
      <c r="E205" s="8">
        <f t="shared" si="11"/>
        <v>420</v>
      </c>
      <c r="F205" s="8"/>
      <c r="G205" s="8"/>
      <c r="H205" s="8"/>
      <c r="I205" s="8">
        <v>12</v>
      </c>
      <c r="J205" s="10" t="s">
        <v>165</v>
      </c>
      <c r="K205" s="30">
        <v>35</v>
      </c>
    </row>
    <row r="206" spans="2:11" s="4" customFormat="1" ht="15.95" hidden="1" customHeight="1" x14ac:dyDescent="0.25">
      <c r="C206" s="7" t="s">
        <v>246</v>
      </c>
      <c r="D206" s="7"/>
      <c r="E206" s="8">
        <f t="shared" si="11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165</v>
      </c>
      <c r="K206" s="30">
        <v>20</v>
      </c>
    </row>
    <row r="207" spans="2:11" s="4" customFormat="1" ht="15.95" hidden="1" customHeight="1" x14ac:dyDescent="0.25">
      <c r="C207" s="7" t="s">
        <v>245</v>
      </c>
      <c r="D207" s="7"/>
      <c r="E207" s="8">
        <f t="shared" si="11"/>
        <v>85</v>
      </c>
      <c r="F207" s="8"/>
      <c r="G207" s="8"/>
      <c r="H207" s="8"/>
      <c r="I207" s="8">
        <v>1</v>
      </c>
      <c r="J207" s="10" t="s">
        <v>165</v>
      </c>
      <c r="K207" s="30">
        <v>85</v>
      </c>
    </row>
    <row r="208" spans="2:11" s="4" customFormat="1" ht="15.95" customHeight="1" x14ac:dyDescent="0.25">
      <c r="C208" s="26" t="s">
        <v>182</v>
      </c>
      <c r="D208" s="27">
        <f>SUM(E209:E219)</f>
        <v>531.70000000000005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243</v>
      </c>
      <c r="D209" s="7"/>
      <c r="E209" s="8">
        <f t="shared" ref="E209:E219" si="12">I209*K209</f>
        <v>0</v>
      </c>
      <c r="F209" s="8">
        <v>1</v>
      </c>
      <c r="G209" s="8">
        <v>1</v>
      </c>
      <c r="H209" s="12"/>
      <c r="I209" s="8">
        <v>0</v>
      </c>
      <c r="J209" s="10" t="s">
        <v>110</v>
      </c>
      <c r="K209" s="30">
        <v>10.71</v>
      </c>
    </row>
    <row r="210" spans="3:11" s="4" customFormat="1" ht="15.95" hidden="1" customHeight="1" x14ac:dyDescent="0.25">
      <c r="C210" s="7" t="s">
        <v>242</v>
      </c>
      <c r="D210" s="7"/>
      <c r="E210" s="8">
        <f t="shared" si="12"/>
        <v>309.60000000000002</v>
      </c>
      <c r="F210" s="8">
        <v>1</v>
      </c>
      <c r="G210" s="8">
        <v>1</v>
      </c>
      <c r="H210" s="12"/>
      <c r="I210" s="8">
        <v>20</v>
      </c>
      <c r="J210" s="10" t="s">
        <v>110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2"/>
        <v>38.700000000000003</v>
      </c>
      <c r="F211" s="8">
        <v>1</v>
      </c>
      <c r="G211" s="8">
        <v>1</v>
      </c>
      <c r="H211" s="12"/>
      <c r="I211" s="8">
        <v>2.5</v>
      </c>
      <c r="J211" s="10" t="s">
        <v>110</v>
      </c>
      <c r="K211" s="30">
        <v>15.48</v>
      </c>
    </row>
    <row r="212" spans="3:11" s="4" customFormat="1" ht="15.95" hidden="1" customHeight="1" x14ac:dyDescent="0.25">
      <c r="C212" s="7" t="s">
        <v>190</v>
      </c>
      <c r="D212" s="7"/>
      <c r="E212" s="8">
        <f t="shared" si="12"/>
        <v>131</v>
      </c>
      <c r="F212" s="8">
        <v>1</v>
      </c>
      <c r="G212" s="8">
        <v>1</v>
      </c>
      <c r="H212" s="12"/>
      <c r="I212" s="8">
        <v>10</v>
      </c>
      <c r="J212" s="10" t="s">
        <v>110</v>
      </c>
      <c r="K212" s="30">
        <v>13.1</v>
      </c>
    </row>
    <row r="213" spans="3:11" s="4" customFormat="1" ht="15.95" hidden="1" customHeight="1" x14ac:dyDescent="0.25">
      <c r="C213" s="7" t="s">
        <v>256</v>
      </c>
      <c r="D213" s="7"/>
      <c r="E213" s="8">
        <f t="shared" si="12"/>
        <v>0</v>
      </c>
      <c r="F213" s="8">
        <v>1</v>
      </c>
      <c r="G213" s="8">
        <v>1</v>
      </c>
      <c r="H213" s="12"/>
      <c r="I213" s="8">
        <v>0</v>
      </c>
      <c r="J213" s="10" t="s">
        <v>110</v>
      </c>
      <c r="K213" s="30">
        <v>95.24</v>
      </c>
    </row>
    <row r="214" spans="3:11" s="4" customFormat="1" ht="15.95" hidden="1" customHeight="1" x14ac:dyDescent="0.25">
      <c r="C214" s="7" t="s">
        <v>257</v>
      </c>
      <c r="D214" s="7"/>
      <c r="E214" s="8">
        <f t="shared" si="12"/>
        <v>0</v>
      </c>
      <c r="F214" s="8">
        <v>1</v>
      </c>
      <c r="G214" s="8">
        <v>1</v>
      </c>
      <c r="H214" s="12"/>
      <c r="I214" s="8">
        <v>0</v>
      </c>
      <c r="J214" s="10" t="s">
        <v>110</v>
      </c>
      <c r="K214" s="30">
        <v>47.62</v>
      </c>
    </row>
    <row r="215" spans="3:11" s="4" customFormat="1" ht="15.95" hidden="1" customHeight="1" x14ac:dyDescent="0.25">
      <c r="C215" s="7" t="s">
        <v>70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110</v>
      </c>
      <c r="K215" s="30">
        <v>35.71</v>
      </c>
    </row>
    <row r="216" spans="3:11" s="4" customFormat="1" ht="15.95" hidden="1" customHeight="1" x14ac:dyDescent="0.25">
      <c r="C216" s="7" t="s">
        <v>121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110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2"/>
        <v>52.4</v>
      </c>
      <c r="F217" s="8">
        <v>1</v>
      </c>
      <c r="G217" s="8">
        <v>1</v>
      </c>
      <c r="H217" s="12"/>
      <c r="I217" s="8">
        <v>4</v>
      </c>
      <c r="J217" s="10" t="s">
        <v>110</v>
      </c>
      <c r="K217" s="30">
        <v>13.1</v>
      </c>
    </row>
    <row r="218" spans="3:11" s="4" customFormat="1" ht="15.95" hidden="1" customHeight="1" x14ac:dyDescent="0.25">
      <c r="C218" s="7" t="s">
        <v>244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110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110</v>
      </c>
      <c r="K219" s="30">
        <v>10.71</v>
      </c>
    </row>
    <row r="220" spans="3:11" s="4" customFormat="1" ht="15.95" customHeight="1" x14ac:dyDescent="0.25">
      <c r="C220" s="26" t="s">
        <v>181</v>
      </c>
      <c r="D220" s="27">
        <f>SUM(E221:E259)</f>
        <v>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3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165</v>
      </c>
      <c r="K221" s="30">
        <v>320</v>
      </c>
    </row>
    <row r="222" spans="3:11" s="4" customFormat="1" ht="15.95" hidden="1" customHeight="1" x14ac:dyDescent="0.25">
      <c r="C222" s="7" t="s">
        <v>212</v>
      </c>
      <c r="D222" s="7"/>
      <c r="E222" s="8">
        <f t="shared" si="13"/>
        <v>0</v>
      </c>
      <c r="F222" s="8"/>
      <c r="G222" s="8"/>
      <c r="H222" s="8"/>
      <c r="I222" s="8">
        <v>0</v>
      </c>
      <c r="J222" s="10" t="s">
        <v>165</v>
      </c>
      <c r="K222" s="30">
        <v>210</v>
      </c>
    </row>
    <row r="223" spans="3:11" s="4" customFormat="1" ht="15.95" hidden="1" customHeight="1" x14ac:dyDescent="0.25">
      <c r="C223" s="7" t="s">
        <v>213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165</v>
      </c>
      <c r="K223" s="30">
        <v>180</v>
      </c>
    </row>
    <row r="224" spans="3:11" s="4" customFormat="1" ht="15.95" hidden="1" customHeight="1" x14ac:dyDescent="0.25">
      <c r="C224" s="7" t="s">
        <v>214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165</v>
      </c>
      <c r="K224" s="30">
        <v>180</v>
      </c>
    </row>
    <row r="225" spans="3:11" s="4" customFormat="1" ht="15.95" hidden="1" customHeight="1" x14ac:dyDescent="0.25">
      <c r="C225" s="7" t="s">
        <v>215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165</v>
      </c>
      <c r="K225" s="30">
        <v>110</v>
      </c>
    </row>
    <row r="226" spans="3:11" s="4" customFormat="1" ht="15.95" hidden="1" customHeight="1" x14ac:dyDescent="0.25">
      <c r="C226" s="7" t="s">
        <v>216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165</v>
      </c>
      <c r="K226" s="30">
        <v>310</v>
      </c>
    </row>
    <row r="227" spans="3:11" s="4" customFormat="1" ht="15.95" hidden="1" customHeight="1" x14ac:dyDescent="0.25">
      <c r="C227" s="7" t="s">
        <v>217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165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3"/>
        <v>0</v>
      </c>
      <c r="F228" s="12"/>
      <c r="G228" s="12"/>
      <c r="H228" s="12"/>
      <c r="I228" s="8">
        <v>0</v>
      </c>
      <c r="J228" s="10" t="s">
        <v>165</v>
      </c>
      <c r="K228" s="30">
        <v>10</v>
      </c>
    </row>
    <row r="229" spans="3:11" s="4" customFormat="1" ht="15.95" hidden="1" customHeight="1" x14ac:dyDescent="0.25">
      <c r="C229" s="7" t="s">
        <v>221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165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3"/>
        <v>0</v>
      </c>
      <c r="F230" s="8"/>
      <c r="G230" s="8"/>
      <c r="H230" s="8"/>
      <c r="I230" s="8">
        <v>0</v>
      </c>
      <c r="J230" s="10" t="s">
        <v>165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165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165</v>
      </c>
      <c r="K232" s="30">
        <v>220</v>
      </c>
    </row>
    <row r="233" spans="3:11" s="4" customFormat="1" ht="15.95" hidden="1" customHeight="1" x14ac:dyDescent="0.25">
      <c r="C233" s="7" t="s">
        <v>180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165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165</v>
      </c>
      <c r="K234" s="30">
        <v>250</v>
      </c>
    </row>
    <row r="235" spans="3:11" s="4" customFormat="1" ht="15.95" hidden="1" customHeight="1" x14ac:dyDescent="0.25">
      <c r="C235" s="7" t="s">
        <v>209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165</v>
      </c>
      <c r="K235" s="30">
        <v>390</v>
      </c>
    </row>
    <row r="236" spans="3:11" s="4" customFormat="1" ht="15.95" hidden="1" customHeight="1" x14ac:dyDescent="0.25">
      <c r="C236" s="7" t="s">
        <v>235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165</v>
      </c>
      <c r="K236" s="30">
        <v>460</v>
      </c>
    </row>
    <row r="237" spans="3:11" s="4" customFormat="1" ht="15.95" hidden="1" customHeight="1" x14ac:dyDescent="0.25">
      <c r="C237" s="7" t="s">
        <v>210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165</v>
      </c>
      <c r="K237" s="30">
        <v>850</v>
      </c>
    </row>
    <row r="238" spans="3:11" s="4" customFormat="1" ht="15.95" hidden="1" customHeight="1" x14ac:dyDescent="0.25">
      <c r="C238" s="7" t="s">
        <v>186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165</v>
      </c>
      <c r="K238" s="30">
        <v>1400</v>
      </c>
    </row>
    <row r="239" spans="3:11" s="4" customFormat="1" ht="15.95" hidden="1" customHeight="1" x14ac:dyDescent="0.25">
      <c r="C239" s="7" t="s">
        <v>237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165</v>
      </c>
      <c r="K239" s="30">
        <v>360</v>
      </c>
    </row>
    <row r="240" spans="3:11" s="4" customFormat="1" ht="15.95" hidden="1" customHeight="1" x14ac:dyDescent="0.25">
      <c r="C240" s="7" t="s">
        <v>240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165</v>
      </c>
      <c r="K240" s="30">
        <v>550</v>
      </c>
    </row>
    <row r="241" spans="3:11" s="4" customFormat="1" ht="15.95" hidden="1" customHeight="1" x14ac:dyDescent="0.25">
      <c r="C241" s="7" t="s">
        <v>241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165</v>
      </c>
      <c r="K241" s="30">
        <v>580</v>
      </c>
    </row>
    <row r="242" spans="3:11" s="4" customFormat="1" ht="15.95" hidden="1" customHeight="1" x14ac:dyDescent="0.25">
      <c r="C242" s="7" t="s">
        <v>233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165</v>
      </c>
      <c r="K242" s="30">
        <v>680</v>
      </c>
    </row>
    <row r="243" spans="3:11" s="4" customFormat="1" ht="15.95" hidden="1" customHeight="1" x14ac:dyDescent="0.25">
      <c r="C243" s="7" t="s">
        <v>238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165</v>
      </c>
      <c r="K243" s="30">
        <v>750</v>
      </c>
    </row>
    <row r="244" spans="3:11" s="4" customFormat="1" ht="15.95" hidden="1" customHeight="1" x14ac:dyDescent="0.25">
      <c r="C244" s="7" t="s">
        <v>234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165</v>
      </c>
      <c r="K244" s="30">
        <v>340</v>
      </c>
    </row>
    <row r="245" spans="3:11" s="4" customFormat="1" ht="15.95" hidden="1" customHeight="1" x14ac:dyDescent="0.25">
      <c r="C245" s="7" t="s">
        <v>239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165</v>
      </c>
      <c r="K245" s="30">
        <v>160</v>
      </c>
    </row>
    <row r="246" spans="3:11" s="4" customFormat="1" ht="15.95" hidden="1" customHeight="1" x14ac:dyDescent="0.25">
      <c r="C246" s="7" t="s">
        <v>236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165</v>
      </c>
      <c r="K246" s="30">
        <v>130</v>
      </c>
    </row>
    <row r="247" spans="3:11" s="4" customFormat="1" ht="15.95" hidden="1" customHeight="1" x14ac:dyDescent="0.25">
      <c r="C247" s="7" t="s">
        <v>226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165</v>
      </c>
      <c r="K247" s="30">
        <v>130</v>
      </c>
    </row>
    <row r="248" spans="3:11" s="4" customFormat="1" ht="15.95" hidden="1" customHeight="1" x14ac:dyDescent="0.25">
      <c r="C248" s="7" t="s">
        <v>222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165</v>
      </c>
      <c r="K248" s="30">
        <v>400</v>
      </c>
    </row>
    <row r="249" spans="3:11" s="4" customFormat="1" ht="15.95" hidden="1" customHeight="1" x14ac:dyDescent="0.25">
      <c r="C249" s="7" t="s">
        <v>224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165</v>
      </c>
      <c r="K249" s="30">
        <v>260</v>
      </c>
    </row>
    <row r="250" spans="3:11" s="4" customFormat="1" ht="15.95" hidden="1" customHeight="1" x14ac:dyDescent="0.25">
      <c r="C250" s="7" t="s">
        <v>230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165</v>
      </c>
      <c r="K250" s="30">
        <v>180</v>
      </c>
    </row>
    <row r="251" spans="3:11" s="4" customFormat="1" ht="15.95" hidden="1" customHeight="1" x14ac:dyDescent="0.25">
      <c r="C251" s="7" t="s">
        <v>231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165</v>
      </c>
      <c r="K251" s="30">
        <v>120</v>
      </c>
    </row>
    <row r="252" spans="3:11" s="4" customFormat="1" ht="15.95" hidden="1" customHeight="1" x14ac:dyDescent="0.25">
      <c r="C252" s="7" t="s">
        <v>232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165</v>
      </c>
      <c r="K252" s="30">
        <v>220</v>
      </c>
    </row>
    <row r="253" spans="3:11" s="4" customFormat="1" ht="15.95" hidden="1" customHeight="1" x14ac:dyDescent="0.25">
      <c r="C253" s="7" t="s">
        <v>225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165</v>
      </c>
      <c r="K253" s="30">
        <v>230</v>
      </c>
    </row>
    <row r="254" spans="3:11" s="4" customFormat="1" ht="15.95" hidden="1" customHeight="1" x14ac:dyDescent="0.25">
      <c r="C254" s="7" t="s">
        <v>227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228</v>
      </c>
      <c r="K254" s="30">
        <v>500</v>
      </c>
    </row>
    <row r="255" spans="3:11" s="4" customFormat="1" ht="15.95" hidden="1" customHeight="1" x14ac:dyDescent="0.25">
      <c r="C255" s="7" t="s">
        <v>229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165</v>
      </c>
      <c r="K255" s="30">
        <v>180</v>
      </c>
    </row>
    <row r="256" spans="3:11" s="4" customFormat="1" ht="15.95" hidden="1" customHeight="1" x14ac:dyDescent="0.25">
      <c r="C256" s="7" t="s">
        <v>223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165</v>
      </c>
      <c r="K256" s="30">
        <v>260</v>
      </c>
    </row>
    <row r="257" spans="3:11" s="4" customFormat="1" ht="15.95" hidden="1" customHeight="1" x14ac:dyDescent="0.25">
      <c r="C257" s="7" t="s">
        <v>218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165</v>
      </c>
      <c r="K257" s="30">
        <v>6500</v>
      </c>
    </row>
    <row r="258" spans="3:11" s="4" customFormat="1" ht="15.95" hidden="1" customHeight="1" x14ac:dyDescent="0.25">
      <c r="C258" s="7" t="s">
        <v>220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165</v>
      </c>
      <c r="K258" s="30">
        <v>8800</v>
      </c>
    </row>
    <row r="259" spans="3:11" s="4" customFormat="1" ht="15.95" hidden="1" customHeight="1" x14ac:dyDescent="0.25">
      <c r="C259" s="7" t="s">
        <v>219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165</v>
      </c>
      <c r="K259" s="30">
        <v>1050</v>
      </c>
    </row>
    <row r="260" spans="3:11" s="22" customFormat="1" ht="15.95" customHeight="1" x14ac:dyDescent="0.25">
      <c r="C260" s="32" t="s">
        <v>147</v>
      </c>
      <c r="D260" s="33">
        <f>SUM(E261)</f>
        <v>8500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8500</v>
      </c>
      <c r="F261" s="24"/>
      <c r="G261" s="24"/>
      <c r="H261" s="24"/>
      <c r="I261" s="24">
        <v>1</v>
      </c>
      <c r="J261" s="25" t="s">
        <v>165</v>
      </c>
      <c r="K261" s="48">
        <v>8500</v>
      </c>
    </row>
    <row r="262" spans="3:11" s="22" customFormat="1" ht="15.95" customHeight="1" x14ac:dyDescent="0.25">
      <c r="C262" s="32" t="s">
        <v>145</v>
      </c>
      <c r="D262" s="33">
        <f>SUM(E263)</f>
        <v>2500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2500</v>
      </c>
      <c r="F263" s="41"/>
      <c r="G263" s="41"/>
      <c r="H263" s="41"/>
      <c r="I263" s="24">
        <v>2</v>
      </c>
      <c r="J263" s="25" t="s">
        <v>148</v>
      </c>
      <c r="K263" s="48">
        <v>1250</v>
      </c>
    </row>
    <row r="264" spans="3:11" s="22" customFormat="1" ht="15.95" customHeight="1" x14ac:dyDescent="0.25">
      <c r="C264" s="32" t="s">
        <v>146</v>
      </c>
      <c r="D264" s="33">
        <f>SUM(E265)</f>
        <v>3000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3000</v>
      </c>
      <c r="F265" s="41"/>
      <c r="G265" s="41"/>
      <c r="H265" s="41"/>
      <c r="I265" s="24">
        <v>2</v>
      </c>
      <c r="J265" s="25" t="s">
        <v>165</v>
      </c>
      <c r="K265" s="48">
        <v>1500</v>
      </c>
    </row>
    <row r="266" spans="3:11" s="22" customFormat="1" ht="15.95" customHeight="1" x14ac:dyDescent="0.25">
      <c r="C266" s="32" t="s">
        <v>211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165</v>
      </c>
      <c r="K267" s="48">
        <v>1200</v>
      </c>
    </row>
    <row r="268" spans="3:11" s="22" customFormat="1" ht="15.95" customHeight="1" x14ac:dyDescent="0.25">
      <c r="C268" s="32" t="s">
        <v>261</v>
      </c>
      <c r="D268" s="33">
        <f>SUM(E269)</f>
        <v>1000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 t="s">
        <v>281</v>
      </c>
      <c r="D269" s="38"/>
      <c r="E269" s="39">
        <f>I269*K269</f>
        <v>1000</v>
      </c>
      <c r="F269" s="41"/>
      <c r="G269" s="41"/>
      <c r="H269" s="41"/>
      <c r="I269" s="24">
        <v>1</v>
      </c>
      <c r="J269" s="25" t="s">
        <v>165</v>
      </c>
      <c r="K269" s="48">
        <v>1000</v>
      </c>
    </row>
    <row r="270" spans="3:11" ht="15.95" customHeight="1" thickBot="1" x14ac:dyDescent="0.3">
      <c r="C270" s="18" t="s">
        <v>57</v>
      </c>
      <c r="D270" s="14">
        <f>SUM(D2:D269)</f>
        <v>23191.517</v>
      </c>
      <c r="E270" s="15"/>
      <c r="F270" s="53"/>
      <c r="G270" s="53"/>
      <c r="H270" s="53"/>
      <c r="I270" s="53"/>
      <c r="J270" s="53"/>
      <c r="K270" s="53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2025-11-20T09:49:49Z</dcterms:modified>
</cp:coreProperties>
</file>