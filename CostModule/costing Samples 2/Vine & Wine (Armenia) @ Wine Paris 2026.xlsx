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Vine &amp; Wine (Armenia) @ Wine Paris 2026\"/>
    </mc:Choice>
  </mc:AlternateContent>
  <xr:revisionPtr revIDLastSave="0" documentId="13_ncr:1_{6F85F71F-1A44-474A-A39D-6FC14BC219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3" i="1" l="1"/>
  <c r="E96" i="1"/>
  <c r="E56" i="1"/>
  <c r="E137" i="1" l="1"/>
  <c r="E270" i="1" l="1"/>
  <c r="D269" i="1" s="1"/>
  <c r="E81" i="1" l="1"/>
  <c r="E80" i="1"/>
  <c r="E90" i="1" l="1"/>
  <c r="E91" i="1"/>
  <c r="E92" i="1"/>
  <c r="E93" i="1"/>
  <c r="E94" i="1"/>
  <c r="E95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9" i="1" l="1"/>
  <c r="D88" i="1" s="1"/>
  <c r="E15" i="1" l="1"/>
  <c r="E84" i="1" l="1"/>
  <c r="E85" i="1"/>
  <c r="E86" i="1"/>
  <c r="E210" i="1" l="1"/>
  <c r="E134" i="1"/>
  <c r="E167" i="1"/>
  <c r="D166" i="1" s="1"/>
  <c r="D209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1" i="1" l="1"/>
  <c r="E63" i="1" l="1"/>
  <c r="E60" i="1"/>
  <c r="E44" i="1" l="1"/>
  <c r="E40" i="1"/>
  <c r="E41" i="1"/>
  <c r="E153" i="1" l="1"/>
  <c r="E145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7" i="1"/>
  <c r="E58" i="1"/>
  <c r="E59" i="1"/>
  <c r="E64" i="1"/>
  <c r="E65" i="1"/>
  <c r="E66" i="1"/>
  <c r="E67" i="1"/>
  <c r="E76" i="1"/>
  <c r="E77" i="1"/>
  <c r="E78" i="1"/>
  <c r="E111" i="1"/>
  <c r="E222" i="1"/>
  <c r="D221" i="1" s="1"/>
  <c r="D16" i="1" l="1"/>
  <c r="D152" i="1"/>
  <c r="D133" i="1"/>
  <c r="D144" i="1"/>
  <c r="D110" i="1"/>
  <c r="D271" i="1" l="1"/>
</calcChain>
</file>

<file path=xl/sharedStrings.xml><?xml version="1.0" encoding="utf-8"?>
<sst xmlns="http://schemas.openxmlformats.org/spreadsheetml/2006/main" count="583" uniqueCount="284">
  <si>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</si>
  <si>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</si>
  <si>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</si>
  <si>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</si>
  <si>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</si>
  <si>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</si>
  <si>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</si>
  <si>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</si>
  <si>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</si>
  <si>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</si>
  <si>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</si>
  <si>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</si>
  <si>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</si>
  <si>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</si>
  <si>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</si>
  <si>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</si>
  <si>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</si>
  <si>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</si>
  <si>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</si>
  <si>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</si>
  <si>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</si>
  <si>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</si>
  <si>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</si>
  <si>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</si>
  <si>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</si>
  <si>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</si>
  <si>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</si>
  <si>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</si>
  <si>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</si>
  <si>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</si>
  <si>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</si>
  <si>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</si>
  <si>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</si>
  <si>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</si>
  <si>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</si>
  <si>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</si>
  <si>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</si>
  <si>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</si>
  <si>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</si>
  <si>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</si>
  <si>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</si>
  <si>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</si>
  <si>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</si>
  <si>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</si>
  <si>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</si>
  <si>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</si>
  <si>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</si>
  <si>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</si>
  <si>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</si>
  <si>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</si>
  <si>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</si>
  <si>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</si>
  <si>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</si>
  <si>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</si>
  <si>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</si>
  <si>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</si>
  <si>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</si>
  <si>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</si>
  <si>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</si>
  <si>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</si>
  <si>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</si>
  <si>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</si>
  <si>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</si>
  <si>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</si>
  <si>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</si>
  <si>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</si>
  <si>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</si>
  <si>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</si>
  <si>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</si>
  <si>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</si>
  <si>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</si>
  <si>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</si>
  <si>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</si>
  <si>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</si>
  <si>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</si>
  <si>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</si>
  <si>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</si>
  <si>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</si>
  <si>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</si>
  <si>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</si>
  <si>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</si>
  <si>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</si>
  <si>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</si>
  <si>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</si>
  <si>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</si>
  <si>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</si>
  <si>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</si>
  <si>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</si>
  <si>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</si>
  <si>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</si>
  <si>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</si>
  <si>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</si>
  <si>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</si>
  <si>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</si>
  <si>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</si>
  <si>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</si>
  <si>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</si>
  <si>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</si>
  <si>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</si>
  <si>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</si>
  <si>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</si>
  <si>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</si>
  <si>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</si>
  <si>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</si>
  <si>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</si>
  <si>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</si>
  <si>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</si>
  <si>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</si>
  <si>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</si>
  <si>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</si>
  <si>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</si>
  <si>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</si>
  <si>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</si>
  <si>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</si>
  <si>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</si>
  <si>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</si>
  <si>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</si>
  <si>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</si>
  <si>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</si>
  <si>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</si>
  <si>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</si>
  <si>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</si>
  <si>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</si>
  <si>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</si>
  <si>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</si>
  <si>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</si>
  <si>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</si>
  <si>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</si>
  <si>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</si>
  <si>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</si>
  <si>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</si>
  <si>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</si>
  <si>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</si>
  <si>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</si>
  <si>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</si>
  <si>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</si>
  <si>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</si>
  <si>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</si>
  <si>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</si>
  <si>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</si>
  <si>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</si>
  <si>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</si>
  <si>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</si>
  <si>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</si>
  <si>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</si>
  <si>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</si>
  <si>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</si>
  <si>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</si>
  <si>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</si>
  <si>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</si>
  <si>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</si>
  <si>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</si>
  <si>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</si>
  <si>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</si>
  <si>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</si>
  <si>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</si>
  <si>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</si>
  <si>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</si>
  <si>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</si>
  <si>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</si>
  <si>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</si>
  <si>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</si>
  <si>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</si>
  <si>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</si>
  <si>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</si>
  <si>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</si>
  <si>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</si>
  <si>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</si>
  <si>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</si>
  <si>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</si>
  <si>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</si>
  <si>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</si>
  <si>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</si>
  <si>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</si>
  <si>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</si>
  <si>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</si>
  <si>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</si>
  <si>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</si>
  <si>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</si>
  <si>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</si>
  <si>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</si>
  <si>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</si>
  <si>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</si>
  <si>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</si>
  <si>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</si>
  <si>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</si>
  <si>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</si>
  <si>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</si>
  <si>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</si>
  <si>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</si>
  <si>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</si>
  <si>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</si>
  <si>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</si>
  <si>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</si>
  <si>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</si>
  <si>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</si>
  <si>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</si>
  <si>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</si>
  <si>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</si>
  <si>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</si>
  <si>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</si>
  <si>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</si>
  <si>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</si>
  <si>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</si>
  <si>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</si>
  <si>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</si>
  <si>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</si>
  <si>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</si>
  <si>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</si>
  <si>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</si>
  <si>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</si>
  <si>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</si>
  <si>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</si>
  <si>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</si>
  <si>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</si>
  <si>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</si>
  <si>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</si>
  <si>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</si>
  <si>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</si>
  <si>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</si>
  <si>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</si>
  <si>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</si>
  <si>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</si>
  <si>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</si>
  <si>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</si>
  <si>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</si>
  <si>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</si>
  <si>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</si>
  <si>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</si>
  <si>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</si>
  <si>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</si>
  <si>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</si>
  <si>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</si>
  <si>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</si>
  <si>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</si>
  <si>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</si>
  <si>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</si>
  <si>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</si>
  <si>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</si>
  <si>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</si>
  <si>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</si>
  <si>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</si>
  <si>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</si>
  <si>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</si>
  <si>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</si>
  <si>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</si>
  <si>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</si>
  <si>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</si>
  <si>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</si>
  <si>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</si>
  <si>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</si>
  <si>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</si>
  <si>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</si>
  <si>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</si>
  <si>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</si>
  <si>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</si>
  <si>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</si>
  <si>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</si>
  <si>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</si>
  <si>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</si>
  <si>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</si>
  <si>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</si>
  <si>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</si>
  <si>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</si>
  <si>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</si>
  <si>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</si>
  <si>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</si>
  <si>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</si>
  <si>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</si>
  <si>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</si>
  <si>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GLASS PARTITION</t>
  </si>
  <si>
    <t>300mm Thick</t>
  </si>
  <si>
    <t>Counter (Laminated)- 2.5 x 0.7 x 1.0</t>
  </si>
  <si>
    <t>Fabric Hanging with modular frame (15m x 1.8m H)</t>
  </si>
  <si>
    <t>Cabinate (Laminated)- 2.0 x 0.5 x 1.0</t>
  </si>
  <si>
    <t>Opt Nr:-  1</t>
  </si>
  <si>
    <t>Date:- 14-11-2025</t>
  </si>
  <si>
    <t>VINE &amp; WINE</t>
  </si>
  <si>
    <t>WINE PARIS 2026</t>
  </si>
  <si>
    <t>20M X 6M</t>
  </si>
  <si>
    <t>120 SQM</t>
  </si>
  <si>
    <t>3.5M</t>
  </si>
  <si>
    <t>09-11 Feb, 2026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</si>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</sst>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1057275</xdr:colOff>
      <xdr:row>266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8807FA-2C00-4AB5-8C12-AC407CABA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4550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D273" sqref="D273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277</v>
      </c>
      <c r="C2" s="26" t="s">
        <v>151</v>
      </c>
      <c r="D2" s="27">
        <f>SUM(E3:E11)</f>
        <v>3434.16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343.2</v>
      </c>
      <c r="F3" s="8"/>
      <c r="G3" s="8"/>
      <c r="H3" s="8"/>
      <c r="I3" s="9">
        <v>120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2880.36</v>
      </c>
      <c r="F8" s="8"/>
      <c r="G8" s="8"/>
      <c r="H8" s="8"/>
      <c r="I8" s="9">
        <v>126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210.6</v>
      </c>
      <c r="F9" s="8"/>
      <c r="G9" s="8"/>
      <c r="H9" s="8"/>
      <c r="I9" s="9">
        <v>52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278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283</v>
      </c>
      <c r="C16" s="26" t="s">
        <v>184</v>
      </c>
      <c r="D16" s="27">
        <f>SUM(E17:E87)</f>
        <v>2683.73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1424.77</v>
      </c>
      <c r="F30" s="8">
        <v>1</v>
      </c>
      <c r="G30" s="8">
        <v>0.1</v>
      </c>
      <c r="H30" s="8">
        <v>3.5</v>
      </c>
      <c r="I30" s="9">
        <v>17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ref="E56" si="3">I56*K56</f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35</v>
      </c>
      <c r="D57" s="7"/>
      <c r="E57" s="8">
        <f t="shared" si="2"/>
        <v>688.55000000000007</v>
      </c>
      <c r="F57" s="8">
        <v>1</v>
      </c>
      <c r="G57" s="8">
        <v>0.3</v>
      </c>
      <c r="H57" s="8">
        <v>3</v>
      </c>
      <c r="I57" s="9">
        <v>5</v>
      </c>
      <c r="J57" s="10" t="s">
        <v>271</v>
      </c>
      <c r="K57" s="30">
        <v>137.71</v>
      </c>
    </row>
    <row r="58" spans="3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3:11" ht="15.95" hidden="1" customHeight="1" x14ac:dyDescent="0.25">
      <c r="C59" s="7" t="s">
        <v>33</v>
      </c>
      <c r="D59" s="7"/>
      <c r="E59" s="8">
        <f t="shared" si="2"/>
        <v>397.71</v>
      </c>
      <c r="F59" s="8">
        <v>1</v>
      </c>
      <c r="G59" s="8">
        <v>0.2</v>
      </c>
      <c r="H59" s="8">
        <v>3</v>
      </c>
      <c r="I59" s="9">
        <v>3</v>
      </c>
      <c r="J59" s="10" t="s">
        <v>156</v>
      </c>
      <c r="K59" s="30">
        <v>132.57</v>
      </c>
    </row>
    <row r="60" spans="3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3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3:11" ht="15.95" hidden="1" customHeight="1" x14ac:dyDescent="0.25">
      <c r="C62" s="7" t="s">
        <v>107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3:11" ht="15.95" hidden="1" customHeight="1" x14ac:dyDescent="0.25">
      <c r="C63" s="7" t="s">
        <v>78</v>
      </c>
      <c r="D63" s="7"/>
      <c r="E63" s="8">
        <f t="shared" si="2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3:11" ht="15.95" hidden="1" customHeight="1" x14ac:dyDescent="0.25">
      <c r="C64" s="7" t="s">
        <v>32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2"/>
        <v>172.7</v>
      </c>
      <c r="F80" s="24">
        <v>1</v>
      </c>
      <c r="G80" s="24"/>
      <c r="H80" s="24">
        <v>1</v>
      </c>
      <c r="I80" s="44">
        <v>22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282</v>
      </c>
      <c r="C88" s="26" t="s">
        <v>195</v>
      </c>
      <c r="D88" s="27">
        <f>SUM(E89:E109)</f>
        <v>4792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9" si="5">I89*K89</f>
        <v>1000</v>
      </c>
      <c r="F89" s="24"/>
      <c r="G89" s="24"/>
      <c r="H89" s="24"/>
      <c r="I89" s="24">
        <v>40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160</v>
      </c>
      <c r="F90" s="24"/>
      <c r="G90" s="24"/>
      <c r="H90" s="24"/>
      <c r="I90" s="24">
        <v>16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32</v>
      </c>
      <c r="F91" s="24"/>
      <c r="G91" s="24"/>
      <c r="H91" s="24"/>
      <c r="I91" s="24">
        <v>16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266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273</v>
      </c>
      <c r="D96" s="7"/>
      <c r="E96" s="24">
        <f t="shared" ref="E96" si="6">I96*K96</f>
        <v>3600</v>
      </c>
      <c r="F96" s="8"/>
      <c r="G96" s="8"/>
      <c r="H96" s="8"/>
      <c r="I96" s="8">
        <v>2</v>
      </c>
      <c r="J96" s="10" t="s">
        <v>166</v>
      </c>
      <c r="K96" s="48">
        <v>1800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5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1000</v>
      </c>
    </row>
    <row r="99" spans="1:11" s="4" customFormat="1" ht="15.95" hidden="1" customHeight="1" x14ac:dyDescent="0.25">
      <c r="B99" s="42"/>
      <c r="C99" s="7" t="s">
        <v>177</v>
      </c>
      <c r="D99" s="7"/>
      <c r="E99" s="24">
        <f t="shared" si="5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166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5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166</v>
      </c>
      <c r="K100" s="48">
        <v>1166.67</v>
      </c>
    </row>
    <row r="101" spans="1:11" s="4" customFormat="1" ht="15.95" hidden="1" customHeight="1" x14ac:dyDescent="0.25">
      <c r="B101" s="42"/>
      <c r="C101" s="7" t="s">
        <v>133</v>
      </c>
      <c r="D101" s="7"/>
      <c r="E101" s="24">
        <f t="shared" si="5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166</v>
      </c>
      <c r="K101" s="48">
        <v>35.71</v>
      </c>
    </row>
    <row r="102" spans="1:11" s="4" customFormat="1" ht="15.95" hidden="1" customHeight="1" x14ac:dyDescent="0.25">
      <c r="B102" s="29" t="s">
        <v>249</v>
      </c>
      <c r="C102" s="7" t="s">
        <v>114</v>
      </c>
      <c r="D102" s="7"/>
      <c r="E102" s="24">
        <f t="shared" si="5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111</v>
      </c>
      <c r="K102" s="48">
        <v>23.33</v>
      </c>
    </row>
    <row r="103" spans="1:11" s="4" customFormat="1" ht="15.95" hidden="1" customHeight="1" x14ac:dyDescent="0.25">
      <c r="B103" s="29" t="s">
        <v>249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12.86</v>
      </c>
    </row>
    <row r="104" spans="1:11" s="4" customFormat="1" ht="15.95" hidden="1" customHeight="1" x14ac:dyDescent="0.25">
      <c r="B104" s="29" t="s">
        <v>249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11.9</v>
      </c>
    </row>
    <row r="105" spans="1:11" s="4" customFormat="1" ht="15.95" hidden="1" customHeight="1" x14ac:dyDescent="0.25">
      <c r="B105" s="29" t="s">
        <v>249</v>
      </c>
      <c r="C105" s="7" t="s">
        <v>118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9.52</v>
      </c>
    </row>
    <row r="106" spans="1:11" s="4" customFormat="1" ht="15.95" hidden="1" customHeight="1" x14ac:dyDescent="0.25">
      <c r="C106" s="7" t="s">
        <v>252</v>
      </c>
      <c r="D106" s="7"/>
      <c r="E106" s="24">
        <f t="shared" si="5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111</v>
      </c>
      <c r="K106" s="48">
        <v>15.48</v>
      </c>
    </row>
    <row r="107" spans="1:11" s="4" customFormat="1" ht="15.95" hidden="1" customHeight="1" x14ac:dyDescent="0.25">
      <c r="C107" s="7" t="s">
        <v>115</v>
      </c>
      <c r="D107" s="7"/>
      <c r="E107" s="24">
        <f t="shared" si="5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111</v>
      </c>
      <c r="K107" s="48">
        <v>16.07</v>
      </c>
    </row>
    <row r="108" spans="1:11" s="4" customFormat="1" ht="15.95" hidden="1" customHeight="1" x14ac:dyDescent="0.25">
      <c r="C108" s="7" t="s">
        <v>119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166</v>
      </c>
      <c r="K108" s="48">
        <v>2142.86</v>
      </c>
    </row>
    <row r="109" spans="1:11" s="4" customFormat="1" ht="15.95" hidden="1" customHeight="1" x14ac:dyDescent="0.25">
      <c r="C109" s="7" t="s">
        <v>134</v>
      </c>
      <c r="D109" s="7"/>
      <c r="E109" s="24">
        <f t="shared" si="5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166</v>
      </c>
      <c r="K109" s="48">
        <v>11.9</v>
      </c>
    </row>
    <row r="110" spans="1:11" s="4" customFormat="1" ht="15.95" customHeight="1" x14ac:dyDescent="0.25">
      <c r="A110" s="21" t="s">
        <v>141</v>
      </c>
      <c r="B110" s="4" t="s">
        <v>279</v>
      </c>
      <c r="C110" s="26" t="s">
        <v>196</v>
      </c>
      <c r="D110" s="27">
        <f>SUM(E111:E132)</f>
        <v>4589.99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269</v>
      </c>
      <c r="D111" s="7"/>
      <c r="E111" s="8">
        <f t="shared" ref="E111:E132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262.86</v>
      </c>
    </row>
    <row r="112" spans="1:11" s="4" customFormat="1" ht="15.95" hidden="1" customHeight="1" x14ac:dyDescent="0.25">
      <c r="C112" s="7" t="s">
        <v>254</v>
      </c>
      <c r="D112" s="7"/>
      <c r="E112" s="8">
        <f t="shared" si="7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564.6</v>
      </c>
    </row>
    <row r="113" spans="2:11" s="4" customFormat="1" ht="15.95" hidden="1" customHeight="1" x14ac:dyDescent="0.25">
      <c r="C113" s="7" t="s">
        <v>272</v>
      </c>
      <c r="D113" s="7"/>
      <c r="E113" s="8">
        <f t="shared" ref="E113" si="8">I113*K113</f>
        <v>4304.28</v>
      </c>
      <c r="F113" s="8">
        <v>2.5</v>
      </c>
      <c r="G113" s="8">
        <v>0.7</v>
      </c>
      <c r="H113" s="8">
        <v>1</v>
      </c>
      <c r="I113" s="8">
        <v>12</v>
      </c>
      <c r="J113" s="10" t="s">
        <v>166</v>
      </c>
      <c r="K113" s="30">
        <v>358.69</v>
      </c>
    </row>
    <row r="114" spans="2:11" s="4" customFormat="1" ht="15.95" hidden="1" customHeight="1" x14ac:dyDescent="0.25">
      <c r="C114" s="7" t="s">
        <v>274</v>
      </c>
      <c r="D114" s="7"/>
      <c r="E114" s="8">
        <f t="shared" si="7"/>
        <v>285.70999999999998</v>
      </c>
      <c r="F114" s="8">
        <v>2</v>
      </c>
      <c r="G114" s="8">
        <v>0.5</v>
      </c>
      <c r="H114" s="8">
        <v>1</v>
      </c>
      <c r="I114" s="8">
        <v>1</v>
      </c>
      <c r="J114" s="10" t="s">
        <v>166</v>
      </c>
      <c r="K114" s="30">
        <v>285.70999999999998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7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302.29000000000002</v>
      </c>
    </row>
    <row r="116" spans="2:11" s="4" customFormat="1" ht="15.95" hidden="1" customHeight="1" x14ac:dyDescent="0.25">
      <c r="C116" s="7" t="s">
        <v>253</v>
      </c>
      <c r="D116" s="7"/>
      <c r="E116" s="8">
        <f t="shared" si="7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604.02</v>
      </c>
    </row>
    <row r="117" spans="2:11" s="4" customFormat="1" ht="15.95" hidden="1" customHeight="1" x14ac:dyDescent="0.25">
      <c r="C117" s="7" t="s">
        <v>256</v>
      </c>
      <c r="D117" s="7"/>
      <c r="E117" s="8">
        <f t="shared" si="7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423.86</v>
      </c>
    </row>
    <row r="118" spans="2:11" s="4" customFormat="1" ht="15.95" hidden="1" customHeight="1" x14ac:dyDescent="0.25">
      <c r="C118" s="7" t="s">
        <v>157</v>
      </c>
      <c r="D118" s="7"/>
      <c r="E118" s="8">
        <f t="shared" si="7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166</v>
      </c>
      <c r="K118" s="30">
        <v>595.24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7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166</v>
      </c>
      <c r="K119" s="30">
        <v>161.9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7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166</v>
      </c>
      <c r="K120" s="30">
        <v>190.48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7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166</v>
      </c>
      <c r="K121" s="30">
        <v>216.67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7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166</v>
      </c>
      <c r="K122" s="30">
        <v>154.76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7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177.98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7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260.12</v>
      </c>
    </row>
    <row r="125" spans="2:11" s="4" customFormat="1" ht="15.95" hidden="1" customHeight="1" x14ac:dyDescent="0.25">
      <c r="B125" s="29" t="s">
        <v>249</v>
      </c>
      <c r="C125" s="7" t="s">
        <v>120</v>
      </c>
      <c r="D125" s="7"/>
      <c r="E125" s="8">
        <f t="shared" si="7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166</v>
      </c>
      <c r="K125" s="30">
        <v>210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7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166</v>
      </c>
      <c r="K126" s="30">
        <v>223.81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7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166</v>
      </c>
      <c r="K127" s="30">
        <v>65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7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166</v>
      </c>
      <c r="K128" s="30">
        <v>35</v>
      </c>
    </row>
    <row r="129" spans="1:11" s="4" customFormat="1" ht="15.95" hidden="1" customHeight="1" x14ac:dyDescent="0.25">
      <c r="B129" s="29" t="s">
        <v>249</v>
      </c>
      <c r="C129" s="7" t="s">
        <v>55</v>
      </c>
      <c r="D129" s="7"/>
      <c r="E129" s="8">
        <f t="shared" si="7"/>
        <v>0</v>
      </c>
      <c r="F129" s="8"/>
      <c r="G129" s="8"/>
      <c r="H129" s="8"/>
      <c r="I129" s="8">
        <v>0</v>
      </c>
      <c r="J129" s="10" t="s">
        <v>166</v>
      </c>
      <c r="K129" s="30">
        <v>12</v>
      </c>
    </row>
    <row r="130" spans="1:11" s="4" customFormat="1" ht="15.95" hidden="1" customHeight="1" x14ac:dyDescent="0.25">
      <c r="C130" s="7" t="s">
        <v>130</v>
      </c>
      <c r="D130" s="7"/>
      <c r="E130" s="8">
        <f t="shared" si="7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111</v>
      </c>
      <c r="K130" s="30">
        <v>21.9</v>
      </c>
    </row>
    <row r="131" spans="1:11" s="4" customFormat="1" ht="15.95" hidden="1" customHeight="1" x14ac:dyDescent="0.25">
      <c r="C131" s="7" t="s">
        <v>203</v>
      </c>
      <c r="D131" s="7"/>
      <c r="E131" s="8">
        <f t="shared" si="7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166</v>
      </c>
      <c r="K131" s="30">
        <v>177.98</v>
      </c>
    </row>
    <row r="132" spans="1:11" s="4" customFormat="1" ht="15.95" hidden="1" customHeight="1" x14ac:dyDescent="0.25">
      <c r="C132" s="7" t="s">
        <v>178</v>
      </c>
      <c r="D132" s="7"/>
      <c r="E132" s="8">
        <f t="shared" si="7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166</v>
      </c>
      <c r="K132" s="30">
        <v>383.33</v>
      </c>
    </row>
    <row r="133" spans="1:11" s="4" customFormat="1" ht="15.95" customHeight="1" x14ac:dyDescent="0.25">
      <c r="A133" s="21" t="s">
        <v>143</v>
      </c>
      <c r="B133" s="4" t="s">
        <v>280</v>
      </c>
      <c r="C133" s="26" t="s">
        <v>204</v>
      </c>
      <c r="D133" s="27">
        <f>SUM(E134:E143)</f>
        <v>70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249</v>
      </c>
      <c r="C134" s="7" t="s">
        <v>49</v>
      </c>
      <c r="D134" s="7"/>
      <c r="E134" s="8">
        <f t="shared" ref="E134:E143" si="9">I134*K134</f>
        <v>70</v>
      </c>
      <c r="F134" s="12"/>
      <c r="G134" s="12"/>
      <c r="H134" s="12"/>
      <c r="I134" s="8">
        <v>2</v>
      </c>
      <c r="J134" s="10" t="s">
        <v>166</v>
      </c>
      <c r="K134" s="30">
        <v>35</v>
      </c>
    </row>
    <row r="135" spans="1:11" s="4" customFormat="1" ht="15.95" hidden="1" customHeight="1" x14ac:dyDescent="0.25">
      <c r="B135" s="29" t="s">
        <v>249</v>
      </c>
      <c r="C135" s="7" t="s">
        <v>50</v>
      </c>
      <c r="D135" s="7"/>
      <c r="E135" s="8">
        <f t="shared" si="9"/>
        <v>0</v>
      </c>
      <c r="F135" s="8"/>
      <c r="G135" s="8"/>
      <c r="H135" s="8"/>
      <c r="I135" s="8">
        <v>0</v>
      </c>
      <c r="J135" s="10" t="s">
        <v>166</v>
      </c>
      <c r="K135" s="30">
        <v>50</v>
      </c>
    </row>
    <row r="136" spans="1:11" s="4" customFormat="1" ht="15.95" hidden="1" customHeight="1" x14ac:dyDescent="0.25">
      <c r="B136" s="29" t="s">
        <v>249</v>
      </c>
      <c r="C136" s="7" t="s">
        <v>270</v>
      </c>
      <c r="D136" s="7"/>
      <c r="E136" s="8">
        <f t="shared" si="9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166</v>
      </c>
      <c r="K136" s="30">
        <v>119.05</v>
      </c>
    </row>
    <row r="137" spans="1:11" s="4" customFormat="1" ht="15.95" hidden="1" customHeight="1" x14ac:dyDescent="0.25">
      <c r="C137" s="7" t="s">
        <v>122</v>
      </c>
      <c r="D137" s="7"/>
      <c r="E137" s="8">
        <f t="shared" si="9"/>
        <v>0</v>
      </c>
      <c r="F137" s="8">
        <v>1</v>
      </c>
      <c r="G137" s="8">
        <v>1</v>
      </c>
      <c r="H137" s="8"/>
      <c r="I137" s="8">
        <v>0</v>
      </c>
      <c r="J137" s="10" t="s">
        <v>111</v>
      </c>
      <c r="K137" s="30">
        <v>28.57</v>
      </c>
    </row>
    <row r="138" spans="1:11" s="4" customFormat="1" ht="15.95" hidden="1" customHeight="1" x14ac:dyDescent="0.25">
      <c r="C138" s="7" t="s">
        <v>74</v>
      </c>
      <c r="D138" s="7"/>
      <c r="E138" s="8">
        <f t="shared" si="9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166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9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166</v>
      </c>
      <c r="K139" s="30">
        <v>136.9</v>
      </c>
    </row>
    <row r="140" spans="1:11" s="4" customFormat="1" ht="15.95" hidden="1" customHeight="1" x14ac:dyDescent="0.25">
      <c r="C140" s="7" t="s">
        <v>171</v>
      </c>
      <c r="D140" s="7"/>
      <c r="E140" s="8">
        <f t="shared" si="9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111</v>
      </c>
      <c r="K140" s="30">
        <v>22.62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9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83.33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9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32.14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38.1</v>
      </c>
    </row>
    <row r="144" spans="1:11" s="4" customFormat="1" ht="15.95" customHeight="1" x14ac:dyDescent="0.25">
      <c r="A144" s="21" t="s">
        <v>142</v>
      </c>
      <c r="B144" s="4" t="s">
        <v>281</v>
      </c>
      <c r="C144" s="26" t="s">
        <v>205</v>
      </c>
      <c r="D144" s="27">
        <f>SUM(E145:E151)</f>
        <v>200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268</v>
      </c>
      <c r="D145" s="7"/>
      <c r="E145" s="8">
        <f t="shared" ref="E145:E151" si="10">I145*K145</f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166</v>
      </c>
      <c r="K145" s="30">
        <v>109.52</v>
      </c>
    </row>
    <row r="146" spans="2:11" s="4" customFormat="1" ht="15.95" hidden="1" customHeight="1" x14ac:dyDescent="0.25">
      <c r="C146" s="7" t="s">
        <v>86</v>
      </c>
      <c r="D146" s="7"/>
      <c r="E146" s="8">
        <f t="shared" si="10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166</v>
      </c>
      <c r="K146" s="30">
        <v>219.05</v>
      </c>
    </row>
    <row r="147" spans="2:11" s="4" customFormat="1" ht="15.95" hidden="1" customHeight="1" x14ac:dyDescent="0.25">
      <c r="C147" s="7" t="s">
        <v>180</v>
      </c>
      <c r="D147" s="7"/>
      <c r="E147" s="8">
        <f t="shared" si="10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3</v>
      </c>
    </row>
    <row r="148" spans="2:11" s="4" customFormat="1" ht="15.95" hidden="1" customHeight="1" x14ac:dyDescent="0.25">
      <c r="C148" s="7" t="s">
        <v>53</v>
      </c>
      <c r="D148" s="7"/>
      <c r="E148" s="8">
        <f t="shared" si="10"/>
        <v>200</v>
      </c>
      <c r="F148" s="8">
        <v>0</v>
      </c>
      <c r="G148" s="8">
        <v>0</v>
      </c>
      <c r="H148" s="8">
        <v>0</v>
      </c>
      <c r="I148" s="8">
        <v>4</v>
      </c>
      <c r="J148" s="10" t="s">
        <v>166</v>
      </c>
      <c r="K148" s="30">
        <v>50</v>
      </c>
    </row>
    <row r="149" spans="2:11" s="4" customFormat="1" ht="15.95" hidden="1" customHeight="1" x14ac:dyDescent="0.25">
      <c r="B149" s="29" t="s">
        <v>249</v>
      </c>
      <c r="C149" s="7" t="s">
        <v>72</v>
      </c>
      <c r="D149" s="7"/>
      <c r="E149" s="8">
        <f t="shared" si="10"/>
        <v>0</v>
      </c>
      <c r="F149" s="8">
        <v>0.5</v>
      </c>
      <c r="G149" s="8">
        <v>0.5</v>
      </c>
      <c r="H149" s="8"/>
      <c r="I149" s="8">
        <v>0</v>
      </c>
      <c r="J149" s="10" t="s">
        <v>111</v>
      </c>
      <c r="K149" s="30">
        <v>25</v>
      </c>
    </row>
    <row r="150" spans="2:11" s="4" customFormat="1" ht="15.95" hidden="1" customHeight="1" x14ac:dyDescent="0.25">
      <c r="C150" s="7" t="s">
        <v>91</v>
      </c>
      <c r="D150" s="7"/>
      <c r="E150" s="8">
        <f t="shared" si="10"/>
        <v>0</v>
      </c>
      <c r="F150" s="8"/>
      <c r="G150" s="8"/>
      <c r="H150" s="8"/>
      <c r="I150" s="8">
        <v>0</v>
      </c>
      <c r="J150" s="10" t="s">
        <v>166</v>
      </c>
      <c r="K150" s="30">
        <v>25</v>
      </c>
    </row>
    <row r="151" spans="2:11" s="4" customFormat="1" ht="15.95" hidden="1" customHeight="1" x14ac:dyDescent="0.25">
      <c r="C151" s="7" t="s">
        <v>248</v>
      </c>
      <c r="D151" s="7"/>
      <c r="E151" s="8">
        <f t="shared" si="10"/>
        <v>0</v>
      </c>
      <c r="F151" s="8"/>
      <c r="G151" s="8"/>
      <c r="H151" s="8"/>
      <c r="I151" s="8">
        <v>0</v>
      </c>
      <c r="J151" s="10" t="s">
        <v>166</v>
      </c>
      <c r="K151" s="30">
        <v>20</v>
      </c>
    </row>
    <row r="152" spans="2:11" s="4" customFormat="1" ht="15.95" customHeight="1" x14ac:dyDescent="0.25">
      <c r="C152" s="26" t="s">
        <v>132</v>
      </c>
      <c r="D152" s="27">
        <f>SUM(E153:E165)</f>
        <v>2283.2800000000002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249</v>
      </c>
      <c r="C153" s="7" t="s">
        <v>19</v>
      </c>
      <c r="D153" s="7"/>
      <c r="E153" s="8">
        <f t="shared" ref="E153:E165" si="11">I153*K153</f>
        <v>23.8</v>
      </c>
      <c r="F153" s="8"/>
      <c r="G153" s="8"/>
      <c r="H153" s="8"/>
      <c r="I153" s="8">
        <v>2</v>
      </c>
      <c r="J153" s="10" t="s">
        <v>166</v>
      </c>
      <c r="K153" s="30">
        <v>11.9</v>
      </c>
    </row>
    <row r="154" spans="2:11" s="4" customFormat="1" ht="15.95" hidden="1" customHeight="1" x14ac:dyDescent="0.25">
      <c r="B154" s="29" t="s">
        <v>249</v>
      </c>
      <c r="C154" s="7" t="s">
        <v>62</v>
      </c>
      <c r="D154" s="7"/>
      <c r="E154" s="8">
        <f t="shared" si="11"/>
        <v>0</v>
      </c>
      <c r="F154" s="8"/>
      <c r="G154" s="8"/>
      <c r="H154" s="8"/>
      <c r="I154" s="8">
        <v>0</v>
      </c>
      <c r="J154" s="10" t="s">
        <v>166</v>
      </c>
      <c r="K154" s="30">
        <v>50</v>
      </c>
    </row>
    <row r="155" spans="2:11" s="4" customFormat="1" ht="15.95" hidden="1" customHeight="1" x14ac:dyDescent="0.25">
      <c r="B155" s="29" t="s">
        <v>249</v>
      </c>
      <c r="C155" s="7" t="s">
        <v>63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166</v>
      </c>
      <c r="K155" s="30">
        <v>65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166</v>
      </c>
      <c r="K156" s="30">
        <v>23.81</v>
      </c>
    </row>
    <row r="157" spans="2:11" s="4" customFormat="1" ht="15.95" hidden="1" customHeight="1" x14ac:dyDescent="0.25">
      <c r="C157" s="7" t="s">
        <v>83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166</v>
      </c>
      <c r="K157" s="30">
        <v>14.29</v>
      </c>
    </row>
    <row r="158" spans="2:11" s="4" customFormat="1" ht="15.95" hidden="1" customHeight="1" x14ac:dyDescent="0.25">
      <c r="B158" s="29" t="s">
        <v>249</v>
      </c>
      <c r="C158" s="7" t="s">
        <v>64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B159" s="29" t="s">
        <v>249</v>
      </c>
      <c r="C159" s="7" t="s">
        <v>18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166</v>
      </c>
      <c r="K159" s="30">
        <v>10</v>
      </c>
    </row>
    <row r="160" spans="2:11" s="4" customFormat="1" ht="15.95" hidden="1" customHeight="1" x14ac:dyDescent="0.25">
      <c r="C160" s="7" t="s">
        <v>51</v>
      </c>
      <c r="D160" s="7"/>
      <c r="E160" s="8">
        <f t="shared" si="11"/>
        <v>150</v>
      </c>
      <c r="F160" s="12"/>
      <c r="G160" s="12"/>
      <c r="H160" s="12"/>
      <c r="I160" s="8">
        <v>30</v>
      </c>
      <c r="J160" s="10" t="s">
        <v>166</v>
      </c>
      <c r="K160" s="30">
        <v>5</v>
      </c>
    </row>
    <row r="161" spans="2:11" s="4" customFormat="1" ht="15.95" hidden="1" customHeight="1" x14ac:dyDescent="0.25">
      <c r="B161" s="29" t="s">
        <v>249</v>
      </c>
      <c r="C161" s="7" t="s">
        <v>17</v>
      </c>
      <c r="D161" s="7"/>
      <c r="E161" s="8">
        <f t="shared" si="11"/>
        <v>1190</v>
      </c>
      <c r="F161" s="8"/>
      <c r="G161" s="8"/>
      <c r="H161" s="8"/>
      <c r="I161" s="8">
        <v>100</v>
      </c>
      <c r="J161" s="10" t="s">
        <v>166</v>
      </c>
      <c r="K161" s="30">
        <v>11.9</v>
      </c>
    </row>
    <row r="162" spans="2:11" s="4" customFormat="1" ht="15.95" hidden="1" customHeight="1" x14ac:dyDescent="0.25">
      <c r="C162" s="7" t="s">
        <v>56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166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166</v>
      </c>
      <c r="K163" s="30">
        <v>2.38</v>
      </c>
    </row>
    <row r="164" spans="2:11" ht="15.95" hidden="1" customHeight="1" x14ac:dyDescent="0.25">
      <c r="C164" s="7" t="s">
        <v>188</v>
      </c>
      <c r="D164" s="7"/>
      <c r="E164" s="8">
        <f t="shared" si="11"/>
        <v>729</v>
      </c>
      <c r="F164" s="8"/>
      <c r="G164" s="8"/>
      <c r="H164" s="8"/>
      <c r="I164" s="8">
        <v>180</v>
      </c>
      <c r="J164" s="10" t="s">
        <v>150</v>
      </c>
      <c r="K164" s="30">
        <v>4.05</v>
      </c>
    </row>
    <row r="165" spans="2:11" s="4" customFormat="1" ht="15.95" hidden="1" customHeight="1" x14ac:dyDescent="0.25">
      <c r="C165" s="7" t="s">
        <v>158</v>
      </c>
      <c r="D165" s="7"/>
      <c r="E165" s="8">
        <f t="shared" si="11"/>
        <v>190.48</v>
      </c>
      <c r="F165" s="8"/>
      <c r="G165" s="8"/>
      <c r="H165" s="8"/>
      <c r="I165" s="8">
        <v>1</v>
      </c>
      <c r="J165" s="10" t="s">
        <v>166</v>
      </c>
      <c r="K165" s="30">
        <v>190.48</v>
      </c>
    </row>
    <row r="166" spans="2:11" s="4" customFormat="1" ht="15.95" customHeight="1" x14ac:dyDescent="0.25">
      <c r="C166" s="26" t="s">
        <v>206</v>
      </c>
      <c r="D166" s="27">
        <f>SUM(E167:E208)</f>
        <v>1754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2">I167*K167</f>
        <v>360</v>
      </c>
      <c r="F167" s="12"/>
      <c r="G167" s="12"/>
      <c r="H167" s="12"/>
      <c r="I167" s="8">
        <v>24</v>
      </c>
      <c r="J167" s="10" t="s">
        <v>166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2"/>
        <v>540</v>
      </c>
      <c r="F168" s="12"/>
      <c r="G168" s="12"/>
      <c r="H168" s="12"/>
      <c r="I168" s="8">
        <v>45</v>
      </c>
      <c r="J168" s="10" t="s">
        <v>166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2"/>
        <v>300</v>
      </c>
      <c r="F169" s="12"/>
      <c r="G169" s="12"/>
      <c r="H169" s="12"/>
      <c r="I169" s="8">
        <v>15</v>
      </c>
      <c r="J169" s="10" t="s">
        <v>166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2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81</v>
      </c>
      <c r="D171" s="7"/>
      <c r="E171" s="8">
        <f t="shared" si="12"/>
        <v>0</v>
      </c>
      <c r="F171" s="12"/>
      <c r="G171" s="12"/>
      <c r="H171" s="12"/>
      <c r="I171" s="8">
        <v>0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179</v>
      </c>
      <c r="D172" s="7"/>
      <c r="E172" s="8">
        <f t="shared" si="12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166</v>
      </c>
      <c r="K172" s="30">
        <v>385</v>
      </c>
    </row>
    <row r="173" spans="2:11" s="4" customFormat="1" ht="15.95" hidden="1" customHeight="1" x14ac:dyDescent="0.25">
      <c r="C173" s="7" t="s">
        <v>80</v>
      </c>
      <c r="D173" s="7"/>
      <c r="E173" s="8">
        <f t="shared" si="12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130</v>
      </c>
    </row>
    <row r="174" spans="2:11" s="4" customFormat="1" ht="15.95" hidden="1" customHeight="1" x14ac:dyDescent="0.25">
      <c r="C174" s="7" t="s">
        <v>79</v>
      </c>
      <c r="D174" s="7"/>
      <c r="E174" s="8">
        <f t="shared" si="12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2"/>
        <v>0</v>
      </c>
      <c r="F175" s="12"/>
      <c r="G175" s="12"/>
      <c r="H175" s="12"/>
      <c r="I175" s="8">
        <v>0</v>
      </c>
      <c r="J175" s="10" t="s">
        <v>166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2"/>
        <v>0</v>
      </c>
      <c r="F176" s="12"/>
      <c r="G176" s="12"/>
      <c r="H176" s="12"/>
      <c r="I176" s="8">
        <v>0</v>
      </c>
      <c r="J176" s="10" t="s">
        <v>166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166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166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2"/>
        <v>48</v>
      </c>
      <c r="F179" s="12"/>
      <c r="G179" s="12"/>
      <c r="H179" s="12"/>
      <c r="I179" s="8">
        <v>6</v>
      </c>
      <c r="J179" s="10" t="s">
        <v>166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166</v>
      </c>
      <c r="K180" s="30">
        <v>15</v>
      </c>
    </row>
    <row r="181" spans="3:11" s="4" customFormat="1" ht="15.95" hidden="1" customHeight="1" x14ac:dyDescent="0.25">
      <c r="C181" s="7" t="s">
        <v>190</v>
      </c>
      <c r="D181" s="7"/>
      <c r="E181" s="8">
        <f t="shared" si="12"/>
        <v>105</v>
      </c>
      <c r="F181" s="12"/>
      <c r="G181" s="12"/>
      <c r="H181" s="12"/>
      <c r="I181" s="8">
        <v>3</v>
      </c>
      <c r="J181" s="10" t="s">
        <v>166</v>
      </c>
      <c r="K181" s="30">
        <v>35</v>
      </c>
    </row>
    <row r="182" spans="3:11" s="4" customFormat="1" ht="15.95" hidden="1" customHeight="1" x14ac:dyDescent="0.25">
      <c r="C182" s="7" t="s">
        <v>61</v>
      </c>
      <c r="D182" s="7"/>
      <c r="E182" s="8">
        <f t="shared" si="12"/>
        <v>170</v>
      </c>
      <c r="F182" s="12"/>
      <c r="G182" s="12"/>
      <c r="H182" s="12"/>
      <c r="I182" s="8">
        <v>2</v>
      </c>
      <c r="J182" s="10" t="s">
        <v>166</v>
      </c>
      <c r="K182" s="30">
        <v>85</v>
      </c>
    </row>
    <row r="183" spans="3:11" s="4" customFormat="1" ht="15.95" hidden="1" customHeight="1" x14ac:dyDescent="0.25">
      <c r="C183" s="7" t="s">
        <v>58</v>
      </c>
      <c r="D183" s="7"/>
      <c r="E183" s="8">
        <f t="shared" si="12"/>
        <v>35</v>
      </c>
      <c r="F183" s="12"/>
      <c r="G183" s="12"/>
      <c r="H183" s="12"/>
      <c r="I183" s="8">
        <v>1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166</v>
      </c>
      <c r="K184" s="30">
        <v>25</v>
      </c>
    </row>
    <row r="185" spans="3:11" s="4" customFormat="1" ht="15.95" hidden="1" customHeight="1" x14ac:dyDescent="0.25">
      <c r="C185" s="7" t="s">
        <v>135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166</v>
      </c>
      <c r="K186" s="30">
        <v>12</v>
      </c>
    </row>
    <row r="187" spans="3:11" s="4" customFormat="1" ht="15.95" hidden="1" customHeight="1" x14ac:dyDescent="0.25">
      <c r="C187" s="7" t="s">
        <v>48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54</v>
      </c>
      <c r="D188" s="7"/>
      <c r="E188" s="8">
        <f t="shared" si="12"/>
        <v>150</v>
      </c>
      <c r="F188" s="12"/>
      <c r="G188" s="12"/>
      <c r="H188" s="12"/>
      <c r="I188" s="8">
        <v>1</v>
      </c>
      <c r="J188" s="10" t="s">
        <v>166</v>
      </c>
      <c r="K188" s="30">
        <v>150</v>
      </c>
    </row>
    <row r="189" spans="3:11" s="4" customFormat="1" ht="15.95" hidden="1" customHeight="1" x14ac:dyDescent="0.25">
      <c r="C189" s="7" t="s">
        <v>207</v>
      </c>
      <c r="D189" s="7"/>
      <c r="E189" s="8">
        <f t="shared" si="12"/>
        <v>30</v>
      </c>
      <c r="F189" s="8"/>
      <c r="G189" s="8"/>
      <c r="H189" s="8"/>
      <c r="I189" s="8">
        <v>2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159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166</v>
      </c>
      <c r="K191" s="30">
        <v>600</v>
      </c>
    </row>
    <row r="192" spans="3:11" s="4" customFormat="1" ht="15.95" hidden="1" customHeight="1" x14ac:dyDescent="0.25">
      <c r="C192" s="7" t="s">
        <v>209</v>
      </c>
      <c r="D192" s="7"/>
      <c r="E192" s="8">
        <f t="shared" si="12"/>
        <v>0</v>
      </c>
      <c r="F192" s="8"/>
      <c r="G192" s="8"/>
      <c r="H192" s="8"/>
      <c r="I192" s="8">
        <v>0</v>
      </c>
      <c r="J192" s="10" t="s">
        <v>166</v>
      </c>
      <c r="K192" s="30">
        <v>85</v>
      </c>
    </row>
    <row r="193" spans="2:11" s="4" customFormat="1" ht="15.95" hidden="1" customHeight="1" x14ac:dyDescent="0.25">
      <c r="C193" s="7" t="s">
        <v>257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166</v>
      </c>
      <c r="K193" s="30">
        <v>210</v>
      </c>
    </row>
    <row r="194" spans="2:11" s="4" customFormat="1" ht="15.95" hidden="1" customHeight="1" x14ac:dyDescent="0.25">
      <c r="C194" s="7" t="s">
        <v>87</v>
      </c>
      <c r="D194" s="7"/>
      <c r="E194" s="8">
        <f t="shared" si="12"/>
        <v>16</v>
      </c>
      <c r="F194" s="8"/>
      <c r="G194" s="8"/>
      <c r="H194" s="8"/>
      <c r="I194" s="8">
        <v>2</v>
      </c>
      <c r="J194" s="10" t="s">
        <v>166</v>
      </c>
      <c r="K194" s="30">
        <v>8</v>
      </c>
    </row>
    <row r="195" spans="2:11" s="4" customFormat="1" ht="15.95" hidden="1" customHeight="1" x14ac:dyDescent="0.25">
      <c r="C195" s="7" t="s">
        <v>73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84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B197" s="29" t="s">
        <v>249</v>
      </c>
      <c r="C197" s="7" t="s">
        <v>85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166</v>
      </c>
      <c r="K197" s="30">
        <v>25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166</v>
      </c>
      <c r="K198" s="30">
        <v>85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90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166</v>
      </c>
      <c r="K200" s="30">
        <v>5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12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94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166</v>
      </c>
      <c r="K203" s="30">
        <v>20</v>
      </c>
    </row>
    <row r="204" spans="2:11" s="4" customFormat="1" ht="15.95" hidden="1" customHeight="1" x14ac:dyDescent="0.25">
      <c r="C204" s="7" t="s">
        <v>121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6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166</v>
      </c>
      <c r="K205" s="30">
        <v>3</v>
      </c>
    </row>
    <row r="206" spans="2:11" s="4" customFormat="1" ht="15.95" hidden="1" customHeight="1" x14ac:dyDescent="0.25">
      <c r="C206" s="7" t="s">
        <v>124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166</v>
      </c>
      <c r="K206" s="30">
        <v>35</v>
      </c>
    </row>
    <row r="207" spans="2:11" s="4" customFormat="1" ht="15.95" hidden="1" customHeight="1" x14ac:dyDescent="0.25">
      <c r="C207" s="7" t="s">
        <v>247</v>
      </c>
      <c r="D207" s="7"/>
      <c r="E207" s="8">
        <f t="shared" si="12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246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166</v>
      </c>
      <c r="K208" s="30">
        <v>85</v>
      </c>
    </row>
    <row r="209" spans="3:11" s="4" customFormat="1" ht="15.95" customHeight="1" x14ac:dyDescent="0.25">
      <c r="C209" s="26" t="s">
        <v>183</v>
      </c>
      <c r="D209" s="27">
        <f>SUM(E210:E220)</f>
        <v>1402.62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244</v>
      </c>
      <c r="D210" s="7"/>
      <c r="E210" s="8">
        <f t="shared" ref="E210:E220" si="13">I210*K210</f>
        <v>0</v>
      </c>
      <c r="F210" s="8">
        <v>1</v>
      </c>
      <c r="G210" s="8">
        <v>1</v>
      </c>
      <c r="H210" s="12"/>
      <c r="I210" s="8">
        <v>0</v>
      </c>
      <c r="J210" s="10" t="s">
        <v>111</v>
      </c>
      <c r="K210" s="30">
        <v>10.71</v>
      </c>
    </row>
    <row r="211" spans="3:11" s="4" customFormat="1" ht="15.95" hidden="1" customHeight="1" x14ac:dyDescent="0.25">
      <c r="C211" s="7" t="s">
        <v>243</v>
      </c>
      <c r="D211" s="7"/>
      <c r="E211" s="8">
        <f t="shared" si="13"/>
        <v>433.44</v>
      </c>
      <c r="F211" s="8">
        <v>1</v>
      </c>
      <c r="G211" s="8">
        <v>1</v>
      </c>
      <c r="H211" s="12"/>
      <c r="I211" s="8">
        <v>28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3"/>
        <v>201.24</v>
      </c>
      <c r="F212" s="8">
        <v>1</v>
      </c>
      <c r="G212" s="8">
        <v>1</v>
      </c>
      <c r="H212" s="12"/>
      <c r="I212" s="8">
        <v>13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191</v>
      </c>
      <c r="D213" s="7"/>
      <c r="E213" s="8">
        <f t="shared" si="13"/>
        <v>196.5</v>
      </c>
      <c r="F213" s="8">
        <v>1</v>
      </c>
      <c r="G213" s="8">
        <v>1</v>
      </c>
      <c r="H213" s="12"/>
      <c r="I213" s="8">
        <v>15</v>
      </c>
      <c r="J213" s="10" t="s">
        <v>111</v>
      </c>
      <c r="K213" s="30">
        <v>13.1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3"/>
        <v>571.43999999999994</v>
      </c>
      <c r="F214" s="8">
        <v>1</v>
      </c>
      <c r="G214" s="8">
        <v>1</v>
      </c>
      <c r="H214" s="12"/>
      <c r="I214" s="8">
        <v>6</v>
      </c>
      <c r="J214" s="10" t="s">
        <v>111</v>
      </c>
      <c r="K214" s="30">
        <v>95.24</v>
      </c>
    </row>
    <row r="215" spans="3:11" s="4" customFormat="1" ht="15.95" hidden="1" customHeight="1" x14ac:dyDescent="0.25">
      <c r="C215" s="7" t="s">
        <v>259</v>
      </c>
      <c r="D215" s="7"/>
      <c r="E215" s="8">
        <f t="shared" si="13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47.62</v>
      </c>
    </row>
    <row r="216" spans="3:11" s="4" customFormat="1" ht="15.95" hidden="1" customHeight="1" x14ac:dyDescent="0.25">
      <c r="C216" s="7" t="s">
        <v>71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35.71</v>
      </c>
    </row>
    <row r="217" spans="3:11" s="4" customFormat="1" ht="15.95" hidden="1" customHeight="1" x14ac:dyDescent="0.25">
      <c r="C217" s="7" t="s">
        <v>122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28.57</v>
      </c>
    </row>
    <row r="218" spans="3:11" s="4" customFormat="1" ht="15.95" hidden="1" customHeight="1" x14ac:dyDescent="0.25">
      <c r="C218" s="7" t="s">
        <v>52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245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10.71</v>
      </c>
    </row>
    <row r="221" spans="3:11" s="4" customFormat="1" ht="15.95" customHeight="1" x14ac:dyDescent="0.25">
      <c r="C221" s="26" t="s">
        <v>182</v>
      </c>
      <c r="D221" s="27">
        <f>SUM(E222:E260)</f>
        <v>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4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166</v>
      </c>
      <c r="K222" s="30">
        <v>320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4"/>
        <v>0</v>
      </c>
      <c r="F223" s="8"/>
      <c r="G223" s="8"/>
      <c r="H223" s="8"/>
      <c r="I223" s="8">
        <v>0</v>
      </c>
      <c r="J223" s="10" t="s">
        <v>166</v>
      </c>
      <c r="K223" s="30">
        <v>210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166</v>
      </c>
      <c r="K226" s="30">
        <v>110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310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160</v>
      </c>
    </row>
    <row r="229" spans="3:11" s="4" customFormat="1" ht="15.95" hidden="1" customHeight="1" x14ac:dyDescent="0.25">
      <c r="C229" s="7" t="s">
        <v>59</v>
      </c>
      <c r="D229" s="7"/>
      <c r="E229" s="8">
        <f t="shared" si="14"/>
        <v>0</v>
      </c>
      <c r="F229" s="12"/>
      <c r="G229" s="12"/>
      <c r="H229" s="12"/>
      <c r="I229" s="8">
        <v>0</v>
      </c>
      <c r="J229" s="10" t="s">
        <v>166</v>
      </c>
      <c r="K229" s="30">
        <v>10</v>
      </c>
    </row>
    <row r="230" spans="3:11" s="4" customFormat="1" ht="15.95" hidden="1" customHeight="1" x14ac:dyDescent="0.25">
      <c r="C230" s="7" t="s">
        <v>222</v>
      </c>
      <c r="D230" s="7"/>
      <c r="E230" s="8">
        <f t="shared" si="14"/>
        <v>0</v>
      </c>
      <c r="F230" s="12"/>
      <c r="G230" s="12"/>
      <c r="H230" s="12"/>
      <c r="I230" s="8">
        <v>0</v>
      </c>
      <c r="J230" s="10" t="s">
        <v>166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166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181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166</v>
      </c>
      <c r="K235" s="30">
        <v>250</v>
      </c>
    </row>
    <row r="236" spans="3:11" s="4" customFormat="1" ht="15.95" hidden="1" customHeight="1" x14ac:dyDescent="0.25">
      <c r="C236" s="7" t="s">
        <v>210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166</v>
      </c>
      <c r="K236" s="30">
        <v>390</v>
      </c>
    </row>
    <row r="237" spans="3:11" s="4" customFormat="1" ht="15.95" hidden="1" customHeight="1" x14ac:dyDescent="0.25">
      <c r="C237" s="7" t="s">
        <v>236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166</v>
      </c>
      <c r="K237" s="30">
        <v>460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850</v>
      </c>
    </row>
    <row r="239" spans="3:11" s="4" customFormat="1" ht="15.95" hidden="1" customHeight="1" x14ac:dyDescent="0.25">
      <c r="C239" s="7" t="s">
        <v>187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166</v>
      </c>
      <c r="K239" s="30">
        <v>1400</v>
      </c>
    </row>
    <row r="240" spans="3:11" s="4" customFormat="1" ht="15.95" hidden="1" customHeight="1" x14ac:dyDescent="0.25">
      <c r="C240" s="7" t="s">
        <v>238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360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550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166</v>
      </c>
      <c r="K242" s="30">
        <v>580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680</v>
      </c>
    </row>
    <row r="244" spans="3:11" s="4" customFormat="1" ht="15.95" hidden="1" customHeight="1" x14ac:dyDescent="0.25">
      <c r="C244" s="7" t="s">
        <v>239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750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340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160</v>
      </c>
    </row>
    <row r="247" spans="3:11" s="4" customFormat="1" ht="15.95" hidden="1" customHeight="1" x14ac:dyDescent="0.25">
      <c r="C247" s="7" t="s">
        <v>237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227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223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400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260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180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120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220</v>
      </c>
    </row>
    <row r="254" spans="3:11" s="4" customFormat="1" ht="15.95" hidden="1" customHeight="1" x14ac:dyDescent="0.25">
      <c r="C254" s="7" t="s">
        <v>226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230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229</v>
      </c>
      <c r="K255" s="30">
        <v>500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224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219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166</v>
      </c>
      <c r="K258" s="30">
        <v>6500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166</v>
      </c>
      <c r="K259" s="30">
        <v>8800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166</v>
      </c>
      <c r="K260" s="30">
        <v>1050</v>
      </c>
    </row>
    <row r="261" spans="3:11" s="22" customFormat="1" ht="15.95" customHeight="1" x14ac:dyDescent="0.25">
      <c r="C261" s="32" t="s">
        <v>148</v>
      </c>
      <c r="D261" s="33">
        <f>SUM(E262)</f>
        <v>15000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15000</v>
      </c>
      <c r="F262" s="24"/>
      <c r="G262" s="24"/>
      <c r="H262" s="24"/>
      <c r="I262" s="24">
        <v>1</v>
      </c>
      <c r="J262" s="25" t="s">
        <v>166</v>
      </c>
      <c r="K262" s="48">
        <v>15000</v>
      </c>
    </row>
    <row r="263" spans="3:11" s="22" customFormat="1" ht="15.95" customHeight="1" x14ac:dyDescent="0.25">
      <c r="C263" s="32" t="s">
        <v>146</v>
      </c>
      <c r="D263" s="33">
        <f>SUM(E264)</f>
        <v>11400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11400</v>
      </c>
      <c r="F264" s="41"/>
      <c r="G264" s="41"/>
      <c r="H264" s="41"/>
      <c r="I264" s="24">
        <v>4</v>
      </c>
      <c r="J264" s="25" t="s">
        <v>149</v>
      </c>
      <c r="K264" s="48">
        <v>2850</v>
      </c>
    </row>
    <row r="265" spans="3:11" s="22" customFormat="1" ht="15.95" customHeight="1" x14ac:dyDescent="0.25">
      <c r="C265" s="32" t="s">
        <v>147</v>
      </c>
      <c r="D265" s="33">
        <f>SUM(E266)</f>
        <v>10000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10000</v>
      </c>
      <c r="F266" s="41"/>
      <c r="G266" s="41"/>
      <c r="H266" s="41"/>
      <c r="I266" s="24">
        <v>4</v>
      </c>
      <c r="J266" s="25" t="s">
        <v>166</v>
      </c>
      <c r="K266" s="48">
        <v>2500</v>
      </c>
    </row>
    <row r="267" spans="3:11" s="22" customFormat="1" ht="15.95" customHeight="1" x14ac:dyDescent="0.25">
      <c r="C267" s="32" t="s">
        <v>212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166</v>
      </c>
      <c r="K268" s="48">
        <v>1200</v>
      </c>
    </row>
    <row r="269" spans="3:11" s="22" customFormat="1" ht="15.95" customHeight="1" x14ac:dyDescent="0.25">
      <c r="C269" s="32" t="s">
        <v>264</v>
      </c>
      <c r="D269" s="33">
        <f>SUM(E270)</f>
        <v>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263</v>
      </c>
      <c r="D270" s="38"/>
      <c r="E270" s="39">
        <f>I270*K270</f>
        <v>0</v>
      </c>
      <c r="F270" s="41"/>
      <c r="G270" s="41"/>
      <c r="H270" s="41"/>
      <c r="I270" s="24">
        <v>0</v>
      </c>
      <c r="J270" s="25" t="s">
        <v>166</v>
      </c>
      <c r="K270" s="48">
        <v>0</v>
      </c>
    </row>
    <row r="271" spans="3:11" ht="15.95" customHeight="1" thickBot="1" x14ac:dyDescent="0.3">
      <c r="C271" s="18" t="s">
        <v>57</v>
      </c>
      <c r="D271" s="14">
        <f>SUM(D2:D270)</f>
        <v>59074.78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2025-11-14T12:05:02Z</dcterms:modified>
</cp:coreProperties>
</file>