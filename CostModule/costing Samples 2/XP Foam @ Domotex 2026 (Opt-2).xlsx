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XP Foam @ Domotex 2026\Option- 2\13-11-25\Standard Cost\"/>
    </mc:Choice>
  </mc:AlternateContent>
  <xr:revisionPtr revIDLastSave="0" documentId="13_ncr:1_{EA5DCA59-2151-46FE-90F5-4419E51257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8" i="1" l="1"/>
  <c r="E95" i="1"/>
  <c r="E96" i="1"/>
  <c r="E117" i="1"/>
  <c r="E116" i="1"/>
  <c r="E139" i="1" l="1"/>
  <c r="E272" i="1" l="1"/>
  <c r="D271" i="1" s="1"/>
  <c r="E80" i="1" l="1"/>
  <c r="E79" i="1"/>
  <c r="E89" i="1" l="1"/>
  <c r="E90" i="1"/>
  <c r="E91" i="1"/>
  <c r="E92" i="1"/>
  <c r="E93" i="1"/>
  <c r="E94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8" i="1" l="1"/>
  <c r="D87" i="1" s="1"/>
  <c r="E15" i="1" l="1"/>
  <c r="E83" i="1" l="1"/>
  <c r="E84" i="1"/>
  <c r="E85" i="1"/>
  <c r="E212" i="1" l="1"/>
  <c r="E136" i="1"/>
  <c r="E169" i="1"/>
  <c r="D168" i="1" s="1"/>
  <c r="D211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5" i="1" l="1"/>
  <c r="E147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1" i="1"/>
  <c r="E224" i="1"/>
  <c r="D223" i="1" s="1"/>
  <c r="D16" i="1" l="1"/>
  <c r="D154" i="1"/>
  <c r="D135" i="1"/>
  <c r="D146" i="1"/>
  <c r="D110" i="1"/>
  <c r="D273" i="1" l="1"/>
</calcChain>
</file>

<file path=xl/sharedStrings.xml><?xml version="1.0" encoding="utf-8"?>
<sst xmlns="http://schemas.openxmlformats.org/spreadsheetml/2006/main" count="586" uniqueCount="286">
  <si>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</si>
  <si>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</si>
  <si>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</si>
  <si>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</si>
  <si>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</si>
  <si>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</si>
  <si>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</si>
  <si>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</si>
  <si>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</si>
  <si>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</si>
  <si>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</si>
  <si>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</si>
  <si>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</si>
  <si>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</si>
  <si>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</si>
  <si>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</si>
  <si>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</si>
  <si>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</si>
  <si>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</si>
  <si>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</si>
  <si>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</si>
  <si>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</si>
  <si>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</si>
  <si>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</si>
  <si>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</si>
  <si>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</si>
  <si>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</si>
  <si>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</si>
  <si>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</si>
  <si>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</si>
  <si>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</si>
  <si>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</si>
  <si>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</si>
  <si>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</si>
  <si>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</si>
  <si>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</si>
  <si>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</si>
  <si>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</si>
  <si>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</si>
  <si>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</si>
  <si>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</si>
  <si>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</si>
  <si>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</si>
  <si>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</si>
  <si>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</si>
  <si>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</si>
  <si>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</si>
  <si>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</si>
  <si>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</si>
  <si>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</si>
  <si>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</si>
  <si>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</si>
  <si>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</si>
  <si>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</si>
  <si>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</si>
  <si>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</si>
  <si>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</si>
  <si>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</si>
  <si>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</si>
  <si>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</si>
  <si>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</si>
  <si>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</si>
  <si>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</si>
  <si>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</si>
  <si>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</si>
  <si>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</si>
  <si>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</si>
  <si>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</si>
  <si>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</si>
  <si>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</si>
  <si>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</si>
  <si>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</si>
  <si>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</si>
  <si>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</si>
  <si>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</si>
  <si>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</si>
  <si>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</si>
  <si>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</si>
  <si>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</si>
  <si>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</si>
  <si>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</si>
  <si>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</si>
  <si>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</si>
  <si>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</si>
  <si>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</si>
  <si>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</si>
  <si>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</si>
  <si>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</si>
  <si>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</si>
  <si>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</si>
  <si>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</si>
  <si>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</si>
  <si>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</si>
  <si>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</si>
  <si>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</si>
  <si>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</si>
  <si>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</si>
  <si>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</si>
  <si>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</si>
  <si>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</si>
  <si>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</si>
  <si>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</si>
  <si>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</si>
  <si>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</si>
  <si>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</si>
  <si>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</si>
  <si>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</si>
  <si>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</si>
  <si>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</si>
  <si>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</si>
  <si>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</si>
  <si>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</si>
  <si>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</si>
  <si>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</si>
  <si>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</si>
  <si>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</si>
  <si>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</si>
  <si>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</si>
  <si>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</si>
  <si>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</si>
  <si>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</si>
  <si>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</si>
  <si>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</si>
  <si>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</si>
  <si>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</si>
  <si>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</si>
  <si>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</si>
  <si>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</si>
  <si>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</si>
  <si>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</si>
  <si>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</si>
  <si>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</si>
  <si>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</si>
  <si>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</si>
  <si>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</si>
  <si>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</si>
  <si>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</si>
  <si>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</si>
  <si>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</si>
  <si>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</si>
  <si>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</si>
  <si>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</si>
  <si>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</si>
  <si>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</si>
  <si>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</si>
  <si>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</si>
  <si>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</si>
  <si>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</si>
  <si>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</si>
  <si>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</si>
  <si>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</si>
  <si>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</si>
  <si>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</si>
  <si>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</si>
  <si>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</si>
  <si>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</si>
  <si>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</si>
  <si>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</si>
  <si>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</si>
  <si>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</si>
  <si>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</si>
  <si>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</si>
  <si>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</si>
  <si>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</si>
  <si>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</si>
  <si>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</si>
  <si>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</si>
  <si>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</si>
  <si>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</si>
  <si>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</si>
  <si>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</si>
  <si>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</si>
  <si>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</si>
  <si>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</si>
  <si>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</si>
  <si>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</si>
  <si>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</si>
  <si>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</si>
  <si>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</si>
  <si>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</si>
  <si>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</si>
  <si>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</si>
  <si>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</si>
  <si>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</si>
  <si>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</si>
  <si>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</si>
  <si>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</si>
  <si>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</si>
  <si>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</si>
  <si>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</si>
  <si>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</si>
  <si>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</si>
  <si>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</si>
  <si>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</si>
  <si>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</si>
  <si>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</si>
  <si>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</si>
  <si>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</si>
  <si>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</si>
  <si>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</si>
  <si>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</si>
  <si>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</si>
  <si>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</si>
  <si>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</si>
  <si>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</si>
  <si>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</si>
  <si>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</si>
  <si>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</si>
  <si>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</si>
  <si>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</si>
  <si>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</si>
  <si>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</si>
  <si>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</si>
  <si>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</si>
  <si>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</si>
  <si>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</si>
  <si>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</si>
  <si>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</si>
  <si>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</si>
  <si>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</si>
  <si>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</si>
  <si>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</si>
  <si>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</si>
  <si>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</si>
  <si>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</si>
  <si>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</si>
  <si>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</si>
  <si>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</si>
  <si>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</si>
  <si>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</si>
  <si>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</si>
  <si>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</si>
  <si>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</si>
  <si>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</si>
  <si>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</si>
  <si>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</si>
  <si>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</si>
  <si>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</si>
  <si>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</si>
  <si>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</si>
  <si>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</si>
  <si>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</si>
  <si>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</si>
  <si>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</si>
  <si>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</si>
  <si>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</si>
  <si>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</si>
  <si>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</si>
  <si>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</si>
  <si>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</si>
  <si>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</si>
  <si>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</si>
  <si>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</si>
  <si>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</si>
  <si>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</si>
  <si>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</si>
  <si>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</si>
  <si>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</si>
  <si>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</si>
  <si>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</si>
  <si>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</si>
  <si>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</si>
  <si>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</si>
  <si>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</si>
  <si>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</si>
  <si>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</si>
  <si>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</si>
  <si>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</si>
  <si>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</si>
  <si>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Table (Laminated)-  1.3 x 0.6 x 1.0</t>
  </si>
  <si>
    <t>Bar Counter (Laminated) 4.0 x 0.5 x 1.0</t>
  </si>
  <si>
    <t xml:space="preserve">COFFEE TABLE </t>
  </si>
  <si>
    <t>Wooden Hanging (14m x 1m H)</t>
  </si>
  <si>
    <t>Wooden Backlit Ring hanging</t>
  </si>
  <si>
    <t>Display Stand (Laminated)-  1.2 x 0.5 x 1.0</t>
  </si>
  <si>
    <t xml:space="preserve">ARTIFICIAL GRASS </t>
  </si>
  <si>
    <t>Cabinate (Laminated)-  1.2 x 0.5 x 1.0</t>
  </si>
  <si>
    <t>Opt Nr:-  1</t>
  </si>
  <si>
    <t>XP FOAM</t>
  </si>
  <si>
    <t>DOMOTEX 2026</t>
  </si>
  <si>
    <t>9M X 7M</t>
  </si>
  <si>
    <t>63 SQM</t>
  </si>
  <si>
    <t>4M</t>
  </si>
  <si>
    <t>19-22 JAN, 2025</t>
  </si>
  <si>
    <t>HANNOVER</t>
  </si>
  <si>
    <t>Date:- 13-11-2025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</si>
</sst>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1057275</xdr:colOff>
      <xdr:row>272</xdr:row>
      <xdr:rowOff>126238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C200E7-D480-4D92-A37D-D4B2C9CF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926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" activeCellId="1" sqref="D224:D271 D2:D22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285</v>
      </c>
      <c r="C1" s="19" t="s">
        <v>46</v>
      </c>
      <c r="D1" s="19" t="s">
        <v>129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264</v>
      </c>
    </row>
    <row r="2" spans="1:11" s="4" customFormat="1" ht="15.95" customHeight="1" x14ac:dyDescent="0.25">
      <c r="A2" s="21" t="s">
        <v>138</v>
      </c>
      <c r="B2" s="4" t="s">
        <v>278</v>
      </c>
      <c r="C2" s="26" t="s">
        <v>149</v>
      </c>
      <c r="D2" s="27">
        <f>SUM(E3:E11)</f>
        <v>2516.7000000000003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163</v>
      </c>
      <c r="K4" s="30">
        <v>9.52</v>
      </c>
    </row>
    <row r="5" spans="1:11" ht="15.95" hidden="1" customHeight="1" x14ac:dyDescent="0.25">
      <c r="C5" s="7" t="s">
        <v>170</v>
      </c>
      <c r="D5" s="7"/>
      <c r="E5" s="8">
        <f t="shared" si="0"/>
        <v>943.14</v>
      </c>
      <c r="F5" s="8"/>
      <c r="G5" s="8"/>
      <c r="H5" s="8"/>
      <c r="I5" s="9">
        <v>66</v>
      </c>
      <c r="J5" s="10" t="s">
        <v>163</v>
      </c>
      <c r="K5" s="30">
        <v>14.29</v>
      </c>
    </row>
    <row r="6" spans="1:11" ht="15.95" hidden="1" customHeight="1" x14ac:dyDescent="0.25">
      <c r="C6" s="7" t="s">
        <v>159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163</v>
      </c>
      <c r="K6" s="30">
        <v>28.1</v>
      </c>
    </row>
    <row r="7" spans="1:11" ht="15.95" hidden="1" customHeight="1" x14ac:dyDescent="0.25">
      <c r="B7" s="29" t="s">
        <v>247</v>
      </c>
      <c r="C7" s="7" t="s">
        <v>150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163</v>
      </c>
      <c r="K7" s="30">
        <v>10</v>
      </c>
    </row>
    <row r="8" spans="1:11" ht="15.95" hidden="1" customHeight="1" x14ac:dyDescent="0.25">
      <c r="B8" s="29" t="s">
        <v>247</v>
      </c>
      <c r="C8" s="7" t="s">
        <v>165</v>
      </c>
      <c r="D8" s="7"/>
      <c r="E8" s="8">
        <f t="shared" si="0"/>
        <v>1508.76</v>
      </c>
      <c r="F8" s="8"/>
      <c r="G8" s="8"/>
      <c r="H8" s="8"/>
      <c r="I8" s="9">
        <v>66</v>
      </c>
      <c r="J8" s="10" t="s">
        <v>163</v>
      </c>
      <c r="K8" s="30">
        <v>22.86</v>
      </c>
    </row>
    <row r="9" spans="1:11" ht="15.95" hidden="1" customHeight="1" x14ac:dyDescent="0.25">
      <c r="C9" s="7" t="s">
        <v>151</v>
      </c>
      <c r="D9" s="7"/>
      <c r="E9" s="8">
        <f t="shared" si="0"/>
        <v>64.8</v>
      </c>
      <c r="F9" s="8"/>
      <c r="G9" s="8"/>
      <c r="H9" s="8"/>
      <c r="I9" s="9">
        <v>16</v>
      </c>
      <c r="J9" s="10" t="s">
        <v>148</v>
      </c>
      <c r="K9" s="30">
        <v>4.05</v>
      </c>
    </row>
    <row r="10" spans="1:11" ht="15.95" hidden="1" customHeight="1" x14ac:dyDescent="0.25">
      <c r="C10" s="7" t="s">
        <v>110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163</v>
      </c>
      <c r="K10" s="30">
        <v>28.57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163</v>
      </c>
      <c r="K11" s="30">
        <v>22.62</v>
      </c>
    </row>
    <row r="12" spans="1:11" s="4" customFormat="1" ht="15.95" customHeight="1" x14ac:dyDescent="0.25">
      <c r="A12" s="21" t="s">
        <v>137</v>
      </c>
      <c r="B12" s="4" t="s">
        <v>279</v>
      </c>
      <c r="C12" s="26" t="s">
        <v>192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183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164</v>
      </c>
      <c r="K13" s="30">
        <v>265</v>
      </c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164</v>
      </c>
      <c r="K14" s="30">
        <v>365</v>
      </c>
    </row>
    <row r="15" spans="1:11" ht="15.95" hidden="1" customHeight="1" x14ac:dyDescent="0.25">
      <c r="B15" s="13"/>
      <c r="C15" s="16" t="s">
        <v>187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164</v>
      </c>
      <c r="K15" s="30">
        <v>810</v>
      </c>
    </row>
    <row r="16" spans="1:11" s="4" customFormat="1" ht="15.95" customHeight="1" x14ac:dyDescent="0.25">
      <c r="A16" s="21" t="s">
        <v>142</v>
      </c>
      <c r="B16" s="4" t="s">
        <v>284</v>
      </c>
      <c r="C16" s="26" t="s">
        <v>182</v>
      </c>
      <c r="D16" s="27">
        <f>SUM(E17:E86)</f>
        <v>2354.65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247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152</v>
      </c>
      <c r="K17" s="30">
        <v>52.86</v>
      </c>
    </row>
    <row r="18" spans="2:11" ht="15.95" hidden="1" customHeight="1" x14ac:dyDescent="0.25">
      <c r="B18" s="29"/>
      <c r="C18" s="7" t="s">
        <v>41</v>
      </c>
      <c r="D18" s="7"/>
      <c r="E18" s="8">
        <f t="shared" si="1"/>
        <v>210</v>
      </c>
      <c r="F18" s="8">
        <v>1</v>
      </c>
      <c r="G18" s="8">
        <v>0.1</v>
      </c>
      <c r="H18" s="8">
        <v>2.5</v>
      </c>
      <c r="I18" s="9">
        <v>3</v>
      </c>
      <c r="J18" s="10" t="s">
        <v>152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152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152</v>
      </c>
      <c r="K20" s="30">
        <v>97.71</v>
      </c>
    </row>
    <row r="21" spans="2:11" ht="15.95" hidden="1" customHeight="1" x14ac:dyDescent="0.25">
      <c r="C21" s="7" t="s">
        <v>134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152</v>
      </c>
      <c r="K21" s="30">
        <v>214.29</v>
      </c>
    </row>
    <row r="22" spans="2:11" ht="15.95" hidden="1" customHeight="1" x14ac:dyDescent="0.25">
      <c r="C22" s="7" t="s">
        <v>135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152</v>
      </c>
      <c r="K22" s="30">
        <v>333.33</v>
      </c>
    </row>
    <row r="23" spans="2:11" ht="15.95" hidden="1" customHeight="1" x14ac:dyDescent="0.25">
      <c r="C23" s="7" t="s">
        <v>126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152</v>
      </c>
      <c r="K23" s="30">
        <v>99.52</v>
      </c>
    </row>
    <row r="24" spans="2:11" ht="15.95" hidden="1" customHeight="1" x14ac:dyDescent="0.25">
      <c r="C24" s="7" t="s">
        <v>127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199.05</v>
      </c>
    </row>
    <row r="25" spans="2:11" ht="15.95" hidden="1" customHeight="1" x14ac:dyDescent="0.25">
      <c r="B25" s="29" t="s">
        <v>247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152</v>
      </c>
      <c r="K25" s="30">
        <v>62.86</v>
      </c>
    </row>
    <row r="26" spans="2:11" ht="15.95" hidden="1" customHeight="1" x14ac:dyDescent="0.25">
      <c r="B26" s="29" t="s">
        <v>247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69.709999999999994</v>
      </c>
    </row>
    <row r="27" spans="2:11" ht="15.95" hidden="1" customHeight="1" x14ac:dyDescent="0.25">
      <c r="C27" s="7" t="s">
        <v>97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104.86</v>
      </c>
    </row>
    <row r="29" spans="2:11" ht="15.95" hidden="1" customHeight="1" x14ac:dyDescent="0.25">
      <c r="B29" s="29" t="s">
        <v>247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152</v>
      </c>
      <c r="K29" s="30">
        <v>71.430000000000007</v>
      </c>
    </row>
    <row r="30" spans="2:11" ht="15.95" hidden="1" customHeight="1" x14ac:dyDescent="0.25">
      <c r="B30" s="29" t="s">
        <v>247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152</v>
      </c>
      <c r="K30" s="30">
        <v>83.81</v>
      </c>
    </row>
    <row r="31" spans="2:11" ht="15.95" hidden="1" customHeight="1" x14ac:dyDescent="0.25">
      <c r="C31" s="7" t="s">
        <v>95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152</v>
      </c>
      <c r="K31" s="30">
        <v>98.57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123.81</v>
      </c>
    </row>
    <row r="33" spans="2:11" ht="15.95" hidden="1" customHeight="1" x14ac:dyDescent="0.25">
      <c r="B33" s="29" t="s">
        <v>247</v>
      </c>
      <c r="C33" s="7" t="s">
        <v>32</v>
      </c>
      <c r="D33" s="7"/>
      <c r="E33" s="8">
        <f t="shared" si="1"/>
        <v>1085.76</v>
      </c>
      <c r="F33" s="8">
        <v>1</v>
      </c>
      <c r="G33" s="8">
        <v>0.1</v>
      </c>
      <c r="H33" s="8">
        <v>4</v>
      </c>
      <c r="I33" s="9">
        <v>16</v>
      </c>
      <c r="J33" s="10" t="s">
        <v>152</v>
      </c>
      <c r="K33" s="30">
        <v>67.86</v>
      </c>
    </row>
    <row r="34" spans="2:11" ht="15.95" hidden="1" customHeight="1" x14ac:dyDescent="0.25">
      <c r="B34" s="29" t="s">
        <v>247</v>
      </c>
      <c r="C34" s="7" t="s">
        <v>31</v>
      </c>
      <c r="D34" s="7"/>
      <c r="E34" s="8">
        <f t="shared" si="1"/>
        <v>185.14</v>
      </c>
      <c r="F34" s="8">
        <v>1</v>
      </c>
      <c r="G34" s="8">
        <v>0.1</v>
      </c>
      <c r="H34" s="8">
        <v>4</v>
      </c>
      <c r="I34" s="9">
        <v>2</v>
      </c>
      <c r="J34" s="10" t="s">
        <v>152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152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146.29</v>
      </c>
    </row>
    <row r="37" spans="2:11" ht="15.95" hidden="1" customHeight="1" x14ac:dyDescent="0.25">
      <c r="C37" s="7" t="s">
        <v>73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152</v>
      </c>
      <c r="K37" s="30">
        <v>76.19</v>
      </c>
    </row>
    <row r="38" spans="2:11" ht="15.95" hidden="1" customHeight="1" x14ac:dyDescent="0.25">
      <c r="C38" s="7" t="s">
        <v>98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152</v>
      </c>
      <c r="K38" s="30">
        <v>104.76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152</v>
      </c>
      <c r="K39" s="30">
        <v>115.24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152</v>
      </c>
      <c r="K40" s="30">
        <v>160.47999999999999</v>
      </c>
    </row>
    <row r="41" spans="2:11" ht="15.95" hidden="1" customHeight="1" x14ac:dyDescent="0.25">
      <c r="B41" s="29" t="s">
        <v>247</v>
      </c>
      <c r="C41" s="7" t="s">
        <v>74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152</v>
      </c>
      <c r="K41" s="30">
        <v>77.38</v>
      </c>
    </row>
    <row r="42" spans="2:11" ht="15.95" hidden="1" customHeight="1" x14ac:dyDescent="0.25">
      <c r="B42" s="29" t="s">
        <v>247</v>
      </c>
      <c r="C42" s="7" t="s">
        <v>101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152</v>
      </c>
      <c r="K42" s="30">
        <v>110.71</v>
      </c>
    </row>
    <row r="43" spans="2:11" ht="15.95" hidden="1" customHeight="1" x14ac:dyDescent="0.25">
      <c r="C43" s="7" t="s">
        <v>75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152</v>
      </c>
      <c r="K43" s="30">
        <v>128.57</v>
      </c>
    </row>
    <row r="44" spans="2:11" ht="15.95" hidden="1" customHeight="1" x14ac:dyDescent="0.25">
      <c r="C44" s="7" t="s">
        <v>102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152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152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152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152</v>
      </c>
      <c r="K48" s="30">
        <v>193.14</v>
      </c>
    </row>
    <row r="49" spans="2:11" ht="15.95" hidden="1" customHeight="1" x14ac:dyDescent="0.25">
      <c r="C49" s="7" t="s">
        <v>93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152</v>
      </c>
      <c r="K49" s="30">
        <v>41.67</v>
      </c>
    </row>
    <row r="50" spans="2:11" ht="15.95" hidden="1" customHeight="1" x14ac:dyDescent="0.25">
      <c r="C50" s="7" t="s">
        <v>94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152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154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154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154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154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154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154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154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132.57</v>
      </c>
    </row>
    <row r="59" spans="2:11" ht="15.95" hidden="1" customHeight="1" x14ac:dyDescent="0.25">
      <c r="C59" s="7" t="s">
        <v>103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154</v>
      </c>
      <c r="K59" s="30">
        <v>95.24</v>
      </c>
    </row>
    <row r="60" spans="2:11" ht="15.95" hidden="1" customHeight="1" x14ac:dyDescent="0.25">
      <c r="C60" s="7" t="s">
        <v>104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154</v>
      </c>
      <c r="K60" s="30">
        <v>102.38</v>
      </c>
    </row>
    <row r="61" spans="2:11" ht="15.95" hidden="1" customHeight="1" x14ac:dyDescent="0.25">
      <c r="C61" s="7" t="s">
        <v>105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154</v>
      </c>
      <c r="K61" s="30">
        <v>117.14</v>
      </c>
    </row>
    <row r="62" spans="2:11" ht="15.95" hidden="1" customHeight="1" x14ac:dyDescent="0.25">
      <c r="C62" s="7" t="s">
        <v>76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154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154</v>
      </c>
      <c r="K63" s="30">
        <v>96.29</v>
      </c>
    </row>
    <row r="64" spans="2:11" ht="15.95" hidden="1" customHeight="1" x14ac:dyDescent="0.25">
      <c r="B64" s="29" t="s">
        <v>247</v>
      </c>
      <c r="C64" s="7" t="s">
        <v>31</v>
      </c>
      <c r="D64" s="7"/>
      <c r="E64" s="8">
        <f t="shared" si="2"/>
        <v>756</v>
      </c>
      <c r="F64" s="8">
        <v>1</v>
      </c>
      <c r="G64" s="8">
        <v>0.2</v>
      </c>
      <c r="H64" s="8">
        <v>4</v>
      </c>
      <c r="I64" s="9">
        <v>6</v>
      </c>
      <c r="J64" s="10" t="s">
        <v>154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154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154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154</v>
      </c>
      <c r="K68" s="30">
        <v>130.94999999999999</v>
      </c>
    </row>
    <row r="69" spans="1:11" ht="15.95" hidden="1" customHeight="1" x14ac:dyDescent="0.25">
      <c r="C69" s="7" t="s">
        <v>106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154</v>
      </c>
      <c r="K69" s="30">
        <v>140.47999999999999</v>
      </c>
    </row>
    <row r="70" spans="1:11" ht="15.95" hidden="1" customHeight="1" x14ac:dyDescent="0.25">
      <c r="C70" s="7" t="s">
        <v>136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154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154</v>
      </c>
      <c r="K72" s="30">
        <v>145.24</v>
      </c>
    </row>
    <row r="73" spans="1:11" ht="15.95" hidden="1" customHeight="1" x14ac:dyDescent="0.25">
      <c r="C73" s="7" t="s">
        <v>107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154</v>
      </c>
      <c r="K73" s="30">
        <v>167.86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154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154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154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154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154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257</v>
      </c>
      <c r="D79" s="23"/>
      <c r="E79" s="24">
        <f t="shared" si="2"/>
        <v>117.75</v>
      </c>
      <c r="F79" s="24">
        <v>1</v>
      </c>
      <c r="G79" s="24"/>
      <c r="H79" s="24">
        <v>1</v>
      </c>
      <c r="I79" s="44">
        <v>15</v>
      </c>
      <c r="J79" s="25" t="s">
        <v>258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258</v>
      </c>
      <c r="K80" s="30">
        <v>15.7</v>
      </c>
    </row>
    <row r="81" spans="1:11" ht="15.95" hidden="1" customHeight="1" x14ac:dyDescent="0.25">
      <c r="C81" s="7" t="s">
        <v>93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154</v>
      </c>
      <c r="K81" s="30">
        <v>41.67</v>
      </c>
    </row>
    <row r="82" spans="1:11" ht="15.95" hidden="1" customHeight="1" x14ac:dyDescent="0.25">
      <c r="C82" s="7" t="s">
        <v>94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154</v>
      </c>
      <c r="K82" s="30">
        <v>83.33</v>
      </c>
    </row>
    <row r="83" spans="1:11" ht="15.95" hidden="1" customHeight="1" x14ac:dyDescent="0.25">
      <c r="B83" s="29" t="s">
        <v>247</v>
      </c>
      <c r="C83" s="7" t="s">
        <v>171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109</v>
      </c>
      <c r="K83" s="30">
        <v>47.62</v>
      </c>
    </row>
    <row r="84" spans="1:11" ht="15.95" hidden="1" customHeight="1" x14ac:dyDescent="0.25">
      <c r="B84" s="29" t="s">
        <v>247</v>
      </c>
      <c r="C84" s="7" t="s">
        <v>172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167</v>
      </c>
      <c r="K84" s="30">
        <v>190.48</v>
      </c>
    </row>
    <row r="85" spans="1:11" ht="15.95" hidden="1" customHeight="1" x14ac:dyDescent="0.25">
      <c r="B85" s="29" t="s">
        <v>247</v>
      </c>
      <c r="C85" s="7" t="s">
        <v>173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167</v>
      </c>
      <c r="K85" s="30">
        <v>190.48</v>
      </c>
    </row>
    <row r="86" spans="1:11" ht="15.95" hidden="1" customHeight="1" x14ac:dyDescent="0.25">
      <c r="C86" s="7" t="s">
        <v>174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109</v>
      </c>
      <c r="K86" s="30">
        <v>32.14</v>
      </c>
    </row>
    <row r="87" spans="1:11" s="4" customFormat="1" ht="15.95" customHeight="1" x14ac:dyDescent="0.25">
      <c r="A87" s="21" t="s">
        <v>143</v>
      </c>
      <c r="B87" s="4" t="s">
        <v>283</v>
      </c>
      <c r="C87" s="26" t="s">
        <v>193</v>
      </c>
      <c r="D87" s="27">
        <f>SUM(E88:E109)</f>
        <v>2648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247</v>
      </c>
      <c r="C88" s="23" t="s">
        <v>168</v>
      </c>
      <c r="D88" s="23"/>
      <c r="E88" s="24">
        <f t="shared" ref="E88:E109" si="4">I88*K88</f>
        <v>1200</v>
      </c>
      <c r="F88" s="24"/>
      <c r="G88" s="24"/>
      <c r="H88" s="24"/>
      <c r="I88" s="24">
        <v>48</v>
      </c>
      <c r="J88" s="25" t="s">
        <v>164</v>
      </c>
      <c r="K88" s="48">
        <v>25</v>
      </c>
    </row>
    <row r="89" spans="1:11" s="22" customFormat="1" ht="15.95" hidden="1" customHeight="1" x14ac:dyDescent="0.25">
      <c r="B89" s="29" t="s">
        <v>247</v>
      </c>
      <c r="C89" s="23" t="s">
        <v>190</v>
      </c>
      <c r="D89" s="23"/>
      <c r="E89" s="24">
        <f t="shared" si="4"/>
        <v>200</v>
      </c>
      <c r="F89" s="24"/>
      <c r="G89" s="24"/>
      <c r="H89" s="24"/>
      <c r="I89" s="24">
        <v>20</v>
      </c>
      <c r="J89" s="25" t="s">
        <v>164</v>
      </c>
      <c r="K89" s="48">
        <v>10</v>
      </c>
    </row>
    <row r="90" spans="1:11" s="22" customFormat="1" ht="15.95" hidden="1" customHeight="1" x14ac:dyDescent="0.25">
      <c r="B90" s="29" t="s">
        <v>247</v>
      </c>
      <c r="C90" s="23" t="s">
        <v>191</v>
      </c>
      <c r="D90" s="23"/>
      <c r="E90" s="24">
        <f t="shared" si="4"/>
        <v>48</v>
      </c>
      <c r="F90" s="24"/>
      <c r="G90" s="24"/>
      <c r="H90" s="24"/>
      <c r="I90" s="24">
        <v>24</v>
      </c>
      <c r="J90" s="25" t="s">
        <v>164</v>
      </c>
      <c r="K90" s="48">
        <v>2</v>
      </c>
    </row>
    <row r="91" spans="1:11" s="4" customFormat="1" ht="15.95" hidden="1" customHeight="1" x14ac:dyDescent="0.25">
      <c r="B91" s="29" t="s">
        <v>247</v>
      </c>
      <c r="C91" s="7" t="s">
        <v>248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164</v>
      </c>
      <c r="K91" s="48">
        <v>800</v>
      </c>
    </row>
    <row r="92" spans="1:11" s="4" customFormat="1" ht="15.95" hidden="1" customHeight="1" x14ac:dyDescent="0.25">
      <c r="B92" s="29" t="s">
        <v>247</v>
      </c>
      <c r="C92" s="7" t="s">
        <v>249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164</v>
      </c>
      <c r="K92" s="48">
        <v>1210</v>
      </c>
    </row>
    <row r="93" spans="1:11" s="4" customFormat="1" ht="15.95" hidden="1" customHeight="1" x14ac:dyDescent="0.25">
      <c r="B93" s="29" t="s">
        <v>247</v>
      </c>
      <c r="C93" s="7" t="s">
        <v>262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164</v>
      </c>
      <c r="K93" s="48">
        <v>1820</v>
      </c>
    </row>
    <row r="94" spans="1:11" s="4" customFormat="1" ht="15.95" hidden="1" customHeight="1" x14ac:dyDescent="0.25">
      <c r="B94" s="29" t="s">
        <v>247</v>
      </c>
      <c r="C94" s="7" t="s">
        <v>263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164</v>
      </c>
      <c r="K94" s="48">
        <v>830</v>
      </c>
    </row>
    <row r="95" spans="1:11" s="4" customFormat="1" ht="15.95" hidden="1" customHeight="1" x14ac:dyDescent="0.25">
      <c r="B95" s="42"/>
      <c r="C95" s="7" t="s">
        <v>272</v>
      </c>
      <c r="D95" s="7"/>
      <c r="E95" s="24">
        <f t="shared" si="4"/>
        <v>800</v>
      </c>
      <c r="F95" s="8"/>
      <c r="G95" s="8"/>
      <c r="H95" s="8"/>
      <c r="I95" s="8">
        <v>1</v>
      </c>
      <c r="J95" s="10" t="s">
        <v>164</v>
      </c>
      <c r="K95" s="48">
        <v>800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5">I96*K96</f>
        <v>400</v>
      </c>
      <c r="F96" s="8"/>
      <c r="G96" s="8"/>
      <c r="H96" s="8"/>
      <c r="I96" s="8">
        <v>1</v>
      </c>
      <c r="J96" s="10" t="s">
        <v>164</v>
      </c>
      <c r="K96" s="48">
        <v>400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164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164</v>
      </c>
      <c r="K98" s="48">
        <v>1000</v>
      </c>
    </row>
    <row r="99" spans="1:11" s="4" customFormat="1" ht="15.95" hidden="1" customHeight="1" x14ac:dyDescent="0.25">
      <c r="B99" s="42"/>
      <c r="C99" s="7" t="s">
        <v>175</v>
      </c>
      <c r="D99" s="7"/>
      <c r="E99" s="24">
        <f t="shared" si="4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164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4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164</v>
      </c>
      <c r="K100" s="48">
        <v>1166.67</v>
      </c>
    </row>
    <row r="101" spans="1:11" s="4" customFormat="1" ht="15.95" hidden="1" customHeight="1" x14ac:dyDescent="0.25">
      <c r="B101" s="42"/>
      <c r="C101" s="7" t="s">
        <v>131</v>
      </c>
      <c r="D101" s="7"/>
      <c r="E101" s="24">
        <f t="shared" si="4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164</v>
      </c>
      <c r="K101" s="48">
        <v>35.71</v>
      </c>
    </row>
    <row r="102" spans="1:11" s="4" customFormat="1" ht="15.95" hidden="1" customHeight="1" x14ac:dyDescent="0.25">
      <c r="B102" s="29" t="s">
        <v>247</v>
      </c>
      <c r="C102" s="7" t="s">
        <v>112</v>
      </c>
      <c r="D102" s="7"/>
      <c r="E102" s="24">
        <f t="shared" si="4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109</v>
      </c>
      <c r="K102" s="48">
        <v>23.33</v>
      </c>
    </row>
    <row r="103" spans="1:11" s="4" customFormat="1" ht="15.95" hidden="1" customHeight="1" x14ac:dyDescent="0.25">
      <c r="B103" s="29" t="s">
        <v>247</v>
      </c>
      <c r="C103" s="7" t="s">
        <v>114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164</v>
      </c>
      <c r="K103" s="48">
        <v>12.86</v>
      </c>
    </row>
    <row r="104" spans="1:11" s="4" customFormat="1" ht="15.95" hidden="1" customHeight="1" x14ac:dyDescent="0.25">
      <c r="B104" s="29" t="s">
        <v>247</v>
      </c>
      <c r="C104" s="7" t="s">
        <v>115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164</v>
      </c>
      <c r="K104" s="48">
        <v>11.9</v>
      </c>
    </row>
    <row r="105" spans="1:11" s="4" customFormat="1" ht="15.95" hidden="1" customHeight="1" x14ac:dyDescent="0.25">
      <c r="B105" s="29" t="s">
        <v>247</v>
      </c>
      <c r="C105" s="7" t="s">
        <v>116</v>
      </c>
      <c r="D105" s="7"/>
      <c r="E105" s="24">
        <f t="shared" si="4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164</v>
      </c>
      <c r="K105" s="48">
        <v>9.52</v>
      </c>
    </row>
    <row r="106" spans="1:11" s="4" customFormat="1" ht="15.95" hidden="1" customHeight="1" x14ac:dyDescent="0.25">
      <c r="C106" s="7" t="s">
        <v>250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109</v>
      </c>
      <c r="K106" s="48">
        <v>15.48</v>
      </c>
    </row>
    <row r="107" spans="1:11" s="4" customFormat="1" ht="15.95" hidden="1" customHeight="1" x14ac:dyDescent="0.25">
      <c r="C107" s="7" t="s">
        <v>113</v>
      </c>
      <c r="D107" s="7"/>
      <c r="E107" s="24">
        <f t="shared" si="4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109</v>
      </c>
      <c r="K107" s="48">
        <v>16.07</v>
      </c>
    </row>
    <row r="108" spans="1:11" s="4" customFormat="1" ht="15.95" hidden="1" customHeight="1" x14ac:dyDescent="0.25">
      <c r="C108" s="7" t="s">
        <v>117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164</v>
      </c>
      <c r="K108" s="48">
        <v>2142.86</v>
      </c>
    </row>
    <row r="109" spans="1:11" s="4" customFormat="1" ht="15.95" hidden="1" customHeight="1" x14ac:dyDescent="0.25">
      <c r="C109" s="7" t="s">
        <v>132</v>
      </c>
      <c r="D109" s="7"/>
      <c r="E109" s="24">
        <f t="shared" si="4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164</v>
      </c>
      <c r="K109" s="48">
        <v>11.9</v>
      </c>
    </row>
    <row r="110" spans="1:11" s="4" customFormat="1" ht="15.95" customHeight="1" x14ac:dyDescent="0.25">
      <c r="A110" s="21" t="s">
        <v>139</v>
      </c>
      <c r="B110" s="4" t="s">
        <v>280</v>
      </c>
      <c r="C110" s="26" t="s">
        <v>194</v>
      </c>
      <c r="D110" s="27">
        <f>SUM(E111:E134)</f>
        <v>1042.9000000000001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266</v>
      </c>
      <c r="D111" s="7"/>
      <c r="E111" s="8">
        <f t="shared" ref="E111:E134" si="6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164</v>
      </c>
      <c r="K111" s="30">
        <v>262.86</v>
      </c>
    </row>
    <row r="112" spans="1:11" s="4" customFormat="1" ht="15.95" hidden="1" customHeight="1" x14ac:dyDescent="0.25">
      <c r="C112" s="7" t="s">
        <v>252</v>
      </c>
      <c r="D112" s="7"/>
      <c r="E112" s="8">
        <f t="shared" si="6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164</v>
      </c>
      <c r="K112" s="30">
        <v>564.6</v>
      </c>
    </row>
    <row r="113" spans="2:11" s="4" customFormat="1" ht="15.95" hidden="1" customHeight="1" x14ac:dyDescent="0.25">
      <c r="C113" s="7" t="s">
        <v>267</v>
      </c>
      <c r="D113" s="7"/>
      <c r="E113" s="8">
        <f t="shared" si="6"/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164</v>
      </c>
      <c r="K113" s="30">
        <v>358.69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164</v>
      </c>
      <c r="K114" s="30">
        <v>302.29000000000002</v>
      </c>
    </row>
    <row r="115" spans="2:11" s="4" customFormat="1" ht="15.95" hidden="1" customHeight="1" x14ac:dyDescent="0.25">
      <c r="C115" s="7" t="s">
        <v>251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164</v>
      </c>
      <c r="K115" s="30">
        <v>604.02</v>
      </c>
    </row>
    <row r="116" spans="2:11" s="4" customFormat="1" ht="15.95" hidden="1" customHeight="1" x14ac:dyDescent="0.25">
      <c r="C116" s="7" t="s">
        <v>270</v>
      </c>
      <c r="D116" s="7"/>
      <c r="E116" s="8">
        <f t="shared" ref="E116:E118" si="7">I116*K116</f>
        <v>423.86</v>
      </c>
      <c r="F116" s="8">
        <v>4</v>
      </c>
      <c r="G116" s="8">
        <v>0.5</v>
      </c>
      <c r="H116" s="8">
        <v>1</v>
      </c>
      <c r="I116" s="8">
        <v>1</v>
      </c>
      <c r="J116" s="10" t="s">
        <v>164</v>
      </c>
      <c r="K116" s="30">
        <v>423.86</v>
      </c>
    </row>
    <row r="117" spans="2:11" s="4" customFormat="1" ht="15.95" hidden="1" customHeight="1" x14ac:dyDescent="0.25">
      <c r="C117" s="7" t="s">
        <v>269</v>
      </c>
      <c r="D117" s="7"/>
      <c r="E117" s="8">
        <f t="shared" si="7"/>
        <v>154.76</v>
      </c>
      <c r="F117" s="8">
        <v>1.3</v>
      </c>
      <c r="G117" s="8">
        <v>0.6</v>
      </c>
      <c r="H117" s="8">
        <v>1</v>
      </c>
      <c r="I117" s="8">
        <v>1</v>
      </c>
      <c r="J117" s="10" t="s">
        <v>164</v>
      </c>
      <c r="K117" s="30">
        <v>154.76</v>
      </c>
    </row>
    <row r="118" spans="2:11" s="4" customFormat="1" ht="15.95" hidden="1" customHeight="1" x14ac:dyDescent="0.25">
      <c r="C118" s="7" t="s">
        <v>274</v>
      </c>
      <c r="D118" s="7"/>
      <c r="E118" s="8">
        <f t="shared" si="7"/>
        <v>309.52</v>
      </c>
      <c r="F118" s="8">
        <v>1.2</v>
      </c>
      <c r="G118" s="8">
        <v>0.5</v>
      </c>
      <c r="H118" s="8">
        <v>1</v>
      </c>
      <c r="I118" s="8">
        <v>2</v>
      </c>
      <c r="J118" s="10" t="s">
        <v>164</v>
      </c>
      <c r="K118" s="30">
        <v>154.76</v>
      </c>
    </row>
    <row r="119" spans="2:11" s="4" customFormat="1" ht="15.95" hidden="1" customHeight="1" x14ac:dyDescent="0.25">
      <c r="C119" s="7" t="s">
        <v>276</v>
      </c>
      <c r="D119" s="7"/>
      <c r="E119" s="8">
        <f t="shared" si="6"/>
        <v>154.76</v>
      </c>
      <c r="F119" s="8">
        <v>1.2</v>
      </c>
      <c r="G119" s="8">
        <v>0.5</v>
      </c>
      <c r="H119" s="8">
        <v>1</v>
      </c>
      <c r="I119" s="8">
        <v>1</v>
      </c>
      <c r="J119" s="10" t="s">
        <v>164</v>
      </c>
      <c r="K119" s="30">
        <v>154.76</v>
      </c>
    </row>
    <row r="120" spans="2:11" s="4" customFormat="1" ht="15.95" hidden="1" customHeight="1" x14ac:dyDescent="0.25">
      <c r="C120" s="7" t="s">
        <v>155</v>
      </c>
      <c r="D120" s="7"/>
      <c r="E120" s="8">
        <f t="shared" si="6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164</v>
      </c>
      <c r="K120" s="30">
        <v>595.24</v>
      </c>
    </row>
    <row r="121" spans="2:11" s="4" customFormat="1" ht="15.95" hidden="1" customHeight="1" x14ac:dyDescent="0.25">
      <c r="C121" s="7" t="s">
        <v>195</v>
      </c>
      <c r="D121" s="7"/>
      <c r="E121" s="8">
        <f t="shared" si="6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164</v>
      </c>
      <c r="K121" s="30">
        <v>161.9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6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164</v>
      </c>
      <c r="K122" s="30">
        <v>190.48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164</v>
      </c>
      <c r="K123" s="30">
        <v>216.67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164</v>
      </c>
      <c r="K124" s="30">
        <v>154.76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164</v>
      </c>
      <c r="K125" s="30">
        <v>177.98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164</v>
      </c>
      <c r="K126" s="30">
        <v>260.12</v>
      </c>
    </row>
    <row r="127" spans="2:11" s="4" customFormat="1" ht="15.95" hidden="1" customHeight="1" x14ac:dyDescent="0.25">
      <c r="B127" s="29" t="s">
        <v>247</v>
      </c>
      <c r="C127" s="7" t="s">
        <v>118</v>
      </c>
      <c r="D127" s="7"/>
      <c r="E127" s="8">
        <f t="shared" si="6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164</v>
      </c>
      <c r="K127" s="30">
        <v>210</v>
      </c>
    </row>
    <row r="128" spans="2:11" s="4" customFormat="1" ht="15.95" hidden="1" customHeight="1" x14ac:dyDescent="0.25">
      <c r="C128" s="7" t="s">
        <v>123</v>
      </c>
      <c r="D128" s="7"/>
      <c r="E128" s="8">
        <f t="shared" si="6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164</v>
      </c>
      <c r="K128" s="30">
        <v>223.81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6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164</v>
      </c>
      <c r="K129" s="30">
        <v>65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164</v>
      </c>
      <c r="K130" s="30">
        <v>35</v>
      </c>
    </row>
    <row r="131" spans="1:11" s="4" customFormat="1" ht="15.95" hidden="1" customHeight="1" x14ac:dyDescent="0.25">
      <c r="B131" s="29" t="s">
        <v>247</v>
      </c>
      <c r="C131" s="7" t="s">
        <v>54</v>
      </c>
      <c r="D131" s="7"/>
      <c r="E131" s="8">
        <f t="shared" si="6"/>
        <v>0</v>
      </c>
      <c r="F131" s="8"/>
      <c r="G131" s="8"/>
      <c r="H131" s="8"/>
      <c r="I131" s="8">
        <v>0</v>
      </c>
      <c r="J131" s="10" t="s">
        <v>164</v>
      </c>
      <c r="K131" s="30">
        <v>12</v>
      </c>
    </row>
    <row r="132" spans="1:11" s="4" customFormat="1" ht="15.95" hidden="1" customHeight="1" x14ac:dyDescent="0.25">
      <c r="C132" s="7" t="s">
        <v>128</v>
      </c>
      <c r="D132" s="7"/>
      <c r="E132" s="8">
        <f t="shared" si="6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109</v>
      </c>
      <c r="K132" s="30">
        <v>21.9</v>
      </c>
    </row>
    <row r="133" spans="1:11" s="4" customFormat="1" ht="15.95" hidden="1" customHeight="1" x14ac:dyDescent="0.25">
      <c r="C133" s="7" t="s">
        <v>201</v>
      </c>
      <c r="D133" s="7"/>
      <c r="E133" s="8">
        <f t="shared" si="6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164</v>
      </c>
      <c r="K133" s="30">
        <v>177.98</v>
      </c>
    </row>
    <row r="134" spans="1:11" s="4" customFormat="1" ht="15.95" hidden="1" customHeight="1" x14ac:dyDescent="0.25">
      <c r="C134" s="7" t="s">
        <v>176</v>
      </c>
      <c r="D134" s="7"/>
      <c r="E134" s="8">
        <f t="shared" si="6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164</v>
      </c>
      <c r="K134" s="30">
        <v>383.33</v>
      </c>
    </row>
    <row r="135" spans="1:11" s="4" customFormat="1" ht="15.95" customHeight="1" x14ac:dyDescent="0.25">
      <c r="A135" s="21" t="s">
        <v>141</v>
      </c>
      <c r="B135" s="4" t="s">
        <v>281</v>
      </c>
      <c r="C135" s="26" t="s">
        <v>202</v>
      </c>
      <c r="D135" s="27">
        <f>SUM(E136:E145)</f>
        <v>423.08000000000004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247</v>
      </c>
      <c r="C136" s="7" t="s">
        <v>48</v>
      </c>
      <c r="D136" s="7"/>
      <c r="E136" s="8">
        <f t="shared" ref="E136:E145" si="8">I136*K136</f>
        <v>35</v>
      </c>
      <c r="F136" s="12"/>
      <c r="G136" s="12"/>
      <c r="H136" s="12"/>
      <c r="I136" s="8">
        <v>1</v>
      </c>
      <c r="J136" s="10" t="s">
        <v>164</v>
      </c>
      <c r="K136" s="30">
        <v>35</v>
      </c>
    </row>
    <row r="137" spans="1:11" s="4" customFormat="1" ht="15.95" hidden="1" customHeight="1" x14ac:dyDescent="0.25">
      <c r="B137" s="29" t="s">
        <v>247</v>
      </c>
      <c r="C137" s="7" t="s">
        <v>49</v>
      </c>
      <c r="D137" s="7"/>
      <c r="E137" s="8">
        <f t="shared" si="8"/>
        <v>0</v>
      </c>
      <c r="F137" s="8"/>
      <c r="G137" s="8"/>
      <c r="H137" s="8"/>
      <c r="I137" s="8">
        <v>0</v>
      </c>
      <c r="J137" s="10" t="s">
        <v>164</v>
      </c>
      <c r="K137" s="30">
        <v>50</v>
      </c>
    </row>
    <row r="138" spans="1:11" s="4" customFormat="1" ht="15.95" hidden="1" customHeight="1" x14ac:dyDescent="0.25">
      <c r="B138" s="29" t="s">
        <v>247</v>
      </c>
      <c r="C138" s="7" t="s">
        <v>268</v>
      </c>
      <c r="D138" s="7"/>
      <c r="E138" s="8">
        <f t="shared" si="8"/>
        <v>0</v>
      </c>
      <c r="F138" s="8">
        <v>1</v>
      </c>
      <c r="G138" s="8">
        <v>0</v>
      </c>
      <c r="H138" s="8">
        <v>2</v>
      </c>
      <c r="I138" s="8">
        <v>0</v>
      </c>
      <c r="J138" s="10" t="s">
        <v>164</v>
      </c>
      <c r="K138" s="30">
        <v>119.05</v>
      </c>
    </row>
    <row r="139" spans="1:11" s="4" customFormat="1" ht="15.95" hidden="1" customHeight="1" x14ac:dyDescent="0.25">
      <c r="C139" s="7" t="s">
        <v>120</v>
      </c>
      <c r="D139" s="7"/>
      <c r="E139" s="8">
        <f t="shared" si="8"/>
        <v>114.28</v>
      </c>
      <c r="F139" s="8">
        <v>1</v>
      </c>
      <c r="G139" s="8">
        <v>1</v>
      </c>
      <c r="H139" s="8"/>
      <c r="I139" s="8">
        <v>4</v>
      </c>
      <c r="J139" s="10" t="s">
        <v>109</v>
      </c>
      <c r="K139" s="30">
        <v>28.57</v>
      </c>
    </row>
    <row r="140" spans="1:11" s="4" customFormat="1" ht="15.95" hidden="1" customHeight="1" x14ac:dyDescent="0.25">
      <c r="C140" s="7" t="s">
        <v>72</v>
      </c>
      <c r="D140" s="7"/>
      <c r="E140" s="8">
        <f t="shared" si="8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164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8"/>
        <v>273.8</v>
      </c>
      <c r="F141" s="8">
        <v>2</v>
      </c>
      <c r="G141" s="8">
        <v>0.2</v>
      </c>
      <c r="H141" s="8">
        <v>0.2</v>
      </c>
      <c r="I141" s="8">
        <v>2</v>
      </c>
      <c r="J141" s="10" t="s">
        <v>164</v>
      </c>
      <c r="K141" s="30">
        <v>136.9</v>
      </c>
    </row>
    <row r="142" spans="1:11" s="4" customFormat="1" ht="15.95" hidden="1" customHeight="1" x14ac:dyDescent="0.25">
      <c r="C142" s="7" t="s">
        <v>169</v>
      </c>
      <c r="D142" s="7"/>
      <c r="E142" s="8">
        <f t="shared" si="8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109</v>
      </c>
      <c r="K142" s="30">
        <v>22.62</v>
      </c>
    </row>
    <row r="143" spans="1:11" s="4" customFormat="1" ht="15.95" hidden="1" customHeight="1" x14ac:dyDescent="0.25">
      <c r="C143" s="7" t="s">
        <v>160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109</v>
      </c>
      <c r="K143" s="30">
        <v>83.33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109</v>
      </c>
      <c r="K144" s="30">
        <v>32.14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109</v>
      </c>
      <c r="K145" s="30">
        <v>38.1</v>
      </c>
    </row>
    <row r="146" spans="1:11" s="4" customFormat="1" ht="15.95" customHeight="1" x14ac:dyDescent="0.25">
      <c r="A146" s="21" t="s">
        <v>140</v>
      </c>
      <c r="B146" s="4" t="s">
        <v>282</v>
      </c>
      <c r="C146" s="26" t="s">
        <v>203</v>
      </c>
      <c r="D146" s="27">
        <f>SUM(E147:E153)</f>
        <v>20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265</v>
      </c>
      <c r="D147" s="7"/>
      <c r="E147" s="8">
        <f t="shared" ref="E147:E153" si="9">I147*K147</f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164</v>
      </c>
      <c r="K147" s="30">
        <v>109.52</v>
      </c>
    </row>
    <row r="148" spans="1:11" s="4" customFormat="1" ht="15.95" hidden="1" customHeight="1" x14ac:dyDescent="0.25">
      <c r="C148" s="7" t="s">
        <v>84</v>
      </c>
      <c r="D148" s="7"/>
      <c r="E148" s="8">
        <f t="shared" si="9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164</v>
      </c>
      <c r="K148" s="30">
        <v>219.05</v>
      </c>
    </row>
    <row r="149" spans="1:11" s="4" customFormat="1" ht="15.95" hidden="1" customHeight="1" x14ac:dyDescent="0.25">
      <c r="C149" s="7" t="s">
        <v>178</v>
      </c>
      <c r="D149" s="7"/>
      <c r="E149" s="8">
        <f t="shared" si="9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164</v>
      </c>
      <c r="K149" s="30">
        <v>3</v>
      </c>
    </row>
    <row r="150" spans="1:11" s="4" customFormat="1" ht="15.95" hidden="1" customHeight="1" x14ac:dyDescent="0.25">
      <c r="C150" s="7" t="s">
        <v>52</v>
      </c>
      <c r="D150" s="7"/>
      <c r="E150" s="8">
        <f t="shared" si="9"/>
        <v>0</v>
      </c>
      <c r="F150" s="8">
        <v>0</v>
      </c>
      <c r="G150" s="8">
        <v>0</v>
      </c>
      <c r="H150" s="8">
        <v>0</v>
      </c>
      <c r="I150" s="8">
        <v>0</v>
      </c>
      <c r="J150" s="10" t="s">
        <v>164</v>
      </c>
      <c r="K150" s="30">
        <v>50</v>
      </c>
    </row>
    <row r="151" spans="1:11" s="4" customFormat="1" ht="15.95" hidden="1" customHeight="1" x14ac:dyDescent="0.25">
      <c r="B151" s="29"/>
      <c r="C151" s="7" t="s">
        <v>275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109</v>
      </c>
      <c r="K151" s="30">
        <v>50</v>
      </c>
    </row>
    <row r="152" spans="1:11" s="4" customFormat="1" ht="15.95" hidden="1" customHeight="1" x14ac:dyDescent="0.25">
      <c r="C152" s="7" t="s">
        <v>89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164</v>
      </c>
      <c r="K152" s="30">
        <v>25</v>
      </c>
    </row>
    <row r="153" spans="1:11" s="4" customFormat="1" ht="15.95" hidden="1" customHeight="1" x14ac:dyDescent="0.25">
      <c r="C153" s="7" t="s">
        <v>246</v>
      </c>
      <c r="D153" s="7"/>
      <c r="E153" s="8">
        <f t="shared" si="9"/>
        <v>20</v>
      </c>
      <c r="F153" s="8"/>
      <c r="G153" s="8"/>
      <c r="H153" s="8"/>
      <c r="I153" s="8">
        <v>1</v>
      </c>
      <c r="J153" s="10" t="s">
        <v>164</v>
      </c>
      <c r="K153" s="30">
        <v>20</v>
      </c>
    </row>
    <row r="154" spans="1:11" s="4" customFormat="1" ht="15.95" customHeight="1" x14ac:dyDescent="0.25">
      <c r="C154" s="26" t="s">
        <v>130</v>
      </c>
      <c r="D154" s="27">
        <f>SUM(E155:E167)</f>
        <v>849.98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247</v>
      </c>
      <c r="C155" s="7" t="s">
        <v>19</v>
      </c>
      <c r="D155" s="7"/>
      <c r="E155" s="8">
        <f t="shared" ref="E155:E167" si="10">I155*K155</f>
        <v>0</v>
      </c>
      <c r="F155" s="8"/>
      <c r="G155" s="8"/>
      <c r="H155" s="8"/>
      <c r="I155" s="8">
        <v>0</v>
      </c>
      <c r="J155" s="10" t="s">
        <v>164</v>
      </c>
      <c r="K155" s="30">
        <v>11.9</v>
      </c>
    </row>
    <row r="156" spans="1:11" s="4" customFormat="1" ht="15.95" hidden="1" customHeight="1" x14ac:dyDescent="0.25">
      <c r="B156" s="29" t="s">
        <v>247</v>
      </c>
      <c r="C156" s="7" t="s">
        <v>61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164</v>
      </c>
      <c r="K156" s="30">
        <v>50</v>
      </c>
    </row>
    <row r="157" spans="1:11" s="4" customFormat="1" ht="15.95" hidden="1" customHeight="1" x14ac:dyDescent="0.25">
      <c r="B157" s="29" t="s">
        <v>247</v>
      </c>
      <c r="C157" s="7" t="s">
        <v>62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164</v>
      </c>
      <c r="K157" s="30">
        <v>65</v>
      </c>
    </row>
    <row r="158" spans="1:11" s="4" customFormat="1" ht="15.95" hidden="1" customHeight="1" x14ac:dyDescent="0.25">
      <c r="C158" s="7" t="s">
        <v>80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164</v>
      </c>
      <c r="K158" s="30">
        <v>23.81</v>
      </c>
    </row>
    <row r="159" spans="1:11" s="4" customFormat="1" ht="15.95" hidden="1" customHeight="1" x14ac:dyDescent="0.25">
      <c r="C159" s="7" t="s">
        <v>81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164</v>
      </c>
      <c r="K159" s="30">
        <v>14.29</v>
      </c>
    </row>
    <row r="160" spans="1:11" s="4" customFormat="1" ht="15.95" hidden="1" customHeight="1" x14ac:dyDescent="0.25">
      <c r="B160" s="29" t="s">
        <v>247</v>
      </c>
      <c r="C160" s="7" t="s">
        <v>63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164</v>
      </c>
      <c r="K160" s="30">
        <v>10</v>
      </c>
    </row>
    <row r="161" spans="2:11" s="4" customFormat="1" ht="15.95" hidden="1" customHeight="1" x14ac:dyDescent="0.25">
      <c r="B161" s="29" t="s">
        <v>247</v>
      </c>
      <c r="C161" s="7" t="s">
        <v>18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164</v>
      </c>
      <c r="K161" s="30">
        <v>10</v>
      </c>
    </row>
    <row r="162" spans="2:11" s="4" customFormat="1" ht="15.95" hidden="1" customHeight="1" x14ac:dyDescent="0.25">
      <c r="C162" s="7" t="s">
        <v>50</v>
      </c>
      <c r="D162" s="7"/>
      <c r="E162" s="8">
        <f t="shared" si="10"/>
        <v>100</v>
      </c>
      <c r="F162" s="12"/>
      <c r="G162" s="12"/>
      <c r="H162" s="12"/>
      <c r="I162" s="8">
        <v>20</v>
      </c>
      <c r="J162" s="10" t="s">
        <v>164</v>
      </c>
      <c r="K162" s="30">
        <v>5</v>
      </c>
    </row>
    <row r="163" spans="2:11" s="4" customFormat="1" ht="15.95" hidden="1" customHeight="1" x14ac:dyDescent="0.25">
      <c r="B163" s="29" t="s">
        <v>247</v>
      </c>
      <c r="C163" s="7" t="s">
        <v>17</v>
      </c>
      <c r="D163" s="7"/>
      <c r="E163" s="8">
        <f t="shared" si="10"/>
        <v>357</v>
      </c>
      <c r="F163" s="8"/>
      <c r="G163" s="8"/>
      <c r="H163" s="8"/>
      <c r="I163" s="8">
        <v>30</v>
      </c>
      <c r="J163" s="10" t="s">
        <v>164</v>
      </c>
      <c r="K163" s="30">
        <v>11.9</v>
      </c>
    </row>
    <row r="164" spans="2:11" s="4" customFormat="1" ht="15.95" hidden="1" customHeight="1" x14ac:dyDescent="0.25">
      <c r="C164" s="7" t="s">
        <v>55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164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0"/>
        <v>0</v>
      </c>
      <c r="F165" s="8"/>
      <c r="G165" s="8"/>
      <c r="H165" s="8"/>
      <c r="I165" s="8">
        <v>0</v>
      </c>
      <c r="J165" s="10" t="s">
        <v>164</v>
      </c>
      <c r="K165" s="30">
        <v>2.38</v>
      </c>
    </row>
    <row r="166" spans="2:11" ht="15.95" hidden="1" customHeight="1" x14ac:dyDescent="0.25">
      <c r="C166" s="7" t="s">
        <v>186</v>
      </c>
      <c r="D166" s="7"/>
      <c r="E166" s="8">
        <f t="shared" si="10"/>
        <v>202.5</v>
      </c>
      <c r="F166" s="8"/>
      <c r="G166" s="8"/>
      <c r="H166" s="8"/>
      <c r="I166" s="8">
        <v>50</v>
      </c>
      <c r="J166" s="10" t="s">
        <v>148</v>
      </c>
      <c r="K166" s="30">
        <v>4.05</v>
      </c>
    </row>
    <row r="167" spans="2:11" s="4" customFormat="1" ht="15.95" hidden="1" customHeight="1" x14ac:dyDescent="0.25">
      <c r="C167" s="7" t="s">
        <v>156</v>
      </c>
      <c r="D167" s="7"/>
      <c r="E167" s="8">
        <f t="shared" si="10"/>
        <v>190.48</v>
      </c>
      <c r="F167" s="8"/>
      <c r="G167" s="8"/>
      <c r="H167" s="8"/>
      <c r="I167" s="8">
        <v>1</v>
      </c>
      <c r="J167" s="10" t="s">
        <v>164</v>
      </c>
      <c r="K167" s="30">
        <v>190.48</v>
      </c>
    </row>
    <row r="168" spans="2:11" s="4" customFormat="1" ht="15.95" customHeight="1" x14ac:dyDescent="0.25">
      <c r="C168" s="26" t="s">
        <v>204</v>
      </c>
      <c r="D168" s="27">
        <f>SUM(E169:E210)</f>
        <v>1486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1">I169*K169</f>
        <v>195</v>
      </c>
      <c r="F169" s="12"/>
      <c r="G169" s="12"/>
      <c r="H169" s="12"/>
      <c r="I169" s="8">
        <v>13</v>
      </c>
      <c r="J169" s="10" t="s">
        <v>164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1"/>
        <v>72</v>
      </c>
      <c r="F170" s="12"/>
      <c r="G170" s="12"/>
      <c r="H170" s="12"/>
      <c r="I170" s="8">
        <v>6</v>
      </c>
      <c r="J170" s="10" t="s">
        <v>164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1"/>
        <v>20</v>
      </c>
      <c r="F171" s="12"/>
      <c r="G171" s="12"/>
      <c r="H171" s="12"/>
      <c r="I171" s="8">
        <v>1</v>
      </c>
      <c r="J171" s="10" t="s">
        <v>164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1"/>
        <v>0</v>
      </c>
      <c r="F172" s="12"/>
      <c r="G172" s="12"/>
      <c r="H172" s="12"/>
      <c r="I172" s="8">
        <v>0</v>
      </c>
      <c r="J172" s="10" t="s">
        <v>164</v>
      </c>
      <c r="K172" s="30">
        <v>15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25</v>
      </c>
      <c r="F173" s="12"/>
      <c r="G173" s="12"/>
      <c r="H173" s="12"/>
      <c r="I173" s="8">
        <v>1</v>
      </c>
      <c r="J173" s="10" t="s">
        <v>164</v>
      </c>
      <c r="K173" s="30">
        <v>25</v>
      </c>
    </row>
    <row r="174" spans="2:11" s="4" customFormat="1" ht="15.95" hidden="1" customHeight="1" x14ac:dyDescent="0.25">
      <c r="C174" s="7" t="s">
        <v>177</v>
      </c>
      <c r="D174" s="7"/>
      <c r="E174" s="8">
        <f t="shared" si="11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164</v>
      </c>
      <c r="K174" s="30">
        <v>385</v>
      </c>
    </row>
    <row r="175" spans="2:11" s="4" customFormat="1" ht="15.95" hidden="1" customHeight="1" x14ac:dyDescent="0.25">
      <c r="C175" s="7" t="s">
        <v>78</v>
      </c>
      <c r="D175" s="7"/>
      <c r="E175" s="8">
        <f t="shared" si="11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164</v>
      </c>
      <c r="K175" s="30">
        <v>130</v>
      </c>
    </row>
    <row r="176" spans="2:11" s="4" customFormat="1" ht="15.95" hidden="1" customHeight="1" x14ac:dyDescent="0.25">
      <c r="C176" s="7" t="s">
        <v>77</v>
      </c>
      <c r="D176" s="7"/>
      <c r="E176" s="8">
        <f t="shared" si="11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164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164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164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164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164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1"/>
        <v>40</v>
      </c>
      <c r="F181" s="12"/>
      <c r="G181" s="12"/>
      <c r="H181" s="12"/>
      <c r="I181" s="8">
        <v>5</v>
      </c>
      <c r="J181" s="10" t="s">
        <v>164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164</v>
      </c>
      <c r="K182" s="30">
        <v>15</v>
      </c>
    </row>
    <row r="183" spans="3:11" s="4" customFormat="1" ht="15.95" hidden="1" customHeight="1" x14ac:dyDescent="0.25">
      <c r="C183" s="7" t="s">
        <v>188</v>
      </c>
      <c r="D183" s="7"/>
      <c r="E183" s="8">
        <f t="shared" si="11"/>
        <v>140</v>
      </c>
      <c r="F183" s="12"/>
      <c r="G183" s="12"/>
      <c r="H183" s="12"/>
      <c r="I183" s="8">
        <v>4</v>
      </c>
      <c r="J183" s="10" t="s">
        <v>164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85</v>
      </c>
      <c r="F184" s="12"/>
      <c r="G184" s="12"/>
      <c r="H184" s="12"/>
      <c r="I184" s="8">
        <v>1</v>
      </c>
      <c r="J184" s="10" t="s">
        <v>164</v>
      </c>
      <c r="K184" s="30">
        <v>85</v>
      </c>
    </row>
    <row r="185" spans="3:11" s="4" customFormat="1" ht="15.95" hidden="1" customHeight="1" x14ac:dyDescent="0.25">
      <c r="C185" s="7" t="s">
        <v>57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164</v>
      </c>
      <c r="K185" s="30">
        <v>35</v>
      </c>
    </row>
    <row r="186" spans="3:11" s="4" customFormat="1" ht="15.95" hidden="1" customHeight="1" x14ac:dyDescent="0.25">
      <c r="C186" s="7" t="s">
        <v>59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164</v>
      </c>
      <c r="K186" s="30">
        <v>25</v>
      </c>
    </row>
    <row r="187" spans="3:11" s="4" customFormat="1" ht="15.95" hidden="1" customHeight="1" x14ac:dyDescent="0.25">
      <c r="C187" s="7" t="s">
        <v>133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164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164</v>
      </c>
      <c r="K188" s="30">
        <v>12</v>
      </c>
    </row>
    <row r="189" spans="3:11" s="4" customFormat="1" ht="15.95" hidden="1" customHeight="1" x14ac:dyDescent="0.25">
      <c r="C189" s="7" t="s">
        <v>271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164</v>
      </c>
      <c r="K189" s="30">
        <v>25</v>
      </c>
    </row>
    <row r="190" spans="3:11" s="4" customFormat="1" ht="15.95" hidden="1" customHeight="1" x14ac:dyDescent="0.25">
      <c r="C190" s="7" t="s">
        <v>53</v>
      </c>
      <c r="D190" s="7"/>
      <c r="E190" s="8">
        <f t="shared" si="11"/>
        <v>150</v>
      </c>
      <c r="F190" s="12"/>
      <c r="G190" s="12"/>
      <c r="H190" s="12"/>
      <c r="I190" s="8">
        <v>1</v>
      </c>
      <c r="J190" s="10" t="s">
        <v>164</v>
      </c>
      <c r="K190" s="30">
        <v>150</v>
      </c>
    </row>
    <row r="191" spans="3:11" s="4" customFormat="1" ht="15.95" hidden="1" customHeight="1" x14ac:dyDescent="0.25">
      <c r="C191" s="7" t="s">
        <v>205</v>
      </c>
      <c r="D191" s="7"/>
      <c r="E191" s="8">
        <f t="shared" si="11"/>
        <v>30</v>
      </c>
      <c r="F191" s="8"/>
      <c r="G191" s="8"/>
      <c r="H191" s="8"/>
      <c r="I191" s="8">
        <v>2</v>
      </c>
      <c r="J191" s="10" t="s">
        <v>164</v>
      </c>
      <c r="K191" s="30">
        <v>15</v>
      </c>
    </row>
    <row r="192" spans="3:11" s="4" customFormat="1" ht="15.95" hidden="1" customHeight="1" x14ac:dyDescent="0.25">
      <c r="C192" s="7" t="s">
        <v>157</v>
      </c>
      <c r="D192" s="7"/>
      <c r="E192" s="8">
        <f t="shared" si="11"/>
        <v>0</v>
      </c>
      <c r="F192" s="12"/>
      <c r="G192" s="12"/>
      <c r="H192" s="12"/>
      <c r="I192" s="8">
        <v>0</v>
      </c>
      <c r="J192" s="10" t="s">
        <v>164</v>
      </c>
      <c r="K192" s="30">
        <v>15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1"/>
        <v>600</v>
      </c>
      <c r="F193" s="12"/>
      <c r="G193" s="12"/>
      <c r="H193" s="12"/>
      <c r="I193" s="8">
        <v>1</v>
      </c>
      <c r="J193" s="10" t="s">
        <v>164</v>
      </c>
      <c r="K193" s="30">
        <v>600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164</v>
      </c>
      <c r="K194" s="30">
        <v>85</v>
      </c>
    </row>
    <row r="195" spans="2:11" s="4" customFormat="1" ht="15.95" hidden="1" customHeight="1" x14ac:dyDescent="0.25">
      <c r="C195" s="7" t="s">
        <v>254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164</v>
      </c>
      <c r="K195" s="30">
        <v>210</v>
      </c>
    </row>
    <row r="196" spans="2:11" s="4" customFormat="1" ht="15.95" hidden="1" customHeight="1" x14ac:dyDescent="0.25">
      <c r="C196" s="7" t="s">
        <v>85</v>
      </c>
      <c r="D196" s="7"/>
      <c r="E196" s="8">
        <f t="shared" si="11"/>
        <v>8</v>
      </c>
      <c r="F196" s="8"/>
      <c r="G196" s="8"/>
      <c r="H196" s="8"/>
      <c r="I196" s="8">
        <v>1</v>
      </c>
      <c r="J196" s="10" t="s">
        <v>164</v>
      </c>
      <c r="K196" s="30">
        <v>8</v>
      </c>
    </row>
    <row r="197" spans="2:11" s="4" customFormat="1" ht="15.95" hidden="1" customHeight="1" x14ac:dyDescent="0.25">
      <c r="C197" s="7" t="s">
        <v>71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164</v>
      </c>
      <c r="K197" s="30">
        <v>15</v>
      </c>
    </row>
    <row r="198" spans="2:11" s="4" customFormat="1" ht="15.95" hidden="1" customHeight="1" x14ac:dyDescent="0.25">
      <c r="C198" s="7" t="s">
        <v>82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164</v>
      </c>
      <c r="K198" s="30">
        <v>15</v>
      </c>
    </row>
    <row r="199" spans="2:11" s="4" customFormat="1" ht="15.95" hidden="1" customHeight="1" x14ac:dyDescent="0.25">
      <c r="B199" s="29" t="s">
        <v>247</v>
      </c>
      <c r="C199" s="7" t="s">
        <v>83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164</v>
      </c>
      <c r="K199" s="30">
        <v>25</v>
      </c>
    </row>
    <row r="200" spans="2:11" s="4" customFormat="1" ht="15.95" hidden="1" customHeight="1" x14ac:dyDescent="0.25">
      <c r="C200" s="7" t="s">
        <v>86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164</v>
      </c>
      <c r="K200" s="30">
        <v>85</v>
      </c>
    </row>
    <row r="201" spans="2:11" s="4" customFormat="1" ht="15.95" hidden="1" customHeight="1" x14ac:dyDescent="0.25">
      <c r="C201" s="7" t="s">
        <v>87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164</v>
      </c>
      <c r="K201" s="30">
        <v>15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164</v>
      </c>
      <c r="K202" s="30">
        <v>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164</v>
      </c>
      <c r="K203" s="30">
        <v>12</v>
      </c>
    </row>
    <row r="204" spans="2:11" s="4" customFormat="1" ht="15.95" hidden="1" customHeight="1" x14ac:dyDescent="0.25">
      <c r="C204" s="7" t="s">
        <v>91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164</v>
      </c>
      <c r="K204" s="30">
        <v>25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164</v>
      </c>
      <c r="K205" s="30">
        <v>20</v>
      </c>
    </row>
    <row r="206" spans="2:11" s="4" customFormat="1" ht="15.95" hidden="1" customHeight="1" x14ac:dyDescent="0.25">
      <c r="C206" s="7" t="s">
        <v>119</v>
      </c>
      <c r="D206" s="7"/>
      <c r="E206" s="8">
        <f t="shared" si="11"/>
        <v>36</v>
      </c>
      <c r="F206" s="8"/>
      <c r="G206" s="8"/>
      <c r="H206" s="8"/>
      <c r="I206" s="8">
        <v>6</v>
      </c>
      <c r="J206" s="10" t="s">
        <v>164</v>
      </c>
      <c r="K206" s="30">
        <v>6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164</v>
      </c>
      <c r="K207" s="30">
        <v>3</v>
      </c>
    </row>
    <row r="208" spans="2:11" s="4" customFormat="1" ht="15.95" hidden="1" customHeight="1" x14ac:dyDescent="0.25">
      <c r="C208" s="7" t="s">
        <v>122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164</v>
      </c>
      <c r="K208" s="30">
        <v>35</v>
      </c>
    </row>
    <row r="209" spans="3:11" s="4" customFormat="1" ht="15.95" hidden="1" customHeight="1" x14ac:dyDescent="0.25">
      <c r="C209" s="7" t="s">
        <v>245</v>
      </c>
      <c r="D209" s="7"/>
      <c r="E209" s="8">
        <f t="shared" si="11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164</v>
      </c>
      <c r="K209" s="30">
        <v>20</v>
      </c>
    </row>
    <row r="210" spans="3:11" s="4" customFormat="1" ht="15.95" hidden="1" customHeight="1" x14ac:dyDescent="0.25">
      <c r="C210" s="7" t="s">
        <v>244</v>
      </c>
      <c r="D210" s="7"/>
      <c r="E210" s="8">
        <f t="shared" si="11"/>
        <v>85</v>
      </c>
      <c r="F210" s="8"/>
      <c r="G210" s="8"/>
      <c r="H210" s="8"/>
      <c r="I210" s="8">
        <v>1</v>
      </c>
      <c r="J210" s="10" t="s">
        <v>164</v>
      </c>
      <c r="K210" s="30">
        <v>85</v>
      </c>
    </row>
    <row r="211" spans="3:11" s="4" customFormat="1" ht="15.95" customHeight="1" x14ac:dyDescent="0.25">
      <c r="C211" s="26" t="s">
        <v>181</v>
      </c>
      <c r="D211" s="27">
        <f>SUM(E212:E222)</f>
        <v>1043.04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242</v>
      </c>
      <c r="D212" s="7"/>
      <c r="E212" s="8">
        <f t="shared" ref="E212:E222" si="12">I212*K212</f>
        <v>0</v>
      </c>
      <c r="F212" s="8">
        <v>1</v>
      </c>
      <c r="G212" s="8">
        <v>1</v>
      </c>
      <c r="H212" s="12"/>
      <c r="I212" s="8">
        <v>0</v>
      </c>
      <c r="J212" s="10" t="s">
        <v>109</v>
      </c>
      <c r="K212" s="30">
        <v>10.71</v>
      </c>
    </row>
    <row r="213" spans="3:11" s="4" customFormat="1" ht="15.95" hidden="1" customHeight="1" x14ac:dyDescent="0.25">
      <c r="C213" s="7" t="s">
        <v>241</v>
      </c>
      <c r="D213" s="7"/>
      <c r="E213" s="8">
        <f t="shared" si="12"/>
        <v>417.96000000000004</v>
      </c>
      <c r="F213" s="8">
        <v>1</v>
      </c>
      <c r="G213" s="8">
        <v>1</v>
      </c>
      <c r="H213" s="12"/>
      <c r="I213" s="8">
        <v>27</v>
      </c>
      <c r="J213" s="10" t="s">
        <v>109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109</v>
      </c>
      <c r="K214" s="30">
        <v>15.48</v>
      </c>
    </row>
    <row r="215" spans="3:11" s="4" customFormat="1" ht="15.95" hidden="1" customHeight="1" x14ac:dyDescent="0.25">
      <c r="C215" s="7" t="s">
        <v>189</v>
      </c>
      <c r="D215" s="7"/>
      <c r="E215" s="8">
        <f t="shared" si="12"/>
        <v>104.8</v>
      </c>
      <c r="F215" s="8">
        <v>1</v>
      </c>
      <c r="G215" s="8">
        <v>1</v>
      </c>
      <c r="H215" s="12"/>
      <c r="I215" s="8">
        <v>8</v>
      </c>
      <c r="J215" s="10" t="s">
        <v>109</v>
      </c>
      <c r="K215" s="30">
        <v>13.1</v>
      </c>
    </row>
    <row r="216" spans="3:11" s="4" customFormat="1" ht="15.95" hidden="1" customHeight="1" x14ac:dyDescent="0.25">
      <c r="C216" s="7" t="s">
        <v>255</v>
      </c>
      <c r="D216" s="7"/>
      <c r="E216" s="8">
        <f t="shared" si="12"/>
        <v>428.58</v>
      </c>
      <c r="F216" s="8">
        <v>1</v>
      </c>
      <c r="G216" s="8">
        <v>1</v>
      </c>
      <c r="H216" s="12"/>
      <c r="I216" s="8">
        <v>4.5</v>
      </c>
      <c r="J216" s="10" t="s">
        <v>109</v>
      </c>
      <c r="K216" s="30">
        <v>95.24</v>
      </c>
    </row>
    <row r="217" spans="3:11" s="4" customFormat="1" ht="15.95" hidden="1" customHeight="1" x14ac:dyDescent="0.25">
      <c r="C217" s="7" t="s">
        <v>256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109</v>
      </c>
      <c r="K217" s="30">
        <v>47.62</v>
      </c>
    </row>
    <row r="218" spans="3:11" s="4" customFormat="1" ht="15.95" hidden="1" customHeight="1" x14ac:dyDescent="0.25">
      <c r="C218" s="7" t="s">
        <v>70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109</v>
      </c>
      <c r="K218" s="30">
        <v>35.71</v>
      </c>
    </row>
    <row r="219" spans="3:11" s="4" customFormat="1" ht="15.95" hidden="1" customHeight="1" x14ac:dyDescent="0.25">
      <c r="C219" s="7" t="s">
        <v>120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109</v>
      </c>
      <c r="K219" s="30">
        <v>28.57</v>
      </c>
    </row>
    <row r="220" spans="3:11" s="4" customFormat="1" ht="15.95" hidden="1" customHeight="1" x14ac:dyDescent="0.25">
      <c r="C220" s="7" t="s">
        <v>51</v>
      </c>
      <c r="D220" s="7"/>
      <c r="E220" s="8">
        <f t="shared" si="12"/>
        <v>91.7</v>
      </c>
      <c r="F220" s="8">
        <v>1</v>
      </c>
      <c r="G220" s="8">
        <v>1</v>
      </c>
      <c r="H220" s="12"/>
      <c r="I220" s="8">
        <v>7</v>
      </c>
      <c r="J220" s="10" t="s">
        <v>109</v>
      </c>
      <c r="K220" s="30">
        <v>13.1</v>
      </c>
    </row>
    <row r="221" spans="3:11" s="4" customFormat="1" ht="15.95" hidden="1" customHeight="1" x14ac:dyDescent="0.25">
      <c r="C221" s="7" t="s">
        <v>243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109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2"/>
        <v>0</v>
      </c>
      <c r="F222" s="8">
        <v>1</v>
      </c>
      <c r="G222" s="8">
        <v>1</v>
      </c>
      <c r="H222" s="12"/>
      <c r="I222" s="8">
        <v>0</v>
      </c>
      <c r="J222" s="10" t="s">
        <v>109</v>
      </c>
      <c r="K222" s="30">
        <v>10.71</v>
      </c>
    </row>
    <row r="223" spans="3:11" s="4" customFormat="1" ht="15.95" customHeight="1" x14ac:dyDescent="0.25">
      <c r="C223" s="26" t="s">
        <v>180</v>
      </c>
      <c r="D223" s="27">
        <f>SUM(E224:E262)</f>
        <v>3937.5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3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164</v>
      </c>
      <c r="K224" s="30">
        <v>320</v>
      </c>
    </row>
    <row r="225" spans="3:11" s="4" customFormat="1" ht="15.95" hidden="1" customHeight="1" x14ac:dyDescent="0.25">
      <c r="C225" s="7" t="s">
        <v>211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164</v>
      </c>
      <c r="K225" s="30">
        <v>210</v>
      </c>
    </row>
    <row r="226" spans="3:11" s="4" customFormat="1" ht="15.95" hidden="1" customHeight="1" x14ac:dyDescent="0.25">
      <c r="C226" s="7" t="s">
        <v>212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164</v>
      </c>
      <c r="K226" s="30">
        <v>180</v>
      </c>
    </row>
    <row r="227" spans="3:11" s="4" customFormat="1" ht="15.95" hidden="1" customHeight="1" x14ac:dyDescent="0.25">
      <c r="C227" s="7" t="s">
        <v>213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164</v>
      </c>
      <c r="K227" s="30">
        <v>180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164</v>
      </c>
      <c r="K228" s="30">
        <v>110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164</v>
      </c>
      <c r="K229" s="30">
        <v>310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164</v>
      </c>
      <c r="K230" s="30">
        <v>160</v>
      </c>
    </row>
    <row r="231" spans="3:11" s="4" customFormat="1" ht="15.95" hidden="1" customHeight="1" x14ac:dyDescent="0.25">
      <c r="C231" s="7" t="s">
        <v>58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164</v>
      </c>
      <c r="K231" s="30">
        <v>10</v>
      </c>
    </row>
    <row r="232" spans="3:11" s="4" customFormat="1" ht="15.95" hidden="1" customHeight="1" x14ac:dyDescent="0.25">
      <c r="C232" s="7" t="s">
        <v>220</v>
      </c>
      <c r="D232" s="7"/>
      <c r="E232" s="8">
        <f t="shared" si="13"/>
        <v>0</v>
      </c>
      <c r="F232" s="12"/>
      <c r="G232" s="12"/>
      <c r="H232" s="12"/>
      <c r="I232" s="8">
        <v>0</v>
      </c>
      <c r="J232" s="10" t="s">
        <v>164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164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164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164</v>
      </c>
      <c r="K235" s="30">
        <v>220</v>
      </c>
    </row>
    <row r="236" spans="3:11" s="4" customFormat="1" ht="15.95" hidden="1" customHeight="1" x14ac:dyDescent="0.25">
      <c r="C236" s="7" t="s">
        <v>179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164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164</v>
      </c>
      <c r="K237" s="30">
        <v>250</v>
      </c>
    </row>
    <row r="238" spans="3:11" s="4" customFormat="1" ht="15.95" hidden="1" customHeight="1" x14ac:dyDescent="0.25">
      <c r="C238" s="7" t="s">
        <v>208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164</v>
      </c>
      <c r="K238" s="30">
        <v>390</v>
      </c>
    </row>
    <row r="239" spans="3:11" s="4" customFormat="1" ht="15.95" hidden="1" customHeight="1" x14ac:dyDescent="0.25">
      <c r="C239" s="7" t="s">
        <v>234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164</v>
      </c>
      <c r="K239" s="30">
        <v>460</v>
      </c>
    </row>
    <row r="240" spans="3:11" s="4" customFormat="1" ht="15.95" hidden="1" customHeight="1" x14ac:dyDescent="0.25">
      <c r="C240" s="7" t="s">
        <v>209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164</v>
      </c>
      <c r="K240" s="30">
        <v>850</v>
      </c>
    </row>
    <row r="241" spans="3:11" s="4" customFormat="1" ht="15.95" hidden="1" customHeight="1" x14ac:dyDescent="0.25">
      <c r="C241" s="7" t="s">
        <v>185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164</v>
      </c>
      <c r="K241" s="30">
        <v>1400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164</v>
      </c>
      <c r="K242" s="30">
        <v>360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164</v>
      </c>
      <c r="K243" s="30">
        <v>550</v>
      </c>
    </row>
    <row r="244" spans="3:11" s="4" customFormat="1" ht="15.95" hidden="1" customHeight="1" x14ac:dyDescent="0.25">
      <c r="C244" s="7" t="s">
        <v>240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164</v>
      </c>
      <c r="K244" s="30">
        <v>580</v>
      </c>
    </row>
    <row r="245" spans="3:11" s="4" customFormat="1" ht="15.95" hidden="1" customHeight="1" x14ac:dyDescent="0.25">
      <c r="C245" s="7" t="s">
        <v>232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164</v>
      </c>
      <c r="K245" s="30">
        <v>680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164</v>
      </c>
      <c r="K246" s="30">
        <v>750</v>
      </c>
    </row>
    <row r="247" spans="3:11" s="4" customFormat="1" ht="15.95" hidden="1" customHeight="1" x14ac:dyDescent="0.25">
      <c r="C247" s="7" t="s">
        <v>233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164</v>
      </c>
      <c r="K247" s="30">
        <v>340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164</v>
      </c>
      <c r="K248" s="30">
        <v>160</v>
      </c>
    </row>
    <row r="249" spans="3:11" s="4" customFormat="1" ht="15.95" hidden="1" customHeight="1" x14ac:dyDescent="0.25">
      <c r="C249" s="7" t="s">
        <v>235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164</v>
      </c>
      <c r="K249" s="30">
        <v>130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164</v>
      </c>
      <c r="K250" s="30">
        <v>130</v>
      </c>
    </row>
    <row r="251" spans="3:11" s="4" customFormat="1" ht="15.95" hidden="1" customHeight="1" x14ac:dyDescent="0.25">
      <c r="C251" s="7" t="s">
        <v>221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164</v>
      </c>
      <c r="K251" s="30">
        <v>400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164</v>
      </c>
      <c r="K252" s="30">
        <v>260</v>
      </c>
    </row>
    <row r="253" spans="3:11" s="4" customFormat="1" ht="15.95" hidden="1" customHeight="1" x14ac:dyDescent="0.25">
      <c r="C253" s="7" t="s">
        <v>229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164</v>
      </c>
      <c r="K253" s="30">
        <v>180</v>
      </c>
    </row>
    <row r="254" spans="3:11" s="4" customFormat="1" ht="15.95" hidden="1" customHeight="1" x14ac:dyDescent="0.25">
      <c r="C254" s="7" t="s">
        <v>230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164</v>
      </c>
      <c r="K254" s="30">
        <v>120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164</v>
      </c>
      <c r="K255" s="30">
        <v>220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164</v>
      </c>
      <c r="K256" s="30">
        <v>230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227</v>
      </c>
      <c r="K257" s="30">
        <v>500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164</v>
      </c>
      <c r="K258" s="30">
        <v>180</v>
      </c>
    </row>
    <row r="259" spans="3:11" s="4" customFormat="1" ht="15.95" hidden="1" customHeight="1" x14ac:dyDescent="0.25">
      <c r="C259" s="7" t="s">
        <v>222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164</v>
      </c>
      <c r="K259" s="30">
        <v>260</v>
      </c>
    </row>
    <row r="260" spans="3:11" s="4" customFormat="1" ht="15.95" hidden="1" customHeight="1" x14ac:dyDescent="0.25">
      <c r="C260" s="7" t="s">
        <v>217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164</v>
      </c>
      <c r="K260" s="30">
        <v>6500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164</v>
      </c>
      <c r="K261" s="30">
        <v>8800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3"/>
        <v>3937.5</v>
      </c>
      <c r="F262" s="8">
        <v>2.5</v>
      </c>
      <c r="G262" s="8">
        <v>1.5</v>
      </c>
      <c r="H262" s="8"/>
      <c r="I262" s="8">
        <v>3.75</v>
      </c>
      <c r="J262" s="10" t="s">
        <v>164</v>
      </c>
      <c r="K262" s="30">
        <v>1050</v>
      </c>
    </row>
    <row r="263" spans="3:11" s="22" customFormat="1" ht="15.95" customHeight="1" x14ac:dyDescent="0.25">
      <c r="C263" s="32" t="s">
        <v>146</v>
      </c>
      <c r="D263" s="33">
        <f>SUM(E264)</f>
        <v>10500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10500</v>
      </c>
      <c r="F264" s="24"/>
      <c r="G264" s="24"/>
      <c r="H264" s="24"/>
      <c r="I264" s="24">
        <v>1</v>
      </c>
      <c r="J264" s="25" t="s">
        <v>164</v>
      </c>
      <c r="K264" s="48">
        <v>10500</v>
      </c>
    </row>
    <row r="265" spans="3:11" s="22" customFormat="1" ht="15.95" customHeight="1" x14ac:dyDescent="0.25">
      <c r="C265" s="32" t="s">
        <v>144</v>
      </c>
      <c r="D265" s="33">
        <f>SUM(E266)</f>
        <v>2500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2500</v>
      </c>
      <c r="F266" s="41"/>
      <c r="G266" s="41"/>
      <c r="H266" s="41"/>
      <c r="I266" s="24">
        <v>2</v>
      </c>
      <c r="J266" s="25" t="s">
        <v>147</v>
      </c>
      <c r="K266" s="48">
        <v>1250</v>
      </c>
    </row>
    <row r="267" spans="3:11" s="22" customFormat="1" ht="15.95" customHeight="1" x14ac:dyDescent="0.25">
      <c r="C267" s="32" t="s">
        <v>145</v>
      </c>
      <c r="D267" s="33">
        <f>SUM(E268)</f>
        <v>3000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3000</v>
      </c>
      <c r="F268" s="41"/>
      <c r="G268" s="41"/>
      <c r="H268" s="41"/>
      <c r="I268" s="24">
        <v>2</v>
      </c>
      <c r="J268" s="25" t="s">
        <v>164</v>
      </c>
      <c r="K268" s="48">
        <v>1500</v>
      </c>
    </row>
    <row r="269" spans="3:11" s="22" customFormat="1" ht="15.95" customHeight="1" x14ac:dyDescent="0.25">
      <c r="C269" s="32" t="s">
        <v>210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164</v>
      </c>
      <c r="K270" s="48">
        <v>1200</v>
      </c>
    </row>
    <row r="271" spans="3:11" s="22" customFormat="1" ht="15.95" customHeight="1" x14ac:dyDescent="0.25">
      <c r="C271" s="32" t="s">
        <v>261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260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164</v>
      </c>
      <c r="K272" s="48">
        <v>0</v>
      </c>
    </row>
    <row r="273" spans="3:11" ht="15.95" customHeight="1" thickBot="1" x14ac:dyDescent="0.3">
      <c r="C273" s="18" t="s">
        <v>56</v>
      </c>
      <c r="D273" s="14">
        <f>SUM(D2:D272)</f>
        <v>33786.85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2025-11-13T10:38:59Z</dcterms:modified>
</cp:coreProperties>
</file>