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Zealandia Pet Food @ Interzoo 2026\Option-2\With Hanging\Standard Cost\"/>
    </mc:Choice>
  </mc:AlternateContent>
  <xr:revisionPtr revIDLastSave="0" documentId="13_ncr:1_{9CF37E06-7ACE-4B6F-862D-24BEBCD476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26" i="1"/>
  <c r="E265" i="1" l="1"/>
  <c r="D264" i="1" s="1"/>
  <c r="E136" i="1" l="1"/>
  <c r="E271" i="1" l="1"/>
  <c r="D270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9" i="1" l="1"/>
  <c r="D268" i="1" s="1"/>
  <c r="E267" i="1"/>
  <c r="D266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3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2" i="1"/>
  <c r="E33" i="1"/>
  <c r="E28" i="1"/>
  <c r="E83" i="1" l="1"/>
  <c r="E82" i="1"/>
  <c r="E79" i="1"/>
  <c r="E51" i="1"/>
  <c r="E50" i="1"/>
  <c r="E49" i="1"/>
  <c r="E61" i="1" l="1"/>
  <c r="E63" i="1" l="1"/>
  <c r="E60" i="1"/>
  <c r="E45" i="1" l="1"/>
  <c r="E41" i="1"/>
  <c r="E42" i="1"/>
  <c r="E152" i="1" l="1"/>
  <c r="E144" i="1" l="1"/>
  <c r="E68" i="1" l="1"/>
  <c r="E69" i="1"/>
  <c r="E72" i="1"/>
  <c r="E75" i="1"/>
  <c r="E30" i="1"/>
  <c r="E31" i="1"/>
  <c r="E9" i="1"/>
  <c r="E8" i="1"/>
  <c r="E7" i="1"/>
  <c r="D2" i="1" l="1"/>
  <c r="E17" i="1" l="1"/>
  <c r="E18" i="1"/>
  <c r="E19" i="1"/>
  <c r="E20" i="1"/>
  <c r="E25" i="1"/>
  <c r="E27" i="1"/>
  <c r="E29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0" i="1"/>
  <c r="E221" i="1"/>
  <c r="D220" i="1" s="1"/>
  <c r="D16" i="1" l="1"/>
  <c r="D151" i="1"/>
  <c r="D132" i="1"/>
  <c r="D143" i="1"/>
  <c r="D109" i="1"/>
  <c r="D272" i="1" l="1"/>
</calcChain>
</file>

<file path=xl/sharedStrings.xml><?xml version="1.0" encoding="utf-8"?>
<sst xmlns="http://schemas.openxmlformats.org/spreadsheetml/2006/main" count="583" uniqueCount="283">
  <si>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</si>
  <si>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</si>
  <si>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</si>
  <si>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</si>
  <si>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</si>
  <si>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</si>
  <si>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</si>
  <si>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</si>
  <si>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</si>
  <si>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</si>
  <si>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</si>
  <si>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</si>
  <si>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</si>
  <si>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</si>
  <si>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</si>
  <si>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</si>
  <si>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</si>
  <si>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</si>
  <si>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</si>
  <si>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</si>
  <si>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</si>
  <si>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</si>
  <si>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</si>
  <si>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</si>
  <si>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</si>
  <si>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</si>
  <si>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</si>
  <si>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</si>
  <si>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</si>
  <si>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</si>
  <si>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</si>
  <si>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</si>
  <si>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</si>
  <si>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</si>
  <si>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</si>
  <si>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</si>
  <si>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</si>
  <si>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</si>
  <si>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</si>
  <si>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</si>
  <si>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</si>
  <si>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</si>
  <si>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</si>
  <si>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</si>
  <si>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</si>
  <si>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</si>
  <si>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</si>
  <si>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</si>
  <si>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</si>
  <si>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</si>
  <si>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</si>
  <si>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</si>
  <si>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</si>
  <si>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</si>
  <si>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</si>
  <si>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</si>
  <si>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</si>
  <si>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</si>
  <si>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</si>
  <si>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</si>
  <si>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</si>
  <si>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</si>
  <si>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</si>
  <si>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</si>
  <si>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</si>
  <si>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</si>
  <si>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</si>
  <si>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</si>
  <si>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</si>
  <si>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</si>
  <si>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</si>
  <si>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</si>
  <si>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</si>
  <si>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</si>
  <si>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</si>
  <si>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</si>
  <si>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</si>
  <si>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</si>
  <si>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</si>
  <si>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</si>
  <si>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</si>
  <si>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</si>
  <si>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</si>
  <si>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</si>
  <si>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</si>
  <si>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</si>
  <si>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</si>
  <si>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</si>
  <si>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</si>
  <si>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</si>
  <si>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</si>
  <si>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</si>
  <si>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</si>
  <si>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</si>
  <si>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</si>
  <si>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</si>
  <si>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</si>
  <si>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</si>
  <si>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</si>
  <si>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</si>
  <si>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</si>
  <si>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</si>
  <si>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</si>
  <si>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</si>
  <si>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</si>
  <si>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</si>
  <si>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</si>
  <si>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</si>
  <si>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</si>
  <si>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</si>
  <si>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</si>
  <si>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</si>
  <si>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</si>
  <si>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</si>
  <si>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</si>
  <si>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</si>
  <si>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</si>
  <si>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</si>
  <si>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</si>
  <si>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</si>
  <si>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</si>
  <si>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</si>
  <si>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</si>
  <si>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</si>
  <si>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</si>
  <si>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</si>
  <si>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</si>
  <si>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</si>
  <si>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</si>
  <si>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</si>
  <si>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</si>
  <si>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</si>
  <si>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</si>
  <si>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</si>
  <si>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</si>
  <si>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</si>
  <si>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</si>
  <si>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</si>
  <si>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</si>
  <si>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</si>
  <si>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</si>
  <si>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</si>
  <si>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</si>
  <si>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</si>
  <si>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</si>
  <si>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</si>
  <si>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</si>
  <si>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</si>
  <si>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</si>
  <si>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</si>
  <si>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</si>
  <si>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</si>
  <si>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</si>
  <si>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</si>
  <si>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</si>
  <si>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</si>
  <si>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</si>
  <si>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</si>
  <si>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</si>
  <si>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</si>
  <si>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</si>
  <si>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</si>
  <si>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</si>
  <si>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</si>
  <si>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</si>
  <si>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</si>
  <si>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</si>
  <si>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</si>
  <si>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</si>
  <si>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</si>
  <si>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</si>
  <si>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</si>
  <si>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</si>
  <si>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</si>
  <si>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</si>
  <si>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</si>
  <si>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</si>
  <si>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</si>
  <si>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</si>
  <si>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</si>
  <si>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</si>
  <si>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</si>
  <si>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</si>
  <si>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</si>
  <si>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</si>
  <si>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</si>
  <si>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</si>
  <si>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</si>
  <si>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</si>
  <si>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</si>
  <si>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</si>
  <si>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</si>
  <si>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</si>
  <si>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</si>
  <si>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</si>
  <si>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</si>
  <si>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</si>
  <si>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</si>
  <si>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</si>
  <si>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</si>
  <si>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</si>
  <si>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</si>
  <si>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</si>
  <si>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</si>
  <si>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</si>
  <si>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</si>
  <si>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</si>
  <si>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</si>
  <si>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</si>
  <si>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</si>
  <si>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</si>
  <si>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</si>
  <si>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</si>
  <si>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</si>
  <si>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</si>
  <si>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</si>
  <si>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</si>
  <si>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</si>
  <si>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</si>
  <si>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</si>
  <si>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</si>
  <si>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</si>
  <si>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</si>
  <si>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</si>
  <si>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</si>
  <si>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</si>
  <si>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</si>
  <si>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</si>
  <si>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</si>
  <si>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</si>
  <si>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</si>
  <si>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</si>
  <si>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</si>
  <si>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</si>
  <si>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</si>
  <si>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</si>
  <si>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</si>
  <si>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</si>
  <si>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</si>
  <si>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</si>
  <si>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</si>
  <si>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</si>
  <si>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</si>
  <si>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</si>
  <si>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</si>
  <si>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</si>
  <si>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</si>
  <si>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</si>
  <si>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</si>
  <si>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</si>
  <si>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</si>
  <si>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</si>
  <si>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</si>
  <si>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</si>
  <si>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</si>
  <si>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</si>
  <si>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</si>
  <si>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</si>
  <si>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</si>
  <si>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</si>
  <si>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</si>
  <si>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</si>
  <si>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</si>
  <si>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</si>
  <si>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</si>
  <si>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</si>
  <si>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</si>
  <si>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</si>
  <si>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</si>
  <si>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</si>
  <si>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</si>
  <si>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</si>
  <si>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</si>
  <si>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(Laminated)- 1.2 x 0.5 x 1.0</t>
  </si>
  <si>
    <t>Opt Nr:-  2</t>
  </si>
  <si>
    <t>Date:- 16-03-2026</t>
  </si>
  <si>
    <t xml:space="preserve">Zealandia Pet Food </t>
  </si>
  <si>
    <t>INTERZOO 2026</t>
  </si>
  <si>
    <t>10.5M X 7.5M</t>
  </si>
  <si>
    <t>79 SQM</t>
  </si>
  <si>
    <t>3M</t>
  </si>
  <si>
    <t>12-15 May, 2026</t>
  </si>
  <si>
    <t>NUREMBERG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</si>
</sst>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1026238</xdr:colOff>
      <xdr:row>265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742999-A2D9-4EE2-8271-6AA5736D1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83513" cy="149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C109" sqref="C10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1201.74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225.94</v>
      </c>
      <c r="F3" s="8"/>
      <c r="G3" s="8"/>
      <c r="H3" s="8"/>
      <c r="I3" s="9">
        <v>79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830</v>
      </c>
      <c r="F7" s="8"/>
      <c r="G7" s="8"/>
      <c r="H7" s="8"/>
      <c r="I7" s="9">
        <v>83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145.79999999999998</v>
      </c>
      <c r="F9" s="8"/>
      <c r="G9" s="8"/>
      <c r="H9" s="8"/>
      <c r="I9" s="9">
        <v>36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SUM(E17:E87)</f>
        <v>1892.84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ref="E26" si="2">I26*K26</f>
        <v>1254.78</v>
      </c>
      <c r="F26" s="8">
        <v>1</v>
      </c>
      <c r="G26" s="8">
        <v>0.1</v>
      </c>
      <c r="H26" s="8">
        <v>3</v>
      </c>
      <c r="I26" s="9">
        <v>18</v>
      </c>
      <c r="J26" s="10" t="s">
        <v>154</v>
      </c>
      <c r="K26" s="30">
        <v>69.709999999999994</v>
      </c>
    </row>
    <row r="27" spans="2:11" ht="15.95" hidden="1" customHeight="1" x14ac:dyDescent="0.25">
      <c r="B27" s="29"/>
      <c r="C27" s="7" t="s">
        <v>35</v>
      </c>
      <c r="D27" s="7"/>
      <c r="E27" s="8">
        <f t="shared" si="1"/>
        <v>418.26</v>
      </c>
      <c r="F27" s="8">
        <v>1</v>
      </c>
      <c r="G27" s="8">
        <v>0.1</v>
      </c>
      <c r="H27" s="8">
        <v>3</v>
      </c>
      <c r="I27" s="9">
        <v>6</v>
      </c>
      <c r="J27" s="10" t="s">
        <v>154</v>
      </c>
      <c r="K27" s="30">
        <v>69.709999999999994</v>
      </c>
    </row>
    <row r="28" spans="2:11" ht="15.95" hidden="1" customHeight="1" x14ac:dyDescent="0.25">
      <c r="C28" s="7" t="s">
        <v>99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84.86</v>
      </c>
    </row>
    <row r="29" spans="2:11" ht="15.95" hidden="1" customHeight="1" x14ac:dyDescent="0.25">
      <c r="C29" s="7" t="s">
        <v>33</v>
      </c>
      <c r="D29" s="7"/>
      <c r="E29" s="8">
        <f t="shared" si="1"/>
        <v>0</v>
      </c>
      <c r="F29" s="8">
        <v>1</v>
      </c>
      <c r="G29" s="8">
        <v>0.1</v>
      </c>
      <c r="H29" s="8">
        <v>3</v>
      </c>
      <c r="I29" s="9">
        <v>0</v>
      </c>
      <c r="J29" s="10" t="s">
        <v>154</v>
      </c>
      <c r="K29" s="30">
        <v>104.86</v>
      </c>
    </row>
    <row r="30" spans="2:11" ht="15.95" hidden="1" customHeight="1" x14ac:dyDescent="0.25">
      <c r="B30" s="29" t="s">
        <v>249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71.430000000000007</v>
      </c>
    </row>
    <row r="31" spans="2:11" ht="15.95" hidden="1" customHeight="1" x14ac:dyDescent="0.25">
      <c r="B31" s="29" t="s">
        <v>249</v>
      </c>
      <c r="C31" s="7" t="s">
        <v>66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83.81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98.57</v>
      </c>
    </row>
    <row r="33" spans="2:11" ht="15.95" hidden="1" customHeight="1" x14ac:dyDescent="0.25">
      <c r="C33" s="7" t="s">
        <v>98</v>
      </c>
      <c r="D33" s="7"/>
      <c r="E33" s="8">
        <f t="shared" si="1"/>
        <v>0</v>
      </c>
      <c r="F33" s="8">
        <v>1</v>
      </c>
      <c r="G33" s="8">
        <v>0.1</v>
      </c>
      <c r="H33" s="8">
        <v>3.5</v>
      </c>
      <c r="I33" s="9">
        <v>0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3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3:11" ht="15.95" hidden="1" customHeight="1" x14ac:dyDescent="0.25">
      <c r="C50" s="7" t="s">
        <v>95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3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3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3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3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3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3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3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3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3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3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3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3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3:11" ht="15.95" hidden="1" customHeight="1" x14ac:dyDescent="0.25">
      <c r="C63" s="7" t="s">
        <v>78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3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3"/>
        <v>219.79999999999998</v>
      </c>
      <c r="F81" s="24">
        <v>1</v>
      </c>
      <c r="G81" s="24"/>
      <c r="H81" s="24">
        <v>1</v>
      </c>
      <c r="I81" s="44">
        <v>14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281</v>
      </c>
      <c r="C88" s="26" t="s">
        <v>195</v>
      </c>
      <c r="D88" s="27">
        <f>SUM(E89:E108)</f>
        <v>2372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600</v>
      </c>
      <c r="F89" s="24"/>
      <c r="G89" s="24"/>
      <c r="H89" s="24"/>
      <c r="I89" s="24">
        <v>24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80</v>
      </c>
      <c r="F90" s="24"/>
      <c r="G90" s="24"/>
      <c r="H90" s="24"/>
      <c r="I90" s="24">
        <v>8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32</v>
      </c>
      <c r="F91" s="24"/>
      <c r="G91" s="24"/>
      <c r="H91" s="24"/>
      <c r="I91" s="24">
        <v>16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266</v>
      </c>
      <c r="D95" s="7"/>
      <c r="E95" s="24">
        <f t="shared" si="5"/>
        <v>1660</v>
      </c>
      <c r="F95" s="8"/>
      <c r="G95" s="8"/>
      <c r="H95" s="8"/>
      <c r="I95" s="8">
        <v>2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278</v>
      </c>
      <c r="C109" s="26" t="s">
        <v>196</v>
      </c>
      <c r="D109" s="27">
        <f>SUM(E110:E131)</f>
        <v>309.52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6"/>
        <v>309.52</v>
      </c>
      <c r="F113" s="8">
        <v>1.2</v>
      </c>
      <c r="G113" s="8">
        <v>0.5</v>
      </c>
      <c r="H113" s="8">
        <v>1</v>
      </c>
      <c r="I113" s="8">
        <v>2</v>
      </c>
      <c r="J113" s="10" t="s">
        <v>166</v>
      </c>
      <c r="K113" s="30">
        <v>154.76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6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70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70</v>
      </c>
      <c r="F133" s="12"/>
      <c r="G133" s="12"/>
      <c r="H133" s="12"/>
      <c r="I133" s="8">
        <v>2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50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50</v>
      </c>
      <c r="F147" s="8">
        <v>0</v>
      </c>
      <c r="G147" s="8">
        <v>0</v>
      </c>
      <c r="H147" s="8">
        <v>0</v>
      </c>
      <c r="I147" s="8">
        <v>2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865.08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238</v>
      </c>
      <c r="F152" s="8"/>
      <c r="G152" s="8"/>
      <c r="H152" s="8"/>
      <c r="I152" s="8">
        <v>20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70</v>
      </c>
      <c r="F159" s="12"/>
      <c r="G159" s="12"/>
      <c r="H159" s="12"/>
      <c r="I159" s="8">
        <v>14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285.60000000000002</v>
      </c>
      <c r="F160" s="8"/>
      <c r="G160" s="8"/>
      <c r="H160" s="8"/>
      <c r="I160" s="8">
        <v>24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81</v>
      </c>
      <c r="F163" s="8"/>
      <c r="G163" s="8"/>
      <c r="H163" s="8"/>
      <c r="I163" s="8">
        <v>20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525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30</v>
      </c>
      <c r="F166" s="12"/>
      <c r="G166" s="12"/>
      <c r="H166" s="12"/>
      <c r="I166" s="8">
        <v>2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192</v>
      </c>
      <c r="F167" s="12"/>
      <c r="G167" s="12"/>
      <c r="H167" s="12"/>
      <c r="I167" s="8">
        <v>16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80</v>
      </c>
      <c r="F168" s="12"/>
      <c r="G168" s="12"/>
      <c r="H168" s="12"/>
      <c r="I168" s="8">
        <v>4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140</v>
      </c>
      <c r="F180" s="12"/>
      <c r="G180" s="12"/>
      <c r="H180" s="12"/>
      <c r="I180" s="8">
        <v>4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16</v>
      </c>
      <c r="F193" s="8"/>
      <c r="G193" s="8"/>
      <c r="H193" s="8"/>
      <c r="I193" s="8">
        <v>2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425.12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247.68</v>
      </c>
      <c r="F210" s="8">
        <v>1</v>
      </c>
      <c r="G210" s="8">
        <v>1</v>
      </c>
      <c r="H210" s="12"/>
      <c r="I210" s="8">
        <v>16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46.44</v>
      </c>
      <c r="F211" s="8">
        <v>1</v>
      </c>
      <c r="G211" s="8">
        <v>1</v>
      </c>
      <c r="H211" s="12"/>
      <c r="I211" s="8">
        <v>3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131</v>
      </c>
      <c r="F212" s="8">
        <v>1</v>
      </c>
      <c r="G212" s="8">
        <v>1</v>
      </c>
      <c r="H212" s="12"/>
      <c r="I212" s="8">
        <v>10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500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500</v>
      </c>
      <c r="F234" s="8"/>
      <c r="G234" s="8"/>
      <c r="H234" s="8"/>
      <c r="I234" s="8">
        <v>2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166</v>
      </c>
      <c r="K261" s="48">
        <v>11800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272</v>
      </c>
      <c r="D264" s="33">
        <f>SUM(E265)</f>
        <v>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</v>
      </c>
      <c r="F265" s="41"/>
      <c r="G265" s="41"/>
      <c r="H265" s="41"/>
      <c r="I265" s="24">
        <v>1</v>
      </c>
      <c r="J265" s="25" t="s">
        <v>166</v>
      </c>
      <c r="K265" s="48">
        <v>500</v>
      </c>
    </row>
    <row r="266" spans="3:11" s="22" customFormat="1" ht="15.95" customHeight="1" x14ac:dyDescent="0.25">
      <c r="C266" s="32" t="s">
        <v>147</v>
      </c>
      <c r="D266" s="33">
        <f>SUM(E267)</f>
        <v>3000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3000</v>
      </c>
      <c r="F267" s="41"/>
      <c r="G267" s="41"/>
      <c r="H267" s="41"/>
      <c r="I267" s="24">
        <v>2</v>
      </c>
      <c r="J267" s="25" t="s">
        <v>166</v>
      </c>
      <c r="K267" s="48">
        <v>1500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264</v>
      </c>
      <c r="D270" s="33">
        <f>SUM(E271)</f>
        <v>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263</v>
      </c>
      <c r="D271" s="38"/>
      <c r="E271" s="39">
        <f>I271*K271</f>
        <v>0</v>
      </c>
      <c r="F271" s="41"/>
      <c r="G271" s="41"/>
      <c r="H271" s="41"/>
      <c r="I271" s="24">
        <v>0</v>
      </c>
      <c r="J271" s="25" t="s">
        <v>166</v>
      </c>
      <c r="K271" s="48">
        <v>0</v>
      </c>
    </row>
    <row r="272" spans="3:11" ht="15.95" customHeight="1" thickBot="1" x14ac:dyDescent="0.3">
      <c r="C272" s="18" t="s">
        <v>57</v>
      </c>
      <c r="D272" s="14">
        <f>SUM(D2:D271)</f>
        <v>27476.3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2026-03-16T11:55:32Z</dcterms:modified>
</cp:coreProperties>
</file>