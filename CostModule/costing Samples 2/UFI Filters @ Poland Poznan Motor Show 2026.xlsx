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UFI Filters @ TTM 2026\Standard Cost\"/>
    </mc:Choice>
  </mc:AlternateContent>
  <xr:revisionPtr revIDLastSave="0" documentId="13_ncr:1_{0321B0D4-5B57-40A0-8DD8-AC8993A3C7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6" i="1" l="1"/>
  <c r="E117" i="1" l="1"/>
  <c r="E30" i="1"/>
  <c r="E116" i="1"/>
  <c r="E118" i="1"/>
  <c r="E114" i="1"/>
  <c r="E113" i="1"/>
  <c r="E112" i="1"/>
  <c r="E141" i="1" l="1"/>
  <c r="E275" i="1" l="1"/>
  <c r="D274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3" i="1" l="1"/>
  <c r="D272" i="1" s="1"/>
  <c r="E271" i="1"/>
  <c r="D270" i="1" s="1"/>
  <c r="E269" i="1"/>
  <c r="D268" i="1" s="1"/>
  <c r="E267" i="1"/>
  <c r="D266" i="1" s="1"/>
  <c r="E14" i="1" l="1"/>
  <c r="E89" i="1" l="1"/>
  <c r="D88" i="1" s="1"/>
  <c r="E15" i="1" l="1"/>
  <c r="E84" i="1" l="1"/>
  <c r="E85" i="1"/>
  <c r="E86" i="1"/>
  <c r="E215" i="1" l="1"/>
  <c r="E138" i="1"/>
  <c r="E171" i="1"/>
  <c r="D170" i="1" s="1"/>
  <c r="D214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7" i="1" l="1"/>
  <c r="E149" i="1" l="1"/>
  <c r="E68" i="1" l="1"/>
  <c r="E69" i="1"/>
  <c r="E72" i="1"/>
  <c r="E75" i="1"/>
  <c r="E29" i="1"/>
  <c r="E31" i="1"/>
  <c r="E9" i="1"/>
  <c r="E8" i="1"/>
  <c r="E7" i="1"/>
  <c r="D2" i="1" l="1"/>
  <c r="E17" i="1" l="1"/>
  <c r="E18" i="1"/>
  <c r="E19" i="1"/>
  <c r="E20" i="1"/>
  <c r="E25" i="1"/>
  <c r="E26" i="1"/>
  <c r="E28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7" i="1"/>
  <c r="D226" i="1" s="1"/>
  <c r="D16" i="1" l="1"/>
  <c r="D156" i="1"/>
  <c r="D137" i="1"/>
  <c r="D148" i="1"/>
  <c r="D109" i="1"/>
  <c r="D276" i="1" l="1"/>
</calcChain>
</file>

<file path=xl/sharedStrings.xml><?xml version="1.0" encoding="utf-8"?>
<sst xmlns="http://schemas.openxmlformats.org/spreadsheetml/2006/main" count="594" uniqueCount="288">
  <si>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</si>
  <si>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</si>
  <si>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</si>
  <si>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</si>
  <si>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</si>
  <si>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</si>
  <si>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</si>
  <si>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</si>
  <si>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</si>
  <si>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</si>
  <si>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</si>
  <si>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</si>
  <si>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</si>
  <si>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</si>
  <si>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</si>
  <si>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</si>
  <si>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</si>
  <si>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</si>
  <si>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</si>
  <si>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</si>
  <si>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</si>
  <si>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</si>
  <si>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</si>
  <si>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</si>
  <si>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</si>
  <si>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</si>
  <si>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</si>
  <si>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</si>
  <si>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</si>
  <si>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</si>
  <si>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</si>
  <si>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</si>
  <si>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</si>
  <si>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</si>
  <si>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</si>
  <si>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</si>
  <si>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</si>
  <si>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</si>
  <si>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</si>
  <si>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</si>
  <si>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</si>
  <si>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</si>
  <si>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</si>
  <si>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</si>
  <si>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</si>
  <si>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</si>
  <si>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</si>
  <si>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</si>
  <si>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</si>
  <si>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</si>
  <si>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</si>
  <si>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</si>
  <si>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</si>
  <si>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</si>
  <si>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</si>
  <si>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</si>
  <si>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</si>
  <si>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</si>
  <si>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</si>
  <si>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</si>
  <si>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</si>
  <si>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</si>
  <si>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</si>
  <si>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</si>
  <si>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</si>
  <si>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</si>
  <si>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</si>
  <si>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</si>
  <si>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</si>
  <si>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</si>
  <si>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</si>
  <si>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</si>
  <si>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</si>
  <si>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</si>
  <si>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</si>
  <si>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</si>
  <si>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</si>
  <si>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</si>
  <si>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</si>
  <si>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</si>
  <si>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</si>
  <si>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</si>
  <si>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</si>
  <si>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</si>
  <si>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</si>
  <si>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</si>
  <si>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</si>
  <si>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</si>
  <si>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</si>
  <si>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</si>
  <si>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</si>
  <si>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</si>
  <si>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</si>
  <si>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</si>
  <si>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</si>
  <si>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</si>
  <si>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</si>
  <si>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</si>
  <si>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</si>
  <si>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</si>
  <si>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</si>
  <si>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</si>
  <si>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</si>
  <si>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</si>
  <si>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</si>
  <si>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</si>
  <si>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</si>
  <si>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</si>
  <si>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</si>
  <si>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</si>
  <si>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</si>
  <si>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</si>
  <si>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</si>
  <si>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</si>
  <si>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</si>
  <si>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</si>
  <si>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</si>
  <si>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</si>
  <si>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</si>
  <si>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</si>
  <si>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</si>
  <si>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</si>
  <si>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</si>
  <si>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</si>
  <si>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</si>
  <si>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</si>
  <si>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</si>
  <si>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</si>
  <si>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</si>
  <si>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</si>
  <si>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</si>
  <si>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</si>
  <si>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</si>
  <si>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</si>
  <si>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</si>
  <si>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</si>
  <si>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</si>
  <si>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</si>
  <si>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</si>
  <si>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</si>
  <si>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</si>
  <si>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</si>
  <si>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</si>
  <si>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</si>
  <si>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</si>
  <si>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</si>
  <si>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</si>
  <si>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</si>
  <si>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</si>
  <si>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</si>
  <si>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</si>
  <si>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</si>
  <si>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</si>
  <si>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</si>
  <si>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</si>
  <si>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</si>
  <si>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</si>
  <si>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</si>
  <si>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</si>
  <si>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</si>
  <si>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</si>
  <si>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</si>
  <si>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</si>
  <si>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</si>
  <si>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</si>
  <si>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</si>
  <si>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</si>
  <si>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</si>
  <si>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</si>
  <si>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</si>
  <si>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</si>
  <si>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</si>
  <si>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</si>
  <si>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</si>
  <si>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</si>
  <si>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</si>
  <si>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</si>
  <si>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</si>
  <si>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</si>
  <si>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</si>
  <si>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</si>
  <si>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</si>
  <si>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</si>
  <si>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</si>
  <si>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</si>
  <si>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</si>
  <si>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</si>
  <si>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</si>
  <si>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</si>
  <si>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</si>
  <si>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</si>
  <si>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</si>
  <si>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</si>
  <si>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</si>
  <si>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</si>
  <si>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</si>
  <si>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</si>
  <si>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</si>
  <si>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</si>
  <si>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</si>
  <si>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</si>
  <si>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</si>
  <si>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</si>
  <si>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</si>
  <si>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</si>
  <si>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</si>
  <si>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</si>
  <si>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</si>
  <si>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</si>
  <si>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</si>
  <si>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</si>
  <si>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</si>
  <si>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</si>
  <si>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</si>
  <si>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</si>
  <si>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</si>
  <si>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</si>
  <si>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</si>
  <si>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</si>
  <si>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</si>
  <si>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</si>
  <si>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</si>
  <si>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</si>
  <si>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</si>
  <si>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</si>
  <si>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</si>
  <si>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</si>
  <si>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</si>
  <si>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</si>
  <si>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</si>
  <si>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</si>
  <si>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</si>
  <si>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</si>
  <si>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</si>
  <si>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</si>
  <si>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</si>
  <si>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</si>
  <si>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</si>
  <si>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</si>
  <si>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</si>
  <si>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</si>
  <si>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</si>
  <si>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</si>
  <si>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</si>
  <si>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</si>
  <si>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</si>
  <si>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</si>
  <si>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</si>
  <si>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</si>
  <si>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</si>
  <si>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</si>
  <si>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</si>
  <si>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</si>
  <si>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 xml:space="preserve">Opt Nr:-  </t>
  </si>
  <si>
    <t xml:space="preserve">Date:-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</si>
  <si>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</si>
  <si>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</si>
  <si>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</si>
  <si>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</si>
  <si>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</si>
  <si>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</si>
  <si>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</si>
  <si>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</si>
  <si>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</si>
  <si>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</si>
  <si>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</si>
  <si>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</si>
  <si>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</si>
  <si>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</si>
  <si>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</si>
  <si>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</si>
  <si>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</si>
  <si>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</si>
  <si>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Catering counter (Laminated)- 2.5 x 0.5 x 1.0</t>
  </si>
  <si>
    <t>Reception counter (Laminated)- 1.8 x 0.5 x 1.0</t>
  </si>
  <si>
    <t>Display (Laminated)- 1.0 x 0.5 x 1.0</t>
  </si>
  <si>
    <t>Display (Laminated)- 0.31 x 0.5 x 0.34</t>
  </si>
  <si>
    <t>Service room table (Laminated)- 1.0 x 0.5 x 1.0</t>
  </si>
  <si>
    <t>Storage (Laminated)- 1.0 x 0.4 x 2.0</t>
  </si>
  <si>
    <t>Poland Poznan Motor Show 2026</t>
  </si>
  <si>
    <t>UFI Filters</t>
  </si>
  <si>
    <t>9M X 8M</t>
  </si>
  <si>
    <t>72 SQM</t>
  </si>
  <si>
    <t>3.5M</t>
  </si>
  <si>
    <t>23-26 April 2026</t>
  </si>
  <si>
    <t>POZNAN, POLAND</t>
  </si>
  <si>
    <t>Shuffleboard game (Laminated)- 2.74 x 0.81 x 0.75</t>
  </si>
  <si>
    <t>Service room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</si>
</sst>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1047750</xdr:colOff>
      <xdr:row>271</xdr:row>
      <xdr:rowOff>100308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2AB00-79F7-4900-88E3-CC6C1BA3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50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F214" sqref="F21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253</v>
      </c>
      <c r="B1" s="31" t="s">
        <v>254</v>
      </c>
      <c r="C1" s="19" t="s">
        <v>46</v>
      </c>
      <c r="D1" s="19" t="s">
        <v>131</v>
      </c>
      <c r="E1" s="20" t="s">
        <v>269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269</v>
      </c>
    </row>
    <row r="2" spans="1:11" s="4" customFormat="1" ht="15.95" customHeight="1" x14ac:dyDescent="0.25">
      <c r="A2" s="21" t="s">
        <v>140</v>
      </c>
      <c r="B2" s="4" t="s">
        <v>280</v>
      </c>
      <c r="C2" s="26" t="s">
        <v>151</v>
      </c>
      <c r="D2" s="27">
        <f>SUM(E3:E11)</f>
        <v>3959.7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2107.5</v>
      </c>
      <c r="F6" s="8"/>
      <c r="G6" s="8"/>
      <c r="H6" s="8"/>
      <c r="I6" s="9">
        <v>75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1714.5</v>
      </c>
      <c r="F8" s="8"/>
      <c r="G8" s="8"/>
      <c r="H8" s="8"/>
      <c r="I8" s="9">
        <v>75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137.69999999999999</v>
      </c>
      <c r="F9" s="8"/>
      <c r="G9" s="8"/>
      <c r="H9" s="8"/>
      <c r="I9" s="9">
        <v>34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279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285</v>
      </c>
      <c r="C16" s="26" t="s">
        <v>184</v>
      </c>
      <c r="D16" s="27">
        <f>SUM(E17:E87)</f>
        <v>2220.5700000000002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ref="E30" si="2">I30*K30</f>
        <v>1089.53</v>
      </c>
      <c r="F30" s="8">
        <v>1</v>
      </c>
      <c r="G30" s="8">
        <v>0.1</v>
      </c>
      <c r="H30" s="8">
        <v>3.5</v>
      </c>
      <c r="I30" s="9">
        <v>13</v>
      </c>
      <c r="J30" s="10" t="s">
        <v>154</v>
      </c>
      <c r="K30" s="30">
        <v>83.81</v>
      </c>
    </row>
    <row r="31" spans="2:11" ht="15.95" hidden="1" customHeight="1" x14ac:dyDescent="0.25">
      <c r="B31" s="29"/>
      <c r="C31" s="7" t="s">
        <v>66</v>
      </c>
      <c r="D31" s="7"/>
      <c r="E31" s="8">
        <f t="shared" si="1"/>
        <v>670.48</v>
      </c>
      <c r="F31" s="8">
        <v>1</v>
      </c>
      <c r="G31" s="8">
        <v>0.1</v>
      </c>
      <c r="H31" s="8">
        <v>3.5</v>
      </c>
      <c r="I31" s="9">
        <v>8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B47" s="29" t="s">
        <v>249</v>
      </c>
      <c r="C47" s="7" t="s">
        <v>27</v>
      </c>
      <c r="D47" s="7"/>
      <c r="E47" s="8">
        <f t="shared" si="1"/>
        <v>460.56</v>
      </c>
      <c r="F47" s="8">
        <v>1</v>
      </c>
      <c r="G47" s="8">
        <v>0.1</v>
      </c>
      <c r="H47" s="8">
        <v>6</v>
      </c>
      <c r="I47" s="9">
        <v>4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263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264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263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284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267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268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281</v>
      </c>
      <c r="C109" s="26" t="s">
        <v>196</v>
      </c>
      <c r="D109" s="27">
        <f>SUM(E110:E136)</f>
        <v>2153.89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271</v>
      </c>
      <c r="D110" s="7"/>
      <c r="E110" s="8">
        <f t="shared" ref="E110:E136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256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273</v>
      </c>
      <c r="D112" s="7"/>
      <c r="E112" s="8">
        <f t="shared" ref="E112:E114" si="7">I112*K112</f>
        <v>358.69</v>
      </c>
      <c r="F112" s="8">
        <v>2.5</v>
      </c>
      <c r="G112" s="8">
        <v>0.5</v>
      </c>
      <c r="H112" s="8">
        <v>1</v>
      </c>
      <c r="I112" s="8">
        <v>1</v>
      </c>
      <c r="J112" s="10" t="s">
        <v>166</v>
      </c>
      <c r="K112" s="30">
        <v>358.69</v>
      </c>
    </row>
    <row r="113" spans="3:11" s="4" customFormat="1" ht="15.95" hidden="1" customHeight="1" x14ac:dyDescent="0.25">
      <c r="C113" s="7" t="s">
        <v>274</v>
      </c>
      <c r="D113" s="7"/>
      <c r="E113" s="8">
        <f t="shared" si="7"/>
        <v>190.48</v>
      </c>
      <c r="F113" s="8">
        <v>1.8</v>
      </c>
      <c r="G113" s="8">
        <v>0.5</v>
      </c>
      <c r="H113" s="8">
        <v>1</v>
      </c>
      <c r="I113" s="8">
        <v>1</v>
      </c>
      <c r="J113" s="10" t="s">
        <v>166</v>
      </c>
      <c r="K113" s="30">
        <v>190.48</v>
      </c>
    </row>
    <row r="114" spans="3:11" s="4" customFormat="1" ht="15.95" hidden="1" customHeight="1" x14ac:dyDescent="0.25">
      <c r="C114" s="7" t="s">
        <v>275</v>
      </c>
      <c r="D114" s="7"/>
      <c r="E114" s="8">
        <f t="shared" si="7"/>
        <v>309.52</v>
      </c>
      <c r="F114" s="8">
        <v>1</v>
      </c>
      <c r="G114" s="8">
        <v>0.5</v>
      </c>
      <c r="H114" s="8">
        <v>1</v>
      </c>
      <c r="I114" s="8">
        <v>2</v>
      </c>
      <c r="J114" s="10" t="s">
        <v>166</v>
      </c>
      <c r="K114" s="30">
        <v>154.76</v>
      </c>
    </row>
    <row r="115" spans="3:11" s="4" customFormat="1" ht="15.95" hidden="1" customHeight="1" x14ac:dyDescent="0.25">
      <c r="C115" s="7" t="s">
        <v>276</v>
      </c>
      <c r="D115" s="7"/>
      <c r="E115" s="8">
        <f t="shared" si="6"/>
        <v>119</v>
      </c>
      <c r="F115" s="8">
        <v>0.31</v>
      </c>
      <c r="G115" s="8">
        <v>0.5</v>
      </c>
      <c r="H115" s="8">
        <v>0.34</v>
      </c>
      <c r="I115" s="8">
        <v>1</v>
      </c>
      <c r="J115" s="10" t="s">
        <v>166</v>
      </c>
      <c r="K115" s="30">
        <v>119</v>
      </c>
    </row>
    <row r="116" spans="3:11" s="4" customFormat="1" ht="15.95" hidden="1" customHeight="1" x14ac:dyDescent="0.25">
      <c r="C116" s="7" t="s">
        <v>277</v>
      </c>
      <c r="D116" s="7"/>
      <c r="E116" s="8">
        <f t="shared" ref="E116:E117" si="8">I116*K116</f>
        <v>154.76</v>
      </c>
      <c r="F116" s="8">
        <v>1</v>
      </c>
      <c r="G116" s="8">
        <v>0.5</v>
      </c>
      <c r="H116" s="8">
        <v>1</v>
      </c>
      <c r="I116" s="8">
        <v>1</v>
      </c>
      <c r="J116" s="10" t="s">
        <v>166</v>
      </c>
      <c r="K116" s="30">
        <v>154.76</v>
      </c>
    </row>
    <row r="117" spans="3:11" s="4" customFormat="1" ht="15.95" hidden="1" customHeight="1" x14ac:dyDescent="0.25">
      <c r="C117" s="7" t="s">
        <v>278</v>
      </c>
      <c r="D117" s="7"/>
      <c r="E117" s="8">
        <f t="shared" si="8"/>
        <v>571.43999999999994</v>
      </c>
      <c r="F117" s="8">
        <v>1</v>
      </c>
      <c r="G117" s="8">
        <v>0.4</v>
      </c>
      <c r="H117" s="8">
        <v>2</v>
      </c>
      <c r="I117" s="8">
        <v>3</v>
      </c>
      <c r="J117" s="10" t="s">
        <v>166</v>
      </c>
      <c r="K117" s="30">
        <v>190.48</v>
      </c>
    </row>
    <row r="118" spans="3:11" s="4" customFormat="1" ht="15.95" hidden="1" customHeight="1" x14ac:dyDescent="0.25">
      <c r="C118" s="7" t="s">
        <v>286</v>
      </c>
      <c r="D118" s="7"/>
      <c r="E118" s="8">
        <f t="shared" si="6"/>
        <v>450</v>
      </c>
      <c r="F118" s="8">
        <v>2.74</v>
      </c>
      <c r="G118" s="8">
        <v>0.81</v>
      </c>
      <c r="H118" s="8">
        <v>0.75</v>
      </c>
      <c r="I118" s="8">
        <v>1</v>
      </c>
      <c r="J118" s="10" t="s">
        <v>166</v>
      </c>
      <c r="K118" s="30">
        <v>450</v>
      </c>
    </row>
    <row r="119" spans="3:11" s="4" customFormat="1" ht="15.95" hidden="1" customHeight="1" x14ac:dyDescent="0.25">
      <c r="C119" s="7" t="s">
        <v>257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302.29000000000002</v>
      </c>
    </row>
    <row r="120" spans="3:11" s="4" customFormat="1" ht="15.95" hidden="1" customHeight="1" x14ac:dyDescent="0.25">
      <c r="C120" s="7" t="s">
        <v>255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604.02</v>
      </c>
    </row>
    <row r="121" spans="3:11" s="4" customFormat="1" ht="15.95" hidden="1" customHeight="1" x14ac:dyDescent="0.25">
      <c r="C121" s="7" t="s">
        <v>258</v>
      </c>
      <c r="D121" s="7"/>
      <c r="E121" s="8">
        <f t="shared" si="6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166</v>
      </c>
      <c r="K121" s="30">
        <v>423.86</v>
      </c>
    </row>
    <row r="122" spans="3:11" s="4" customFormat="1" ht="15.95" hidden="1" customHeight="1" x14ac:dyDescent="0.25">
      <c r="C122" s="7" t="s">
        <v>157</v>
      </c>
      <c r="D122" s="7"/>
      <c r="E122" s="8">
        <f t="shared" si="6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166</v>
      </c>
      <c r="K122" s="30">
        <v>595.24</v>
      </c>
    </row>
    <row r="123" spans="3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166</v>
      </c>
      <c r="K123" s="30">
        <v>161.9</v>
      </c>
    </row>
    <row r="124" spans="3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166</v>
      </c>
      <c r="K124" s="30">
        <v>190.48</v>
      </c>
    </row>
    <row r="125" spans="3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166</v>
      </c>
      <c r="K125" s="30">
        <v>216.67</v>
      </c>
    </row>
    <row r="126" spans="3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166</v>
      </c>
      <c r="K126" s="30">
        <v>154.76</v>
      </c>
    </row>
    <row r="127" spans="3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177.98</v>
      </c>
    </row>
    <row r="128" spans="3:11" s="4" customFormat="1" ht="15.95" hidden="1" customHeight="1" x14ac:dyDescent="0.25">
      <c r="C128" s="7" t="s">
        <v>202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260.12</v>
      </c>
    </row>
    <row r="129" spans="1:11" s="4" customFormat="1" ht="15.95" hidden="1" customHeight="1" x14ac:dyDescent="0.25">
      <c r="B129" s="29" t="s">
        <v>249</v>
      </c>
      <c r="C129" s="7" t="s">
        <v>120</v>
      </c>
      <c r="D129" s="7"/>
      <c r="E129" s="8">
        <f t="shared" si="6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166</v>
      </c>
      <c r="K129" s="30">
        <v>210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166</v>
      </c>
      <c r="K130" s="30">
        <v>223.81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166</v>
      </c>
      <c r="K131" s="30">
        <v>65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6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55</v>
      </c>
      <c r="D133" s="7"/>
      <c r="E133" s="8">
        <f t="shared" si="6"/>
        <v>0</v>
      </c>
      <c r="F133" s="8"/>
      <c r="G133" s="8"/>
      <c r="H133" s="8"/>
      <c r="I133" s="8">
        <v>0</v>
      </c>
      <c r="J133" s="10" t="s">
        <v>166</v>
      </c>
      <c r="K133" s="30">
        <v>12</v>
      </c>
    </row>
    <row r="134" spans="1:11" s="4" customFormat="1" ht="15.95" hidden="1" customHeight="1" x14ac:dyDescent="0.25">
      <c r="C134" s="7" t="s">
        <v>130</v>
      </c>
      <c r="D134" s="7"/>
      <c r="E134" s="8">
        <f t="shared" si="6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111</v>
      </c>
      <c r="K134" s="30">
        <v>21.9</v>
      </c>
    </row>
    <row r="135" spans="1:11" s="4" customFormat="1" ht="15.95" hidden="1" customHeight="1" x14ac:dyDescent="0.25">
      <c r="C135" s="7" t="s">
        <v>203</v>
      </c>
      <c r="D135" s="7"/>
      <c r="E135" s="8">
        <f t="shared" si="6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166</v>
      </c>
      <c r="K135" s="30">
        <v>177.98</v>
      </c>
    </row>
    <row r="136" spans="1:11" s="4" customFormat="1" ht="15.95" hidden="1" customHeight="1" x14ac:dyDescent="0.25">
      <c r="C136" s="7" t="s">
        <v>178</v>
      </c>
      <c r="D136" s="7"/>
      <c r="E136" s="8">
        <f t="shared" si="6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166</v>
      </c>
      <c r="K136" s="30">
        <v>383.33</v>
      </c>
    </row>
    <row r="137" spans="1:11" s="4" customFormat="1" ht="15.95" customHeight="1" x14ac:dyDescent="0.25">
      <c r="A137" s="21" t="s">
        <v>143</v>
      </c>
      <c r="B137" s="4" t="s">
        <v>282</v>
      </c>
      <c r="C137" s="26" t="s">
        <v>204</v>
      </c>
      <c r="D137" s="27">
        <f>SUM(E138:E147)</f>
        <v>177.85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249</v>
      </c>
      <c r="C138" s="7" t="s">
        <v>49</v>
      </c>
      <c r="D138" s="7"/>
      <c r="E138" s="8">
        <f t="shared" ref="E138:E147" si="9">I138*K138</f>
        <v>35</v>
      </c>
      <c r="F138" s="12"/>
      <c r="G138" s="12"/>
      <c r="H138" s="12"/>
      <c r="I138" s="8">
        <v>1</v>
      </c>
      <c r="J138" s="10" t="s">
        <v>166</v>
      </c>
      <c r="K138" s="30">
        <v>35</v>
      </c>
    </row>
    <row r="139" spans="1:11" s="4" customFormat="1" ht="15.95" hidden="1" customHeight="1" x14ac:dyDescent="0.25">
      <c r="B139" s="29" t="s">
        <v>249</v>
      </c>
      <c r="C139" s="7" t="s">
        <v>50</v>
      </c>
      <c r="D139" s="7"/>
      <c r="E139" s="8">
        <f t="shared" si="9"/>
        <v>0</v>
      </c>
      <c r="F139" s="8"/>
      <c r="G139" s="8"/>
      <c r="H139" s="8"/>
      <c r="I139" s="8">
        <v>0</v>
      </c>
      <c r="J139" s="10" t="s">
        <v>166</v>
      </c>
      <c r="K139" s="30">
        <v>50</v>
      </c>
    </row>
    <row r="140" spans="1:11" s="4" customFormat="1" ht="15.95" hidden="1" customHeight="1" x14ac:dyDescent="0.25">
      <c r="B140" s="29" t="s">
        <v>249</v>
      </c>
      <c r="C140" s="7" t="s">
        <v>272</v>
      </c>
      <c r="D140" s="7"/>
      <c r="E140" s="8">
        <f t="shared" si="9"/>
        <v>0</v>
      </c>
      <c r="F140" s="8">
        <v>1</v>
      </c>
      <c r="G140" s="8">
        <v>0</v>
      </c>
      <c r="H140" s="8">
        <v>2</v>
      </c>
      <c r="I140" s="8">
        <v>0</v>
      </c>
      <c r="J140" s="10" t="s">
        <v>166</v>
      </c>
      <c r="K140" s="30">
        <v>119.05</v>
      </c>
    </row>
    <row r="141" spans="1:11" s="4" customFormat="1" ht="15.95" hidden="1" customHeight="1" x14ac:dyDescent="0.25">
      <c r="C141" s="7" t="s">
        <v>122</v>
      </c>
      <c r="D141" s="7"/>
      <c r="E141" s="8">
        <f t="shared" si="9"/>
        <v>142.85</v>
      </c>
      <c r="F141" s="8">
        <v>1</v>
      </c>
      <c r="G141" s="8">
        <v>1</v>
      </c>
      <c r="H141" s="8"/>
      <c r="I141" s="8">
        <v>5</v>
      </c>
      <c r="J141" s="10" t="s">
        <v>111</v>
      </c>
      <c r="K141" s="30">
        <v>28.57</v>
      </c>
    </row>
    <row r="142" spans="1:11" s="4" customFormat="1" ht="15.95" hidden="1" customHeight="1" x14ac:dyDescent="0.25">
      <c r="C142" s="7" t="s">
        <v>74</v>
      </c>
      <c r="D142" s="7"/>
      <c r="E142" s="8">
        <f t="shared" si="9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166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9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166</v>
      </c>
      <c r="K143" s="30">
        <v>136.9</v>
      </c>
    </row>
    <row r="144" spans="1:11" s="4" customFormat="1" ht="15.95" hidden="1" customHeight="1" x14ac:dyDescent="0.25">
      <c r="C144" s="7" t="s">
        <v>171</v>
      </c>
      <c r="D144" s="7"/>
      <c r="E144" s="8">
        <f t="shared" si="9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111</v>
      </c>
      <c r="K144" s="30">
        <v>22.62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83.33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32.14</v>
      </c>
    </row>
    <row r="147" spans="1:11" s="4" customFormat="1" ht="15.95" hidden="1" customHeight="1" x14ac:dyDescent="0.25">
      <c r="C147" s="7" t="s">
        <v>164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38.1</v>
      </c>
    </row>
    <row r="148" spans="1:11" s="4" customFormat="1" ht="15.95" customHeight="1" x14ac:dyDescent="0.25">
      <c r="A148" s="21" t="s">
        <v>142</v>
      </c>
      <c r="B148" s="4" t="s">
        <v>283</v>
      </c>
      <c r="C148" s="26" t="s">
        <v>205</v>
      </c>
      <c r="D148" s="27">
        <f>SUM(E149:E155)</f>
        <v>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270</v>
      </c>
      <c r="D149" s="7"/>
      <c r="E149" s="8">
        <f t="shared" ref="E149:E155" si="10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166</v>
      </c>
      <c r="K149" s="30">
        <v>109.52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166</v>
      </c>
      <c r="K150" s="30">
        <v>219.05</v>
      </c>
    </row>
    <row r="151" spans="1:11" s="4" customFormat="1" ht="15.95" hidden="1" customHeight="1" x14ac:dyDescent="0.25">
      <c r="C151" s="7" t="s">
        <v>180</v>
      </c>
      <c r="D151" s="7"/>
      <c r="E151" s="8">
        <f t="shared" si="10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10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B153" s="29" t="s">
        <v>249</v>
      </c>
      <c r="C153" s="7" t="s">
        <v>72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C155" s="7" t="s">
        <v>248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870.08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249</v>
      </c>
      <c r="C157" s="7" t="s">
        <v>19</v>
      </c>
      <c r="D157" s="7"/>
      <c r="E157" s="8">
        <f t="shared" ref="E157:E169" si="11">I157*K157</f>
        <v>166.6</v>
      </c>
      <c r="F157" s="8"/>
      <c r="G157" s="8"/>
      <c r="H157" s="8"/>
      <c r="I157" s="8">
        <v>14</v>
      </c>
      <c r="J157" s="10" t="s">
        <v>166</v>
      </c>
      <c r="K157" s="30">
        <v>11.9</v>
      </c>
    </row>
    <row r="158" spans="1:11" s="4" customFormat="1" ht="15.95" hidden="1" customHeight="1" x14ac:dyDescent="0.25">
      <c r="B158" s="29" t="s">
        <v>249</v>
      </c>
      <c r="C158" s="7" t="s">
        <v>62</v>
      </c>
      <c r="D158" s="7"/>
      <c r="E158" s="8">
        <f t="shared" si="11"/>
        <v>200</v>
      </c>
      <c r="F158" s="8"/>
      <c r="G158" s="8"/>
      <c r="H158" s="8"/>
      <c r="I158" s="8">
        <v>4</v>
      </c>
      <c r="J158" s="10" t="s">
        <v>166</v>
      </c>
      <c r="K158" s="30">
        <v>50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166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14.29</v>
      </c>
    </row>
    <row r="162" spans="2:11" s="4" customFormat="1" ht="15.95" hidden="1" customHeight="1" x14ac:dyDescent="0.25">
      <c r="B162" s="29" t="s">
        <v>249</v>
      </c>
      <c r="C162" s="7" t="s">
        <v>64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B163" s="29" t="s">
        <v>249</v>
      </c>
      <c r="C163" s="7" t="s">
        <v>18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1"/>
        <v>70</v>
      </c>
      <c r="F164" s="12"/>
      <c r="G164" s="12"/>
      <c r="H164" s="12"/>
      <c r="I164" s="8">
        <v>14</v>
      </c>
      <c r="J164" s="10" t="s">
        <v>166</v>
      </c>
      <c r="K164" s="30">
        <v>5</v>
      </c>
    </row>
    <row r="165" spans="2:11" s="4" customFormat="1" ht="15.95" hidden="1" customHeight="1" x14ac:dyDescent="0.25">
      <c r="B165" s="29" t="s">
        <v>249</v>
      </c>
      <c r="C165" s="7" t="s">
        <v>17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166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166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166</v>
      </c>
      <c r="K167" s="30">
        <v>2.38</v>
      </c>
    </row>
    <row r="168" spans="2:11" ht="15.95" hidden="1" customHeight="1" x14ac:dyDescent="0.25">
      <c r="C168" s="7" t="s">
        <v>188</v>
      </c>
      <c r="D168" s="7"/>
      <c r="E168" s="8">
        <f t="shared" si="11"/>
        <v>243</v>
      </c>
      <c r="F168" s="8"/>
      <c r="G168" s="8"/>
      <c r="H168" s="8"/>
      <c r="I168" s="8">
        <v>60</v>
      </c>
      <c r="J168" s="10" t="s">
        <v>150</v>
      </c>
      <c r="K168" s="30">
        <v>4.05</v>
      </c>
    </row>
    <row r="169" spans="2:11" s="4" customFormat="1" ht="15.95" hidden="1" customHeight="1" x14ac:dyDescent="0.25">
      <c r="C169" s="7" t="s">
        <v>158</v>
      </c>
      <c r="D169" s="7"/>
      <c r="E169" s="8">
        <f t="shared" si="11"/>
        <v>190.48</v>
      </c>
      <c r="F169" s="8"/>
      <c r="G169" s="8"/>
      <c r="H169" s="8"/>
      <c r="I169" s="8">
        <v>1</v>
      </c>
      <c r="J169" s="10" t="s">
        <v>166</v>
      </c>
      <c r="K169" s="30">
        <v>190.48</v>
      </c>
    </row>
    <row r="170" spans="2:11" s="4" customFormat="1" ht="15.95" customHeight="1" x14ac:dyDescent="0.25">
      <c r="C170" s="26" t="s">
        <v>206</v>
      </c>
      <c r="D170" s="27">
        <f>SUM(E171:E213)</f>
        <v>659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3" si="12">I171*K171</f>
        <v>60</v>
      </c>
      <c r="F171" s="12"/>
      <c r="G171" s="12"/>
      <c r="H171" s="12"/>
      <c r="I171" s="8">
        <v>4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2"/>
        <v>24</v>
      </c>
      <c r="F172" s="12"/>
      <c r="G172" s="12"/>
      <c r="H172" s="12"/>
      <c r="I172" s="8">
        <v>2</v>
      </c>
      <c r="J172" s="10" t="s">
        <v>166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2"/>
        <v>80</v>
      </c>
      <c r="F173" s="12"/>
      <c r="G173" s="12"/>
      <c r="H173" s="12"/>
      <c r="I173" s="8">
        <v>4</v>
      </c>
      <c r="J173" s="10" t="s">
        <v>166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2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15</v>
      </c>
    </row>
    <row r="176" spans="2:11" s="22" customFormat="1" ht="15.95" hidden="1" customHeight="1" x14ac:dyDescent="0.25">
      <c r="C176" s="23" t="s">
        <v>287</v>
      </c>
      <c r="D176" s="23"/>
      <c r="E176" s="24">
        <f t="shared" si="12"/>
        <v>100</v>
      </c>
      <c r="F176" s="41"/>
      <c r="G176" s="41"/>
      <c r="H176" s="41"/>
      <c r="I176" s="24">
        <v>1</v>
      </c>
      <c r="J176" s="25" t="s">
        <v>166</v>
      </c>
      <c r="K176" s="48">
        <v>100</v>
      </c>
    </row>
    <row r="177" spans="3:11" s="4" customFormat="1" ht="15.95" hidden="1" customHeight="1" x14ac:dyDescent="0.25">
      <c r="C177" s="7" t="s">
        <v>179</v>
      </c>
      <c r="D177" s="7"/>
      <c r="E177" s="8">
        <f t="shared" si="12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166</v>
      </c>
      <c r="K177" s="30">
        <v>385</v>
      </c>
    </row>
    <row r="178" spans="3:11" s="4" customFormat="1" ht="15.95" hidden="1" customHeight="1" x14ac:dyDescent="0.25">
      <c r="C178" s="7" t="s">
        <v>80</v>
      </c>
      <c r="D178" s="7"/>
      <c r="E178" s="8">
        <f t="shared" si="12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130</v>
      </c>
    </row>
    <row r="179" spans="3:11" s="4" customFormat="1" ht="15.95" hidden="1" customHeight="1" x14ac:dyDescent="0.25">
      <c r="C179" s="7" t="s">
        <v>79</v>
      </c>
      <c r="D179" s="7"/>
      <c r="E179" s="8">
        <f t="shared" si="12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166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2"/>
        <v>10</v>
      </c>
      <c r="F183" s="12"/>
      <c r="G183" s="12"/>
      <c r="H183" s="12"/>
      <c r="I183" s="8">
        <v>1</v>
      </c>
      <c r="J183" s="10" t="s">
        <v>166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2"/>
        <v>32</v>
      </c>
      <c r="F184" s="12"/>
      <c r="G184" s="12"/>
      <c r="H184" s="12"/>
      <c r="I184" s="8">
        <v>4</v>
      </c>
      <c r="J184" s="10" t="s">
        <v>166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15</v>
      </c>
    </row>
    <row r="186" spans="3:11" s="4" customFormat="1" ht="15.95" hidden="1" customHeight="1" x14ac:dyDescent="0.25">
      <c r="C186" s="7" t="s">
        <v>190</v>
      </c>
      <c r="D186" s="7"/>
      <c r="E186" s="8">
        <f t="shared" si="12"/>
        <v>70</v>
      </c>
      <c r="F186" s="12"/>
      <c r="G186" s="12"/>
      <c r="H186" s="12"/>
      <c r="I186" s="8">
        <v>2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61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85</v>
      </c>
    </row>
    <row r="188" spans="3:11" s="4" customFormat="1" ht="15.95" hidden="1" customHeight="1" x14ac:dyDescent="0.25">
      <c r="C188" s="7" t="s">
        <v>58</v>
      </c>
      <c r="D188" s="7"/>
      <c r="E188" s="8">
        <f t="shared" si="12"/>
        <v>35</v>
      </c>
      <c r="F188" s="12"/>
      <c r="G188" s="12"/>
      <c r="H188" s="12"/>
      <c r="I188" s="8">
        <v>1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60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135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12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25</v>
      </c>
    </row>
    <row r="193" spans="2:11" s="4" customFormat="1" ht="15.95" hidden="1" customHeight="1" x14ac:dyDescent="0.25">
      <c r="C193" s="7" t="s">
        <v>54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166</v>
      </c>
      <c r="K193" s="30">
        <v>150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159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2"/>
        <v>0</v>
      </c>
      <c r="F196" s="12"/>
      <c r="G196" s="12"/>
      <c r="H196" s="12"/>
      <c r="I196" s="8">
        <v>0</v>
      </c>
      <c r="J196" s="10" t="s">
        <v>166</v>
      </c>
      <c r="K196" s="30">
        <v>600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259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210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2"/>
        <v>8</v>
      </c>
      <c r="F199" s="8"/>
      <c r="G199" s="8"/>
      <c r="H199" s="8"/>
      <c r="I199" s="8">
        <v>1</v>
      </c>
      <c r="J199" s="10" t="s">
        <v>166</v>
      </c>
      <c r="K199" s="30">
        <v>8</v>
      </c>
    </row>
    <row r="200" spans="2:11" s="4" customFormat="1" ht="15.95" hidden="1" customHeight="1" x14ac:dyDescent="0.25">
      <c r="C200" s="7" t="s">
        <v>73</v>
      </c>
      <c r="D200" s="7"/>
      <c r="E200" s="8">
        <f t="shared" si="12"/>
        <v>240</v>
      </c>
      <c r="F200" s="8"/>
      <c r="G200" s="8"/>
      <c r="H200" s="8"/>
      <c r="I200" s="8">
        <v>16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84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B202" s="29" t="s">
        <v>249</v>
      </c>
      <c r="C202" s="7" t="s">
        <v>85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85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15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5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12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25</v>
      </c>
    </row>
    <row r="208" spans="2:11" s="4" customFormat="1" ht="15.95" hidden="1" customHeight="1" x14ac:dyDescent="0.25">
      <c r="C208" s="7" t="s">
        <v>94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166</v>
      </c>
      <c r="K209" s="30">
        <v>6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166</v>
      </c>
      <c r="K210" s="30">
        <v>3</v>
      </c>
    </row>
    <row r="211" spans="3:11" s="4" customFormat="1" ht="15.95" hidden="1" customHeight="1" x14ac:dyDescent="0.25">
      <c r="C211" s="7" t="s">
        <v>124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166</v>
      </c>
      <c r="K211" s="30">
        <v>35</v>
      </c>
    </row>
    <row r="212" spans="3:11" s="4" customFormat="1" ht="15.95" hidden="1" customHeight="1" x14ac:dyDescent="0.25">
      <c r="C212" s="7" t="s">
        <v>247</v>
      </c>
      <c r="D212" s="7"/>
      <c r="E212" s="8">
        <f t="shared" si="12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166</v>
      </c>
      <c r="K212" s="30">
        <v>20</v>
      </c>
    </row>
    <row r="213" spans="3:11" s="4" customFormat="1" ht="15.95" hidden="1" customHeight="1" x14ac:dyDescent="0.25">
      <c r="C213" s="7" t="s">
        <v>246</v>
      </c>
      <c r="D213" s="7"/>
      <c r="E213" s="8">
        <f t="shared" si="12"/>
        <v>0</v>
      </c>
      <c r="F213" s="8"/>
      <c r="G213" s="8"/>
      <c r="H213" s="8"/>
      <c r="I213" s="8">
        <v>0</v>
      </c>
      <c r="J213" s="10" t="s">
        <v>166</v>
      </c>
      <c r="K213" s="30">
        <v>85</v>
      </c>
    </row>
    <row r="214" spans="3:11" s="4" customFormat="1" ht="15.95" customHeight="1" x14ac:dyDescent="0.25">
      <c r="C214" s="26" t="s">
        <v>183</v>
      </c>
      <c r="D214" s="27">
        <f>SUM(E215:E225)</f>
        <v>872.76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244</v>
      </c>
      <c r="D215" s="7"/>
      <c r="E215" s="8">
        <f t="shared" ref="E215:E225" si="13">I215*K215</f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10.71</v>
      </c>
    </row>
    <row r="216" spans="3:11" s="4" customFormat="1" ht="15.95" hidden="1" customHeight="1" x14ac:dyDescent="0.25">
      <c r="C216" s="7" t="s">
        <v>243</v>
      </c>
      <c r="D216" s="7"/>
      <c r="E216" s="8">
        <f t="shared" si="13"/>
        <v>387</v>
      </c>
      <c r="F216" s="8">
        <v>1</v>
      </c>
      <c r="G216" s="8">
        <v>1</v>
      </c>
      <c r="H216" s="12"/>
      <c r="I216" s="8">
        <v>25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191</v>
      </c>
      <c r="D218" s="7"/>
      <c r="E218" s="8">
        <f t="shared" si="13"/>
        <v>104.8</v>
      </c>
      <c r="F218" s="8">
        <v>1</v>
      </c>
      <c r="G218" s="8">
        <v>1</v>
      </c>
      <c r="H218" s="12"/>
      <c r="I218" s="8">
        <v>8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260</v>
      </c>
      <c r="D219" s="7"/>
      <c r="E219" s="8">
        <f t="shared" si="13"/>
        <v>380.96</v>
      </c>
      <c r="F219" s="8">
        <v>1</v>
      </c>
      <c r="G219" s="8">
        <v>1</v>
      </c>
      <c r="H219" s="12"/>
      <c r="I219" s="8">
        <v>4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261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3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182</v>
      </c>
      <c r="D226" s="27">
        <f>SUM(E227:E265)</f>
        <v>470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5" si="14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166</v>
      </c>
      <c r="K227" s="30">
        <v>320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210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310</v>
      </c>
    </row>
    <row r="233" spans="3:11" s="4" customFormat="1" ht="15.95" hidden="1" customHeight="1" x14ac:dyDescent="0.25">
      <c r="C233" s="7" t="s">
        <v>218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160</v>
      </c>
    </row>
    <row r="234" spans="3:11" s="4" customFormat="1" ht="15.95" hidden="1" customHeight="1" x14ac:dyDescent="0.25">
      <c r="C234" s="7" t="s">
        <v>59</v>
      </c>
      <c r="D234" s="7"/>
      <c r="E234" s="8">
        <f t="shared" si="14"/>
        <v>10</v>
      </c>
      <c r="F234" s="12"/>
      <c r="G234" s="12"/>
      <c r="H234" s="12"/>
      <c r="I234" s="8">
        <v>1</v>
      </c>
      <c r="J234" s="10" t="s">
        <v>166</v>
      </c>
      <c r="K234" s="30">
        <v>10</v>
      </c>
    </row>
    <row r="235" spans="3:11" s="4" customFormat="1" ht="15.95" hidden="1" customHeight="1" x14ac:dyDescent="0.25">
      <c r="C235" s="7" t="s">
        <v>222</v>
      </c>
      <c r="D235" s="7"/>
      <c r="E235" s="8">
        <f t="shared" si="14"/>
        <v>0</v>
      </c>
      <c r="F235" s="12"/>
      <c r="G235" s="12"/>
      <c r="H235" s="12"/>
      <c r="I235" s="8">
        <v>0</v>
      </c>
      <c r="J235" s="10" t="s">
        <v>166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181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250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390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4"/>
        <v>460</v>
      </c>
      <c r="F242" s="8"/>
      <c r="G242" s="8"/>
      <c r="H242" s="8"/>
      <c r="I242" s="8">
        <v>1</v>
      </c>
      <c r="J242" s="10" t="s">
        <v>166</v>
      </c>
      <c r="K242" s="30">
        <v>460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850</v>
      </c>
    </row>
    <row r="244" spans="3:11" s="4" customFormat="1" ht="15.95" hidden="1" customHeight="1" x14ac:dyDescent="0.25">
      <c r="C244" s="7" t="s">
        <v>187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1400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360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550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580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680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750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340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160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400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260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120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220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230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229</v>
      </c>
      <c r="K260" s="30">
        <v>500</v>
      </c>
    </row>
    <row r="261" spans="3:11" s="4" customFormat="1" ht="15.95" hidden="1" customHeight="1" x14ac:dyDescent="0.25">
      <c r="C261" s="7" t="s">
        <v>230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180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166</v>
      </c>
      <c r="K262" s="30">
        <v>260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166</v>
      </c>
      <c r="K263" s="30">
        <v>6500</v>
      </c>
    </row>
    <row r="264" spans="3:11" s="4" customFormat="1" ht="15.95" hidden="1" customHeight="1" x14ac:dyDescent="0.25">
      <c r="C264" s="7" t="s">
        <v>221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166</v>
      </c>
      <c r="K264" s="30">
        <v>8800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4"/>
        <v>0</v>
      </c>
      <c r="F265" s="8"/>
      <c r="G265" s="8"/>
      <c r="H265" s="8"/>
      <c r="I265" s="8">
        <v>0</v>
      </c>
      <c r="J265" s="10" t="s">
        <v>166</v>
      </c>
      <c r="K265" s="30">
        <v>1050</v>
      </c>
    </row>
    <row r="266" spans="3:11" s="22" customFormat="1" ht="15.95" customHeight="1" x14ac:dyDescent="0.25">
      <c r="C266" s="32" t="s">
        <v>148</v>
      </c>
      <c r="D266" s="33">
        <f>SUM(E267)</f>
        <v>11800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11800</v>
      </c>
      <c r="F267" s="24"/>
      <c r="G267" s="24"/>
      <c r="H267" s="24"/>
      <c r="I267" s="24">
        <v>1</v>
      </c>
      <c r="J267" s="25" t="s">
        <v>166</v>
      </c>
      <c r="K267" s="48">
        <v>11800</v>
      </c>
    </row>
    <row r="268" spans="3:11" s="22" customFormat="1" ht="15.95" customHeight="1" x14ac:dyDescent="0.25">
      <c r="C268" s="32" t="s">
        <v>146</v>
      </c>
      <c r="D268" s="33">
        <f>SUM(E269)</f>
        <v>1300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1300</v>
      </c>
      <c r="F269" s="41"/>
      <c r="G269" s="41"/>
      <c r="H269" s="41"/>
      <c r="I269" s="24">
        <v>2</v>
      </c>
      <c r="J269" s="25" t="s">
        <v>149</v>
      </c>
      <c r="K269" s="48">
        <v>650</v>
      </c>
    </row>
    <row r="270" spans="3:11" s="22" customFormat="1" ht="15.95" customHeight="1" x14ac:dyDescent="0.25">
      <c r="C270" s="32" t="s">
        <v>147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1000</v>
      </c>
      <c r="F271" s="41"/>
      <c r="G271" s="41"/>
      <c r="H271" s="41"/>
      <c r="I271" s="24">
        <v>2</v>
      </c>
      <c r="J271" s="25" t="s">
        <v>166</v>
      </c>
      <c r="K271" s="48">
        <v>500</v>
      </c>
    </row>
    <row r="272" spans="3:11" s="22" customFormat="1" ht="15.95" customHeight="1" x14ac:dyDescent="0.25">
      <c r="C272" s="32" t="s">
        <v>212</v>
      </c>
      <c r="D272" s="33">
        <f>SUM(E273)</f>
        <v>1000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1000</v>
      </c>
      <c r="F273" s="41"/>
      <c r="G273" s="41"/>
      <c r="H273" s="41"/>
      <c r="I273" s="24">
        <v>1</v>
      </c>
      <c r="J273" s="25" t="s">
        <v>166</v>
      </c>
      <c r="K273" s="48">
        <v>1000</v>
      </c>
    </row>
    <row r="274" spans="3:11" s="22" customFormat="1" ht="15.95" customHeight="1" x14ac:dyDescent="0.25">
      <c r="C274" s="32" t="s">
        <v>266</v>
      </c>
      <c r="D274" s="33">
        <f>SUM(E275)</f>
        <v>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265</v>
      </c>
      <c r="D275" s="38"/>
      <c r="E275" s="39">
        <f>I275*K275</f>
        <v>0</v>
      </c>
      <c r="F275" s="41"/>
      <c r="G275" s="41"/>
      <c r="H275" s="41"/>
      <c r="I275" s="24">
        <v>0</v>
      </c>
      <c r="J275" s="25" t="s">
        <v>166</v>
      </c>
      <c r="K275" s="48">
        <v>0</v>
      </c>
    </row>
    <row r="276" spans="3:11" ht="15.95" customHeight="1" thickBot="1" x14ac:dyDescent="0.3">
      <c r="C276" s="18" t="s">
        <v>57</v>
      </c>
      <c r="D276" s="14">
        <f>SUM(D2:D275)</f>
        <v>26483.85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2026-01-30T11:28:55Z</dcterms:modified>
</cp:coreProperties>
</file>