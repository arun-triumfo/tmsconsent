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three Chemicals @ CPHI 2026\"/>
    </mc:Choice>
  </mc:AlternateContent>
  <xr:revisionPtr revIDLastSave="0" documentId="13_ncr:1_{98FB38CE-DCFF-4102-9029-0BE6683941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4" i="1" l="1"/>
  <c r="E147" i="1"/>
  <c r="E113" i="1"/>
  <c r="E112" i="1"/>
  <c r="E26" i="1"/>
  <c r="E268" i="1" l="1"/>
  <c r="D267" i="1" s="1"/>
  <c r="E138" i="1" l="1"/>
  <c r="E274" i="1" l="1"/>
  <c r="D273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2" i="1" l="1"/>
  <c r="D271" i="1" s="1"/>
  <c r="E270" i="1"/>
  <c r="D269" i="1" s="1"/>
  <c r="E266" i="1"/>
  <c r="D265" i="1" s="1"/>
  <c r="E264" i="1"/>
  <c r="D263" i="1" s="1"/>
  <c r="E14" i="1" l="1"/>
  <c r="E89" i="1" l="1"/>
  <c r="D88" i="1" s="1"/>
  <c r="E15" i="1" l="1"/>
  <c r="E84" i="1" l="1"/>
  <c r="E85" i="1"/>
  <c r="E86" i="1"/>
  <c r="E212" i="1" l="1"/>
  <c r="E135" i="1"/>
  <c r="E169" i="1"/>
  <c r="D168" i="1" s="1"/>
  <c r="D211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5" i="1" l="1"/>
  <c r="E146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4" i="1"/>
  <c r="D223" i="1" s="1"/>
  <c r="D16" i="1" l="1"/>
  <c r="D154" i="1"/>
  <c r="D134" i="1"/>
  <c r="D145" i="1"/>
  <c r="D109" i="1"/>
  <c r="D275" i="1" l="1"/>
</calcChain>
</file>

<file path=xl/sharedStrings.xml><?xml version="1.0" encoding="utf-8"?>
<sst xmlns="http://schemas.openxmlformats.org/spreadsheetml/2006/main" count="591" uniqueCount="285">
  <si>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</si>
  <si>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</si>
  <si>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</si>
  <si>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</si>
  <si>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</si>
  <si>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</si>
  <si>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</si>
  <si>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</si>
  <si>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</si>
  <si>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</si>
  <si>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</si>
  <si>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</si>
  <si>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</si>
  <si>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</si>
  <si>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</si>
  <si>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</si>
  <si>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</si>
  <si>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</si>
  <si>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</si>
  <si>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</si>
  <si>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</si>
  <si>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</si>
  <si>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</si>
  <si>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</si>
  <si>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</si>
  <si>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</si>
  <si>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</si>
  <si>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</si>
  <si>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</si>
  <si>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</si>
  <si>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</si>
  <si>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</si>
  <si>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</si>
  <si>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</si>
  <si>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</si>
  <si>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</si>
  <si>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</si>
  <si>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</si>
  <si>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</si>
  <si>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</si>
  <si>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</si>
  <si>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</si>
  <si>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</si>
  <si>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</si>
  <si>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</si>
  <si>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</si>
  <si>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</si>
  <si>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</si>
  <si>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</si>
  <si>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</si>
  <si>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</si>
  <si>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</si>
  <si>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</si>
  <si>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</si>
  <si>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</si>
  <si>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</si>
  <si>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</si>
  <si>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</si>
  <si>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</si>
  <si>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</si>
  <si>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</si>
  <si>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</si>
  <si>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</si>
  <si>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</si>
  <si>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</si>
  <si>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</si>
  <si>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</si>
  <si>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</si>
  <si>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</si>
  <si>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</si>
  <si>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</si>
  <si>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</si>
  <si>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</si>
  <si>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</si>
  <si>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</si>
  <si>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</si>
  <si>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</si>
  <si>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</si>
  <si>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</si>
  <si>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</si>
  <si>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</si>
  <si>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</si>
  <si>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</si>
  <si>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</si>
  <si>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</si>
  <si>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</si>
  <si>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</si>
  <si>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</si>
  <si>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</si>
  <si>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</si>
  <si>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</si>
  <si>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</si>
  <si>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</si>
  <si>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</si>
  <si>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</si>
  <si>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</si>
  <si>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</si>
  <si>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</si>
  <si>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</si>
  <si>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</si>
  <si>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</si>
  <si>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</si>
  <si>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</si>
  <si>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</si>
  <si>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</si>
  <si>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</si>
  <si>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</si>
  <si>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</si>
  <si>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</si>
  <si>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</si>
  <si>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</si>
  <si>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</si>
  <si>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</si>
  <si>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</si>
  <si>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</si>
  <si>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</si>
  <si>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</si>
  <si>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</si>
  <si>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</si>
  <si>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</si>
  <si>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</si>
  <si>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</si>
  <si>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</si>
  <si>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</si>
  <si>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</si>
  <si>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</si>
  <si>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</si>
  <si>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</si>
  <si>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</si>
  <si>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</si>
  <si>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</si>
  <si>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</si>
  <si>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</si>
  <si>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</si>
  <si>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</si>
  <si>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</si>
  <si>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</si>
  <si>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</si>
  <si>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</si>
  <si>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</si>
  <si>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</si>
  <si>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</si>
  <si>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</si>
  <si>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</si>
  <si>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</si>
  <si>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</si>
  <si>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</si>
  <si>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</si>
  <si>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</si>
  <si>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</si>
  <si>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</si>
  <si>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</si>
  <si>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</si>
  <si>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</si>
  <si>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</si>
  <si>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</si>
  <si>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</si>
  <si>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</si>
  <si>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</si>
  <si>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</si>
  <si>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</si>
  <si>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</si>
  <si>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</si>
  <si>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</si>
  <si>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</si>
  <si>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</si>
  <si>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</si>
  <si>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</si>
  <si>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</si>
  <si>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</si>
  <si>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</si>
  <si>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</si>
  <si>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</si>
  <si>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</si>
  <si>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</si>
  <si>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</si>
  <si>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</si>
  <si>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</si>
  <si>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</si>
  <si>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</si>
  <si>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</si>
  <si>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</si>
  <si>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</si>
  <si>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</si>
  <si>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</si>
  <si>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</si>
  <si>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</si>
  <si>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</si>
  <si>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</si>
  <si>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</si>
  <si>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</si>
  <si>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</si>
  <si>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</si>
  <si>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</si>
  <si>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</si>
  <si>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</si>
  <si>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</si>
  <si>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</si>
  <si>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</si>
  <si>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</si>
  <si>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</si>
  <si>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</si>
  <si>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</si>
  <si>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</si>
  <si>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</si>
  <si>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</si>
  <si>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</si>
  <si>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</si>
  <si>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</si>
  <si>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</si>
  <si>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</si>
  <si>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</si>
  <si>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</si>
  <si>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</si>
  <si>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</si>
  <si>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</si>
  <si>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</si>
  <si>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</si>
  <si>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</si>
  <si>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</si>
  <si>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</si>
  <si>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</si>
  <si>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</si>
  <si>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</si>
  <si>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</si>
  <si>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</si>
  <si>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</si>
  <si>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</si>
  <si>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</si>
  <si>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</si>
  <si>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</si>
  <si>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</si>
  <si>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</si>
  <si>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</si>
  <si>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</si>
  <si>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</si>
  <si>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</si>
  <si>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</si>
  <si>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</si>
  <si>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</si>
  <si>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</si>
  <si>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</si>
  <si>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</si>
  <si>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</si>
  <si>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</si>
  <si>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</si>
  <si>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</si>
  <si>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</si>
  <si>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</si>
  <si>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</si>
  <si>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</si>
  <si>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</si>
  <si>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</si>
  <si>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</si>
  <si>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</si>
  <si>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</si>
  <si>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</si>
  <si>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</si>
  <si>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</si>
  <si>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</si>
  <si>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</si>
  <si>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</si>
  <si>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</si>
  <si>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</si>
  <si>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</si>
  <si>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</si>
  <si>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</si>
  <si>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</si>
  <si>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</si>
  <si>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</si>
  <si>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</si>
  <si>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Bar Counter (Laminated)- 4.0 x 0.5 x 1.0</t>
  </si>
  <si>
    <t xml:space="preserve">COFFEE TABLE </t>
  </si>
  <si>
    <t>Cabinate (Laminated)- 1.0 x 0.5 x 1.0</t>
  </si>
  <si>
    <t>Reck (Laminated)- 1.0 x 0.5 x 2.0</t>
  </si>
  <si>
    <t>Opt Nr:-  1</t>
  </si>
  <si>
    <t>Date:- 20-04-2026</t>
  </si>
  <si>
    <t>STHREE CHEMICALS</t>
  </si>
  <si>
    <t>21M X 6M</t>
  </si>
  <si>
    <t>126 SQM</t>
  </si>
  <si>
    <t>4M</t>
  </si>
  <si>
    <t>06-08 October, 2026</t>
  </si>
  <si>
    <t>MILAN</t>
  </si>
  <si>
    <t>CPHI 2026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</si>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</sst>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1047750</xdr:colOff>
      <xdr:row>270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2C18F-0B99-4300-B339-F451F7A51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61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D277" sqref="D27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277</v>
      </c>
      <c r="C2" s="26" t="s">
        <v>150</v>
      </c>
      <c r="D2" s="27">
        <f>SUM(E3:E11)</f>
        <v>1814.01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360.35999999999996</v>
      </c>
      <c r="F3" s="8"/>
      <c r="G3" s="8"/>
      <c r="H3" s="8"/>
      <c r="I3" s="9">
        <v>126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1320</v>
      </c>
      <c r="F7" s="8"/>
      <c r="G7" s="8"/>
      <c r="H7" s="8"/>
      <c r="I7" s="9">
        <v>132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133.65</v>
      </c>
      <c r="F9" s="8"/>
      <c r="G9" s="8"/>
      <c r="H9" s="8"/>
      <c r="I9" s="9">
        <v>33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283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282</v>
      </c>
      <c r="C16" s="26" t="s">
        <v>183</v>
      </c>
      <c r="D16" s="27">
        <f>SUM(E17:E87)</f>
        <v>6134.2999999999993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ref="E26" si="2">I26*K26</f>
        <v>1324.4899999999998</v>
      </c>
      <c r="F26" s="8">
        <v>1</v>
      </c>
      <c r="G26" s="8">
        <v>0.1</v>
      </c>
      <c r="H26" s="8">
        <v>3</v>
      </c>
      <c r="I26" s="9">
        <v>19</v>
      </c>
      <c r="J26" s="10" t="s">
        <v>153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627.39</v>
      </c>
      <c r="F27" s="8">
        <v>1</v>
      </c>
      <c r="G27" s="8">
        <v>0.1</v>
      </c>
      <c r="H27" s="8">
        <v>3</v>
      </c>
      <c r="I27" s="9">
        <v>9</v>
      </c>
      <c r="J27" s="10" t="s">
        <v>153</v>
      </c>
      <c r="K27" s="30">
        <v>69.709999999999994</v>
      </c>
    </row>
    <row r="28" spans="2:11" ht="15.95" hidden="1" customHeight="1" x14ac:dyDescent="0.25">
      <c r="C28" s="7" t="s">
        <v>98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2:11" ht="15.95" hidden="1" customHeight="1" x14ac:dyDescent="0.25">
      <c r="B30" s="29" t="s">
        <v>248</v>
      </c>
      <c r="C30" s="7" t="s">
        <v>64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2:11" ht="15.95" hidden="1" customHeight="1" x14ac:dyDescent="0.25">
      <c r="B31" s="29" t="s">
        <v>248</v>
      </c>
      <c r="C31" s="7" t="s">
        <v>65</v>
      </c>
      <c r="D31" s="7"/>
      <c r="E31" s="8">
        <f t="shared" si="1"/>
        <v>754.29</v>
      </c>
      <c r="F31" s="8">
        <v>1</v>
      </c>
      <c r="G31" s="8">
        <v>0.1</v>
      </c>
      <c r="H31" s="8">
        <v>3.5</v>
      </c>
      <c r="I31" s="9">
        <v>9</v>
      </c>
      <c r="J31" s="10" t="s">
        <v>153</v>
      </c>
      <c r="K31" s="30">
        <v>83.81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B56" s="29" t="s">
        <v>248</v>
      </c>
      <c r="C56" s="7" t="s">
        <v>36</v>
      </c>
      <c r="D56" s="7"/>
      <c r="E56" s="8">
        <f t="shared" si="3"/>
        <v>1691.9699999999998</v>
      </c>
      <c r="F56" s="8">
        <v>1</v>
      </c>
      <c r="G56" s="8">
        <v>0.2</v>
      </c>
      <c r="H56" s="8">
        <v>3</v>
      </c>
      <c r="I56" s="9">
        <v>21</v>
      </c>
      <c r="J56" s="10" t="s">
        <v>155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1169.1600000000001</v>
      </c>
      <c r="F57" s="8">
        <v>1</v>
      </c>
      <c r="G57" s="8">
        <v>0.2</v>
      </c>
      <c r="H57" s="8">
        <v>3</v>
      </c>
      <c r="I57" s="9">
        <v>12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B65" s="29" t="s">
        <v>248</v>
      </c>
      <c r="C65" s="7" t="s">
        <v>31</v>
      </c>
      <c r="D65" s="7"/>
      <c r="E65" s="8">
        <f t="shared" si="3"/>
        <v>567</v>
      </c>
      <c r="F65" s="8">
        <v>1</v>
      </c>
      <c r="G65" s="8">
        <v>0.2</v>
      </c>
      <c r="H65" s="8">
        <v>4</v>
      </c>
      <c r="I65" s="9">
        <v>4.5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281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278</v>
      </c>
      <c r="C109" s="26" t="s">
        <v>195</v>
      </c>
      <c r="D109" s="27">
        <f>SUM(E110:E133)</f>
        <v>769.1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3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ref="E112:E114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7"/>
        <v>423.86</v>
      </c>
      <c r="F113" s="8">
        <v>4</v>
      </c>
      <c r="G113" s="8">
        <v>0.5</v>
      </c>
      <c r="H113" s="8">
        <v>1</v>
      </c>
      <c r="I113" s="8">
        <v>1</v>
      </c>
      <c r="J113" s="10" t="s">
        <v>165</v>
      </c>
      <c r="K113" s="30">
        <v>423.86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7"/>
        <v>154.76</v>
      </c>
      <c r="F114" s="8">
        <v>1</v>
      </c>
      <c r="G114" s="8">
        <v>0.5</v>
      </c>
      <c r="H114" s="8">
        <v>1</v>
      </c>
      <c r="I114" s="8">
        <v>1</v>
      </c>
      <c r="J114" s="10" t="s">
        <v>165</v>
      </c>
      <c r="K114" s="30">
        <v>154.76</v>
      </c>
    </row>
    <row r="115" spans="2:11" s="4" customFormat="1" ht="15.95" hidden="1" customHeight="1" x14ac:dyDescent="0.25">
      <c r="C115" s="7" t="s">
        <v>274</v>
      </c>
      <c r="D115" s="7"/>
      <c r="E115" s="8">
        <f t="shared" si="6"/>
        <v>190.48</v>
      </c>
      <c r="F115" s="8">
        <v>1</v>
      </c>
      <c r="G115" s="8">
        <v>0.5</v>
      </c>
      <c r="H115" s="8">
        <v>2</v>
      </c>
      <c r="I115" s="8">
        <v>1</v>
      </c>
      <c r="J115" s="10" t="s">
        <v>165</v>
      </c>
      <c r="K115" s="30">
        <v>190.48</v>
      </c>
    </row>
    <row r="116" spans="2:11" s="4" customFormat="1" ht="15.95" hidden="1" customHeight="1" x14ac:dyDescent="0.25">
      <c r="C116" s="7" t="s">
        <v>254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302.29000000000002</v>
      </c>
    </row>
    <row r="117" spans="2:11" s="4" customFormat="1" ht="15.95" hidden="1" customHeight="1" x14ac:dyDescent="0.25">
      <c r="C117" s="7" t="s">
        <v>252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604.02</v>
      </c>
    </row>
    <row r="118" spans="2:11" s="4" customFormat="1" ht="15.95" hidden="1" customHeight="1" x14ac:dyDescent="0.25">
      <c r="C118" s="7" t="s">
        <v>255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423.86</v>
      </c>
    </row>
    <row r="119" spans="2:11" s="4" customFormat="1" ht="15.95" hidden="1" customHeight="1" x14ac:dyDescent="0.25">
      <c r="C119" s="7" t="s">
        <v>156</v>
      </c>
      <c r="D119" s="7"/>
      <c r="E119" s="8">
        <f t="shared" si="6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165</v>
      </c>
      <c r="K119" s="30">
        <v>595.24</v>
      </c>
    </row>
    <row r="120" spans="2:11" s="4" customFormat="1" ht="15.95" hidden="1" customHeight="1" x14ac:dyDescent="0.25">
      <c r="C120" s="7" t="s">
        <v>196</v>
      </c>
      <c r="D120" s="7"/>
      <c r="E120" s="8">
        <f t="shared" si="6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165</v>
      </c>
      <c r="K120" s="30">
        <v>161.9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6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165</v>
      </c>
      <c r="K121" s="30">
        <v>190.48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6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165</v>
      </c>
      <c r="K122" s="30">
        <v>216.67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6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165</v>
      </c>
      <c r="K123" s="30">
        <v>154.76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177.98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165</v>
      </c>
      <c r="K125" s="30">
        <v>260.12</v>
      </c>
    </row>
    <row r="126" spans="2:11" s="4" customFormat="1" ht="15.95" hidden="1" customHeight="1" x14ac:dyDescent="0.25">
      <c r="B126" s="29" t="s">
        <v>248</v>
      </c>
      <c r="C126" s="7" t="s">
        <v>119</v>
      </c>
      <c r="D126" s="7"/>
      <c r="E126" s="8">
        <f t="shared" si="6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165</v>
      </c>
      <c r="K126" s="30">
        <v>210</v>
      </c>
    </row>
    <row r="127" spans="2:11" s="4" customFormat="1" ht="15.95" hidden="1" customHeight="1" x14ac:dyDescent="0.25">
      <c r="C127" s="7" t="s">
        <v>124</v>
      </c>
      <c r="D127" s="7"/>
      <c r="E127" s="8">
        <f t="shared" si="6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165</v>
      </c>
      <c r="K127" s="30">
        <v>223.81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6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165</v>
      </c>
      <c r="K128" s="30">
        <v>65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6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165</v>
      </c>
      <c r="K129" s="30">
        <v>35</v>
      </c>
    </row>
    <row r="130" spans="1:11" s="4" customFormat="1" ht="15.95" hidden="1" customHeight="1" x14ac:dyDescent="0.25">
      <c r="B130" s="29" t="s">
        <v>248</v>
      </c>
      <c r="C130" s="7" t="s">
        <v>54</v>
      </c>
      <c r="D130" s="7"/>
      <c r="E130" s="8">
        <f t="shared" si="6"/>
        <v>0</v>
      </c>
      <c r="F130" s="8"/>
      <c r="G130" s="8"/>
      <c r="H130" s="8"/>
      <c r="I130" s="8">
        <v>0</v>
      </c>
      <c r="J130" s="10" t="s">
        <v>165</v>
      </c>
      <c r="K130" s="30">
        <v>12</v>
      </c>
    </row>
    <row r="131" spans="1:11" s="4" customFormat="1" ht="15.95" hidden="1" customHeight="1" x14ac:dyDescent="0.25">
      <c r="C131" s="7" t="s">
        <v>129</v>
      </c>
      <c r="D131" s="7"/>
      <c r="E131" s="8">
        <f t="shared" si="6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110</v>
      </c>
      <c r="K131" s="30">
        <v>21.9</v>
      </c>
    </row>
    <row r="132" spans="1:11" s="4" customFormat="1" ht="15.95" hidden="1" customHeight="1" x14ac:dyDescent="0.25">
      <c r="C132" s="7" t="s">
        <v>202</v>
      </c>
      <c r="D132" s="7"/>
      <c r="E132" s="8">
        <f t="shared" si="6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165</v>
      </c>
      <c r="K132" s="30">
        <v>177.98</v>
      </c>
    </row>
    <row r="133" spans="1:11" s="4" customFormat="1" ht="15.95" hidden="1" customHeight="1" x14ac:dyDescent="0.25">
      <c r="C133" s="7" t="s">
        <v>177</v>
      </c>
      <c r="D133" s="7"/>
      <c r="E133" s="8">
        <f t="shared" si="6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165</v>
      </c>
      <c r="K133" s="30">
        <v>383.33</v>
      </c>
    </row>
    <row r="134" spans="1:11" s="4" customFormat="1" ht="15.95" customHeight="1" x14ac:dyDescent="0.25">
      <c r="A134" s="21" t="s">
        <v>142</v>
      </c>
      <c r="B134" s="4" t="s">
        <v>279</v>
      </c>
      <c r="C134" s="26" t="s">
        <v>203</v>
      </c>
      <c r="D134" s="27">
        <f>SUM(E135:E144)</f>
        <v>432.625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248</v>
      </c>
      <c r="C135" s="7" t="s">
        <v>48</v>
      </c>
      <c r="D135" s="7"/>
      <c r="E135" s="8">
        <f t="shared" ref="E135:E144" si="8">I135*K135</f>
        <v>35</v>
      </c>
      <c r="F135" s="12"/>
      <c r="G135" s="12"/>
      <c r="H135" s="12"/>
      <c r="I135" s="8">
        <v>1</v>
      </c>
      <c r="J135" s="10" t="s">
        <v>165</v>
      </c>
      <c r="K135" s="30">
        <v>35</v>
      </c>
    </row>
    <row r="136" spans="1:11" s="4" customFormat="1" ht="15.95" hidden="1" customHeight="1" x14ac:dyDescent="0.25">
      <c r="B136" s="29" t="s">
        <v>248</v>
      </c>
      <c r="C136" s="7" t="s">
        <v>49</v>
      </c>
      <c r="D136" s="7"/>
      <c r="E136" s="8">
        <f t="shared" si="8"/>
        <v>100</v>
      </c>
      <c r="F136" s="8"/>
      <c r="G136" s="8"/>
      <c r="H136" s="8"/>
      <c r="I136" s="8">
        <v>2</v>
      </c>
      <c r="J136" s="10" t="s">
        <v>165</v>
      </c>
      <c r="K136" s="30">
        <v>50</v>
      </c>
    </row>
    <row r="137" spans="1:11" s="4" customFormat="1" ht="15.95" hidden="1" customHeight="1" x14ac:dyDescent="0.25">
      <c r="B137" s="29" t="s">
        <v>248</v>
      </c>
      <c r="C137" s="7" t="s">
        <v>269</v>
      </c>
      <c r="D137" s="7"/>
      <c r="E137" s="8">
        <f t="shared" si="8"/>
        <v>297.625</v>
      </c>
      <c r="F137" s="8">
        <v>1</v>
      </c>
      <c r="G137" s="8">
        <v>0</v>
      </c>
      <c r="H137" s="8">
        <v>2</v>
      </c>
      <c r="I137" s="8">
        <v>2.5</v>
      </c>
      <c r="J137" s="10" t="s">
        <v>165</v>
      </c>
      <c r="K137" s="30">
        <v>119.05</v>
      </c>
    </row>
    <row r="138" spans="1:11" s="4" customFormat="1" ht="15.95" hidden="1" customHeight="1" x14ac:dyDescent="0.25">
      <c r="C138" s="7" t="s">
        <v>121</v>
      </c>
      <c r="D138" s="7"/>
      <c r="E138" s="8">
        <f t="shared" si="8"/>
        <v>0</v>
      </c>
      <c r="F138" s="8">
        <v>1</v>
      </c>
      <c r="G138" s="8">
        <v>1</v>
      </c>
      <c r="H138" s="8"/>
      <c r="I138" s="8">
        <v>0</v>
      </c>
      <c r="J138" s="10" t="s">
        <v>110</v>
      </c>
      <c r="K138" s="30">
        <v>28.57</v>
      </c>
    </row>
    <row r="139" spans="1:11" s="4" customFormat="1" ht="15.95" hidden="1" customHeight="1" x14ac:dyDescent="0.25">
      <c r="C139" s="7" t="s">
        <v>73</v>
      </c>
      <c r="D139" s="7"/>
      <c r="E139" s="8">
        <f t="shared" si="8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165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8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165</v>
      </c>
      <c r="K140" s="30">
        <v>136.9</v>
      </c>
    </row>
    <row r="141" spans="1:11" s="4" customFormat="1" ht="15.95" hidden="1" customHeight="1" x14ac:dyDescent="0.25">
      <c r="C141" s="7" t="s">
        <v>170</v>
      </c>
      <c r="D141" s="7"/>
      <c r="E141" s="8">
        <f t="shared" si="8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110</v>
      </c>
      <c r="K141" s="30">
        <v>22.62</v>
      </c>
    </row>
    <row r="142" spans="1:11" s="4" customFormat="1" ht="15.95" hidden="1" customHeight="1" x14ac:dyDescent="0.25">
      <c r="C142" s="7" t="s">
        <v>161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83.33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32.14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38.1</v>
      </c>
    </row>
    <row r="145" spans="1:11" s="4" customFormat="1" ht="15.95" customHeight="1" x14ac:dyDescent="0.25">
      <c r="A145" s="21" t="s">
        <v>141</v>
      </c>
      <c r="B145" s="4" t="s">
        <v>280</v>
      </c>
      <c r="C145" s="26" t="s">
        <v>204</v>
      </c>
      <c r="D145" s="27">
        <f>SUM(E146:E153)</f>
        <v>900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266</v>
      </c>
      <c r="D146" s="7"/>
      <c r="E146" s="8">
        <f t="shared" ref="E146:E153" si="9">I146*K146</f>
        <v>400</v>
      </c>
      <c r="F146" s="8">
        <v>2</v>
      </c>
      <c r="G146" s="8">
        <v>0.2</v>
      </c>
      <c r="H146" s="8">
        <v>1</v>
      </c>
      <c r="I146" s="8">
        <v>2</v>
      </c>
      <c r="J146" s="10" t="s">
        <v>165</v>
      </c>
      <c r="K146" s="30">
        <v>200</v>
      </c>
    </row>
    <row r="147" spans="1:11" s="4" customFormat="1" ht="15.95" hidden="1" customHeight="1" x14ac:dyDescent="0.25">
      <c r="C147" s="7" t="s">
        <v>266</v>
      </c>
      <c r="D147" s="7"/>
      <c r="E147" s="8">
        <f t="shared" ref="E147" si="10">I147*K147</f>
        <v>100</v>
      </c>
      <c r="F147" s="8">
        <v>2</v>
      </c>
      <c r="G147" s="8">
        <v>0.2</v>
      </c>
      <c r="H147" s="8">
        <v>0.2</v>
      </c>
      <c r="I147" s="8">
        <v>1</v>
      </c>
      <c r="J147" s="10" t="s">
        <v>165</v>
      </c>
      <c r="K147" s="30">
        <v>100</v>
      </c>
    </row>
    <row r="148" spans="1:11" s="4" customFormat="1" ht="15.95" hidden="1" customHeight="1" x14ac:dyDescent="0.25">
      <c r="C148" s="7" t="s">
        <v>85</v>
      </c>
      <c r="D148" s="7"/>
      <c r="E148" s="8">
        <f t="shared" si="9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165</v>
      </c>
      <c r="K148" s="30">
        <v>219.05</v>
      </c>
    </row>
    <row r="149" spans="1:11" s="4" customFormat="1" ht="15.95" hidden="1" customHeight="1" x14ac:dyDescent="0.25">
      <c r="C149" s="7" t="s">
        <v>179</v>
      </c>
      <c r="D149" s="7"/>
      <c r="E149" s="8">
        <f t="shared" si="9"/>
        <v>90</v>
      </c>
      <c r="F149" s="8">
        <v>0</v>
      </c>
      <c r="G149" s="8">
        <v>0</v>
      </c>
      <c r="H149" s="8">
        <v>0</v>
      </c>
      <c r="I149" s="8">
        <v>30</v>
      </c>
      <c r="J149" s="10" t="s">
        <v>165</v>
      </c>
      <c r="K149" s="30">
        <v>3</v>
      </c>
    </row>
    <row r="150" spans="1:11" s="4" customFormat="1" ht="15.95" hidden="1" customHeight="1" x14ac:dyDescent="0.25">
      <c r="C150" s="7" t="s">
        <v>52</v>
      </c>
      <c r="D150" s="7"/>
      <c r="E150" s="8">
        <f t="shared" si="9"/>
        <v>50</v>
      </c>
      <c r="F150" s="8">
        <v>0</v>
      </c>
      <c r="G150" s="8">
        <v>0</v>
      </c>
      <c r="H150" s="8">
        <v>0</v>
      </c>
      <c r="I150" s="8">
        <v>2</v>
      </c>
      <c r="J150" s="10" t="s">
        <v>165</v>
      </c>
      <c r="K150" s="30">
        <v>25</v>
      </c>
    </row>
    <row r="151" spans="1:11" s="4" customFormat="1" ht="15.95" hidden="1" customHeight="1" x14ac:dyDescent="0.25">
      <c r="B151" s="29" t="s">
        <v>248</v>
      </c>
      <c r="C151" s="7" t="s">
        <v>71</v>
      </c>
      <c r="D151" s="7"/>
      <c r="E151" s="8">
        <f t="shared" si="9"/>
        <v>0</v>
      </c>
      <c r="F151" s="8">
        <v>0.5</v>
      </c>
      <c r="G151" s="8">
        <v>0.5</v>
      </c>
      <c r="H151" s="8"/>
      <c r="I151" s="8">
        <v>0</v>
      </c>
      <c r="J151" s="10" t="s">
        <v>110</v>
      </c>
      <c r="K151" s="30">
        <v>25</v>
      </c>
    </row>
    <row r="152" spans="1:11" s="4" customFormat="1" ht="15.95" hidden="1" customHeight="1" x14ac:dyDescent="0.25">
      <c r="C152" s="7" t="s">
        <v>90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165</v>
      </c>
      <c r="K152" s="30">
        <v>25</v>
      </c>
    </row>
    <row r="153" spans="1:11" s="4" customFormat="1" ht="15.95" hidden="1" customHeight="1" x14ac:dyDescent="0.25">
      <c r="C153" s="7" t="s">
        <v>247</v>
      </c>
      <c r="D153" s="7"/>
      <c r="E153" s="8">
        <f t="shared" si="9"/>
        <v>260</v>
      </c>
      <c r="F153" s="8"/>
      <c r="G153" s="8"/>
      <c r="H153" s="8"/>
      <c r="I153" s="8">
        <v>13</v>
      </c>
      <c r="J153" s="10" t="s">
        <v>165</v>
      </c>
      <c r="K153" s="30">
        <v>20</v>
      </c>
    </row>
    <row r="154" spans="1:11" s="4" customFormat="1" ht="15.95" customHeight="1" x14ac:dyDescent="0.25">
      <c r="C154" s="26" t="s">
        <v>131</v>
      </c>
      <c r="D154" s="27">
        <f>SUM(E155:E167)</f>
        <v>1110.08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248</v>
      </c>
      <c r="C155" s="7" t="s">
        <v>19</v>
      </c>
      <c r="D155" s="7"/>
      <c r="E155" s="8">
        <f t="shared" ref="E155:E167" si="11">I155*K155</f>
        <v>119</v>
      </c>
      <c r="F155" s="8"/>
      <c r="G155" s="8"/>
      <c r="H155" s="8"/>
      <c r="I155" s="8">
        <v>10</v>
      </c>
      <c r="J155" s="10" t="s">
        <v>165</v>
      </c>
      <c r="K155" s="30">
        <v>11.9</v>
      </c>
    </row>
    <row r="156" spans="1:11" s="4" customFormat="1" ht="15.95" hidden="1" customHeight="1" x14ac:dyDescent="0.25">
      <c r="B156" s="29" t="s">
        <v>248</v>
      </c>
      <c r="C156" s="7" t="s">
        <v>61</v>
      </c>
      <c r="D156" s="7"/>
      <c r="E156" s="8">
        <f t="shared" si="11"/>
        <v>200</v>
      </c>
      <c r="F156" s="8"/>
      <c r="G156" s="8"/>
      <c r="H156" s="8"/>
      <c r="I156" s="8">
        <v>4</v>
      </c>
      <c r="J156" s="10" t="s">
        <v>165</v>
      </c>
      <c r="K156" s="30">
        <v>50</v>
      </c>
    </row>
    <row r="157" spans="1:11" s="4" customFormat="1" ht="15.95" hidden="1" customHeight="1" x14ac:dyDescent="0.25">
      <c r="B157" s="29" t="s">
        <v>248</v>
      </c>
      <c r="C157" s="7" t="s">
        <v>62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165</v>
      </c>
      <c r="K157" s="30">
        <v>65</v>
      </c>
    </row>
    <row r="158" spans="1:11" s="4" customFormat="1" ht="15.95" hidden="1" customHeight="1" x14ac:dyDescent="0.25">
      <c r="C158" s="7" t="s">
        <v>81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165</v>
      </c>
      <c r="K158" s="30">
        <v>23.81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165</v>
      </c>
      <c r="K159" s="30">
        <v>14.29</v>
      </c>
    </row>
    <row r="160" spans="1:11" s="4" customFormat="1" ht="15.95" hidden="1" customHeight="1" x14ac:dyDescent="0.25">
      <c r="B160" s="29" t="s">
        <v>248</v>
      </c>
      <c r="C160" s="7" t="s">
        <v>63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165</v>
      </c>
      <c r="K160" s="30">
        <v>10</v>
      </c>
    </row>
    <row r="161" spans="2:11" s="4" customFormat="1" ht="15.95" hidden="1" customHeight="1" x14ac:dyDescent="0.25">
      <c r="B161" s="29" t="s">
        <v>248</v>
      </c>
      <c r="C161" s="7" t="s">
        <v>18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165</v>
      </c>
      <c r="K161" s="30">
        <v>10</v>
      </c>
    </row>
    <row r="162" spans="2:11" s="4" customFormat="1" ht="15.95" hidden="1" customHeight="1" x14ac:dyDescent="0.25">
      <c r="C162" s="7" t="s">
        <v>50</v>
      </c>
      <c r="D162" s="7"/>
      <c r="E162" s="8">
        <f t="shared" si="11"/>
        <v>110</v>
      </c>
      <c r="F162" s="12"/>
      <c r="G162" s="12"/>
      <c r="H162" s="12"/>
      <c r="I162" s="8">
        <v>22</v>
      </c>
      <c r="J162" s="10" t="s">
        <v>165</v>
      </c>
      <c r="K162" s="30">
        <v>5</v>
      </c>
    </row>
    <row r="163" spans="2:11" s="4" customFormat="1" ht="15.95" hidden="1" customHeight="1" x14ac:dyDescent="0.25">
      <c r="B163" s="29" t="s">
        <v>248</v>
      </c>
      <c r="C163" s="7" t="s">
        <v>17</v>
      </c>
      <c r="D163" s="7"/>
      <c r="E163" s="8">
        <f t="shared" si="11"/>
        <v>166.6</v>
      </c>
      <c r="F163" s="8"/>
      <c r="G163" s="8"/>
      <c r="H163" s="8"/>
      <c r="I163" s="8">
        <v>14</v>
      </c>
      <c r="J163" s="10" t="s">
        <v>165</v>
      </c>
      <c r="K163" s="30">
        <v>11.9</v>
      </c>
    </row>
    <row r="164" spans="2:11" s="4" customFormat="1" ht="15.95" hidden="1" customHeight="1" x14ac:dyDescent="0.25">
      <c r="C164" s="7" t="s">
        <v>55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165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165</v>
      </c>
      <c r="K165" s="30">
        <v>2.38</v>
      </c>
    </row>
    <row r="166" spans="2:11" ht="15.95" hidden="1" customHeight="1" x14ac:dyDescent="0.25">
      <c r="C166" s="7" t="s">
        <v>187</v>
      </c>
      <c r="D166" s="7"/>
      <c r="E166" s="8">
        <f t="shared" si="11"/>
        <v>324</v>
      </c>
      <c r="F166" s="8"/>
      <c r="G166" s="8"/>
      <c r="H166" s="8"/>
      <c r="I166" s="8">
        <v>80</v>
      </c>
      <c r="J166" s="10" t="s">
        <v>149</v>
      </c>
      <c r="K166" s="30">
        <v>4.05</v>
      </c>
    </row>
    <row r="167" spans="2:11" s="4" customFormat="1" ht="15.95" hidden="1" customHeight="1" x14ac:dyDescent="0.25">
      <c r="C167" s="7" t="s">
        <v>157</v>
      </c>
      <c r="D167" s="7"/>
      <c r="E167" s="8">
        <f t="shared" si="11"/>
        <v>190.48</v>
      </c>
      <c r="F167" s="8"/>
      <c r="G167" s="8"/>
      <c r="H167" s="8"/>
      <c r="I167" s="8">
        <v>1</v>
      </c>
      <c r="J167" s="10" t="s">
        <v>165</v>
      </c>
      <c r="K167" s="30">
        <v>190.48</v>
      </c>
    </row>
    <row r="168" spans="2:11" s="4" customFormat="1" ht="15.95" customHeight="1" x14ac:dyDescent="0.25">
      <c r="C168" s="26" t="s">
        <v>205</v>
      </c>
      <c r="D168" s="27">
        <f>SUM(E169:E210)</f>
        <v>1724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2">I169*K169</f>
        <v>30</v>
      </c>
      <c r="F169" s="12"/>
      <c r="G169" s="12"/>
      <c r="H169" s="12"/>
      <c r="I169" s="8">
        <v>2</v>
      </c>
      <c r="J169" s="10" t="s">
        <v>165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2"/>
        <v>552</v>
      </c>
      <c r="F170" s="12"/>
      <c r="G170" s="12"/>
      <c r="H170" s="12"/>
      <c r="I170" s="8">
        <v>46</v>
      </c>
      <c r="J170" s="10" t="s">
        <v>165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2"/>
        <v>160</v>
      </c>
      <c r="F171" s="12"/>
      <c r="G171" s="12"/>
      <c r="H171" s="12"/>
      <c r="I171" s="8">
        <v>8</v>
      </c>
      <c r="J171" s="10" t="s">
        <v>165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50</v>
      </c>
      <c r="F173" s="12"/>
      <c r="G173" s="12"/>
      <c r="H173" s="12"/>
      <c r="I173" s="8">
        <v>2</v>
      </c>
      <c r="J173" s="10" t="s">
        <v>165</v>
      </c>
      <c r="K173" s="30">
        <v>25</v>
      </c>
    </row>
    <row r="174" spans="2:11" s="4" customFormat="1" ht="15.95" hidden="1" customHeight="1" x14ac:dyDescent="0.25">
      <c r="C174" s="7" t="s">
        <v>178</v>
      </c>
      <c r="D174" s="7"/>
      <c r="E174" s="8">
        <f t="shared" si="12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165</v>
      </c>
      <c r="K174" s="30">
        <v>385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2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165</v>
      </c>
      <c r="K175" s="30">
        <v>130</v>
      </c>
    </row>
    <row r="176" spans="2:11" s="4" customFormat="1" ht="15.95" hidden="1" customHeight="1" x14ac:dyDescent="0.25">
      <c r="C176" s="7" t="s">
        <v>78</v>
      </c>
      <c r="D176" s="7"/>
      <c r="E176" s="8">
        <f t="shared" si="12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165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165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2"/>
        <v>340</v>
      </c>
      <c r="F178" s="12"/>
      <c r="G178" s="12"/>
      <c r="H178" s="12"/>
      <c r="I178" s="8">
        <v>4</v>
      </c>
      <c r="J178" s="10" t="s">
        <v>165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165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165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2"/>
        <v>40</v>
      </c>
      <c r="F181" s="12"/>
      <c r="G181" s="12"/>
      <c r="H181" s="12"/>
      <c r="I181" s="8">
        <v>5</v>
      </c>
      <c r="J181" s="10" t="s">
        <v>165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2"/>
        <v>15</v>
      </c>
      <c r="F182" s="12"/>
      <c r="G182" s="12"/>
      <c r="H182" s="12"/>
      <c r="I182" s="8">
        <v>1</v>
      </c>
      <c r="J182" s="10" t="s">
        <v>165</v>
      </c>
      <c r="K182" s="30">
        <v>15</v>
      </c>
    </row>
    <row r="183" spans="3:11" s="4" customFormat="1" ht="15.95" hidden="1" customHeight="1" x14ac:dyDescent="0.25">
      <c r="C183" s="7" t="s">
        <v>189</v>
      </c>
      <c r="D183" s="7"/>
      <c r="E183" s="8">
        <f t="shared" si="12"/>
        <v>70</v>
      </c>
      <c r="F183" s="12"/>
      <c r="G183" s="12"/>
      <c r="H183" s="12"/>
      <c r="I183" s="8">
        <v>2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165</v>
      </c>
      <c r="K184" s="30">
        <v>85</v>
      </c>
    </row>
    <row r="185" spans="3:11" s="4" customFormat="1" ht="15.95" hidden="1" customHeight="1" x14ac:dyDescent="0.25">
      <c r="C185" s="7" t="s">
        <v>57</v>
      </c>
      <c r="D185" s="7"/>
      <c r="E185" s="8">
        <f t="shared" si="12"/>
        <v>35</v>
      </c>
      <c r="F185" s="12"/>
      <c r="G185" s="12"/>
      <c r="H185" s="12"/>
      <c r="I185" s="8">
        <v>1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59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134</v>
      </c>
      <c r="D187" s="7"/>
      <c r="E187" s="8">
        <f t="shared" si="12"/>
        <v>35</v>
      </c>
      <c r="F187" s="12"/>
      <c r="G187" s="12"/>
      <c r="H187" s="12"/>
      <c r="I187" s="8">
        <v>1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2"/>
        <v>12</v>
      </c>
      <c r="F188" s="12"/>
      <c r="G188" s="12"/>
      <c r="H188" s="12"/>
      <c r="I188" s="8">
        <v>1</v>
      </c>
      <c r="J188" s="10" t="s">
        <v>165</v>
      </c>
      <c r="K188" s="30">
        <v>12</v>
      </c>
    </row>
    <row r="189" spans="3:11" s="4" customFormat="1" ht="15.95" hidden="1" customHeight="1" x14ac:dyDescent="0.25">
      <c r="C189" s="7" t="s">
        <v>272</v>
      </c>
      <c r="D189" s="7"/>
      <c r="E189" s="8">
        <f t="shared" si="12"/>
        <v>50</v>
      </c>
      <c r="F189" s="12"/>
      <c r="G189" s="12"/>
      <c r="H189" s="12"/>
      <c r="I189" s="8">
        <v>2</v>
      </c>
      <c r="J189" s="10" t="s">
        <v>165</v>
      </c>
      <c r="K189" s="30">
        <v>25</v>
      </c>
    </row>
    <row r="190" spans="3:11" s="4" customFormat="1" ht="15.95" hidden="1" customHeight="1" x14ac:dyDescent="0.25">
      <c r="C190" s="7" t="s">
        <v>53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165</v>
      </c>
      <c r="K190" s="30">
        <v>150</v>
      </c>
    </row>
    <row r="191" spans="3:11" s="4" customFormat="1" ht="15.95" hidden="1" customHeight="1" x14ac:dyDescent="0.25">
      <c r="C191" s="7" t="s">
        <v>206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165</v>
      </c>
      <c r="K191" s="30">
        <v>15</v>
      </c>
    </row>
    <row r="192" spans="3:11" s="4" customFormat="1" ht="15.95" hidden="1" customHeight="1" x14ac:dyDescent="0.25">
      <c r="C192" s="7" t="s">
        <v>158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165</v>
      </c>
      <c r="K192" s="30">
        <v>15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165</v>
      </c>
      <c r="K193" s="30">
        <v>600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2"/>
        <v>85</v>
      </c>
      <c r="F194" s="8"/>
      <c r="G194" s="8"/>
      <c r="H194" s="8"/>
      <c r="I194" s="8">
        <v>1</v>
      </c>
      <c r="J194" s="10" t="s">
        <v>165</v>
      </c>
      <c r="K194" s="30">
        <v>85</v>
      </c>
    </row>
    <row r="195" spans="2:11" s="4" customFormat="1" ht="15.95" hidden="1" customHeight="1" x14ac:dyDescent="0.25">
      <c r="C195" s="7" t="s">
        <v>256</v>
      </c>
      <c r="D195" s="7"/>
      <c r="E195" s="8">
        <f t="shared" si="12"/>
        <v>210</v>
      </c>
      <c r="F195" s="8"/>
      <c r="G195" s="8"/>
      <c r="H195" s="8"/>
      <c r="I195" s="8">
        <v>1</v>
      </c>
      <c r="J195" s="10" t="s">
        <v>165</v>
      </c>
      <c r="K195" s="30">
        <v>210</v>
      </c>
    </row>
    <row r="196" spans="2:11" s="4" customFormat="1" ht="15.95" hidden="1" customHeight="1" x14ac:dyDescent="0.25">
      <c r="C196" s="7" t="s">
        <v>86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165</v>
      </c>
      <c r="K196" s="30">
        <v>8</v>
      </c>
    </row>
    <row r="197" spans="2:11" s="4" customFormat="1" ht="15.95" hidden="1" customHeight="1" x14ac:dyDescent="0.25">
      <c r="C197" s="7" t="s">
        <v>72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165</v>
      </c>
      <c r="K197" s="30">
        <v>15</v>
      </c>
    </row>
    <row r="198" spans="2:11" s="4" customFormat="1" ht="15.95" hidden="1" customHeight="1" x14ac:dyDescent="0.25">
      <c r="C198" s="7" t="s">
        <v>83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B199" s="29" t="s">
        <v>248</v>
      </c>
      <c r="C199" s="7" t="s">
        <v>84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165</v>
      </c>
      <c r="K199" s="30">
        <v>25</v>
      </c>
    </row>
    <row r="200" spans="2:11" s="4" customFormat="1" ht="15.95" hidden="1" customHeight="1" x14ac:dyDescent="0.25">
      <c r="C200" s="7" t="s">
        <v>87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165</v>
      </c>
      <c r="K200" s="30">
        <v>85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165</v>
      </c>
      <c r="K201" s="30">
        <v>15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165</v>
      </c>
      <c r="K202" s="30">
        <v>5</v>
      </c>
    </row>
    <row r="203" spans="2:11" s="4" customFormat="1" ht="15.95" hidden="1" customHeight="1" x14ac:dyDescent="0.25">
      <c r="C203" s="7" t="s">
        <v>91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165</v>
      </c>
      <c r="K203" s="30">
        <v>12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165</v>
      </c>
      <c r="K204" s="30">
        <v>25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2"/>
        <v>40</v>
      </c>
      <c r="F205" s="8"/>
      <c r="G205" s="8"/>
      <c r="H205" s="8"/>
      <c r="I205" s="8">
        <v>2</v>
      </c>
      <c r="J205" s="10" t="s">
        <v>165</v>
      </c>
      <c r="K205" s="30">
        <v>20</v>
      </c>
    </row>
    <row r="206" spans="2:11" s="4" customFormat="1" ht="15.95" hidden="1" customHeight="1" x14ac:dyDescent="0.25">
      <c r="C206" s="7" t="s">
        <v>120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165</v>
      </c>
      <c r="K206" s="30">
        <v>6</v>
      </c>
    </row>
    <row r="207" spans="2:11" s="4" customFormat="1" ht="15.95" hidden="1" customHeight="1" x14ac:dyDescent="0.25">
      <c r="C207" s="7" t="s">
        <v>122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165</v>
      </c>
      <c r="K207" s="30">
        <v>3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165</v>
      </c>
      <c r="K208" s="30">
        <v>35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2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165</v>
      </c>
      <c r="K209" s="30">
        <v>20</v>
      </c>
    </row>
    <row r="210" spans="3:11" s="4" customFormat="1" ht="15.95" hidden="1" customHeight="1" x14ac:dyDescent="0.25">
      <c r="C210" s="7" t="s">
        <v>245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165</v>
      </c>
      <c r="K210" s="30">
        <v>85</v>
      </c>
    </row>
    <row r="211" spans="3:11" s="4" customFormat="1" ht="15.95" customHeight="1" x14ac:dyDescent="0.25">
      <c r="C211" s="26" t="s">
        <v>182</v>
      </c>
      <c r="D211" s="27">
        <f>SUM(E212:E222)</f>
        <v>1651.5000000000002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243</v>
      </c>
      <c r="D212" s="7"/>
      <c r="E212" s="8">
        <f t="shared" ref="E212:E222" si="13">I212*K212</f>
        <v>0</v>
      </c>
      <c r="F212" s="8">
        <v>1</v>
      </c>
      <c r="G212" s="8">
        <v>1</v>
      </c>
      <c r="H212" s="12"/>
      <c r="I212" s="8">
        <v>0</v>
      </c>
      <c r="J212" s="10" t="s">
        <v>110</v>
      </c>
      <c r="K212" s="30">
        <v>10.71</v>
      </c>
    </row>
    <row r="213" spans="3:11" s="4" customFormat="1" ht="15.95" hidden="1" customHeight="1" x14ac:dyDescent="0.25">
      <c r="C213" s="7" t="s">
        <v>242</v>
      </c>
      <c r="D213" s="7"/>
      <c r="E213" s="8">
        <f t="shared" si="13"/>
        <v>294.12</v>
      </c>
      <c r="F213" s="8">
        <v>1</v>
      </c>
      <c r="G213" s="8">
        <v>1</v>
      </c>
      <c r="H213" s="12"/>
      <c r="I213" s="8">
        <v>19</v>
      </c>
      <c r="J213" s="10" t="s">
        <v>110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3"/>
        <v>510.84000000000003</v>
      </c>
      <c r="F214" s="8">
        <v>1</v>
      </c>
      <c r="G214" s="8">
        <v>1</v>
      </c>
      <c r="H214" s="12"/>
      <c r="I214" s="8">
        <v>33</v>
      </c>
      <c r="J214" s="10" t="s">
        <v>110</v>
      </c>
      <c r="K214" s="30">
        <v>15.48</v>
      </c>
    </row>
    <row r="215" spans="3:11" s="4" customFormat="1" ht="15.95" hidden="1" customHeight="1" x14ac:dyDescent="0.25">
      <c r="C215" s="7" t="s">
        <v>190</v>
      </c>
      <c r="D215" s="7"/>
      <c r="E215" s="8">
        <f t="shared" si="13"/>
        <v>157.19999999999999</v>
      </c>
      <c r="F215" s="8">
        <v>1</v>
      </c>
      <c r="G215" s="8">
        <v>1</v>
      </c>
      <c r="H215" s="12"/>
      <c r="I215" s="8">
        <v>12</v>
      </c>
      <c r="J215" s="10" t="s">
        <v>110</v>
      </c>
      <c r="K215" s="30">
        <v>13.1</v>
      </c>
    </row>
    <row r="216" spans="3:11" s="4" customFormat="1" ht="15.95" hidden="1" customHeight="1" x14ac:dyDescent="0.25">
      <c r="C216" s="7" t="s">
        <v>257</v>
      </c>
      <c r="D216" s="7"/>
      <c r="E216" s="8">
        <f t="shared" si="13"/>
        <v>476.2</v>
      </c>
      <c r="F216" s="8">
        <v>1</v>
      </c>
      <c r="G216" s="8">
        <v>1</v>
      </c>
      <c r="H216" s="12"/>
      <c r="I216" s="8">
        <v>5</v>
      </c>
      <c r="J216" s="10" t="s">
        <v>110</v>
      </c>
      <c r="K216" s="30">
        <v>95.24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3"/>
        <v>95.24</v>
      </c>
      <c r="F217" s="8">
        <v>1</v>
      </c>
      <c r="G217" s="8">
        <v>1</v>
      </c>
      <c r="H217" s="12"/>
      <c r="I217" s="8">
        <v>2</v>
      </c>
      <c r="J217" s="10" t="s">
        <v>110</v>
      </c>
      <c r="K217" s="30">
        <v>47.62</v>
      </c>
    </row>
    <row r="218" spans="3:11" s="4" customFormat="1" ht="15.95" hidden="1" customHeight="1" x14ac:dyDescent="0.25">
      <c r="C218" s="7" t="s">
        <v>70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35.71</v>
      </c>
    </row>
    <row r="219" spans="3:11" s="4" customFormat="1" ht="15.95" hidden="1" customHeight="1" x14ac:dyDescent="0.25">
      <c r="C219" s="7" t="s">
        <v>121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28.57</v>
      </c>
    </row>
    <row r="220" spans="3:11" s="4" customFormat="1" ht="15.95" hidden="1" customHeight="1" x14ac:dyDescent="0.25">
      <c r="C220" s="7" t="s">
        <v>51</v>
      </c>
      <c r="D220" s="7"/>
      <c r="E220" s="8">
        <f t="shared" si="13"/>
        <v>117.89999999999999</v>
      </c>
      <c r="F220" s="8">
        <v>1</v>
      </c>
      <c r="G220" s="8">
        <v>1</v>
      </c>
      <c r="H220" s="12"/>
      <c r="I220" s="8">
        <v>9</v>
      </c>
      <c r="J220" s="10" t="s">
        <v>110</v>
      </c>
      <c r="K220" s="30">
        <v>13.1</v>
      </c>
    </row>
    <row r="221" spans="3:11" s="4" customFormat="1" ht="15.95" hidden="1" customHeight="1" x14ac:dyDescent="0.25">
      <c r="C221" s="7" t="s">
        <v>244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10.71</v>
      </c>
    </row>
    <row r="223" spans="3:11" s="4" customFormat="1" ht="15.95" customHeight="1" x14ac:dyDescent="0.25">
      <c r="C223" s="26" t="s">
        <v>181</v>
      </c>
      <c r="D223" s="27">
        <f>SUM(E224:E262)</f>
        <v>390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4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165</v>
      </c>
      <c r="K224" s="30">
        <v>320</v>
      </c>
    </row>
    <row r="225" spans="3:11" s="4" customFormat="1" ht="15.95" hidden="1" customHeight="1" x14ac:dyDescent="0.25">
      <c r="C225" s="7" t="s">
        <v>212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165</v>
      </c>
      <c r="K225" s="30">
        <v>210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165</v>
      </c>
      <c r="K226" s="30">
        <v>180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165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165</v>
      </c>
      <c r="K228" s="30">
        <v>110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165</v>
      </c>
      <c r="K229" s="30">
        <v>310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165</v>
      </c>
      <c r="K230" s="30">
        <v>160</v>
      </c>
    </row>
    <row r="231" spans="3:11" s="4" customFormat="1" ht="15.95" hidden="1" customHeight="1" x14ac:dyDescent="0.25">
      <c r="C231" s="7" t="s">
        <v>58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165</v>
      </c>
      <c r="K231" s="30">
        <v>10</v>
      </c>
    </row>
    <row r="232" spans="3:11" s="4" customFormat="1" ht="15.95" hidden="1" customHeight="1" x14ac:dyDescent="0.25">
      <c r="C232" s="7" t="s">
        <v>221</v>
      </c>
      <c r="D232" s="7"/>
      <c r="E232" s="8">
        <f t="shared" si="14"/>
        <v>0</v>
      </c>
      <c r="F232" s="12"/>
      <c r="G232" s="12"/>
      <c r="H232" s="12"/>
      <c r="I232" s="8">
        <v>0</v>
      </c>
      <c r="J232" s="10" t="s">
        <v>165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165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165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165</v>
      </c>
      <c r="K235" s="30">
        <v>220</v>
      </c>
    </row>
    <row r="236" spans="3:11" s="4" customFormat="1" ht="15.95" hidden="1" customHeight="1" x14ac:dyDescent="0.25">
      <c r="C236" s="7" t="s">
        <v>180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165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165</v>
      </c>
      <c r="K237" s="30">
        <v>250</v>
      </c>
    </row>
    <row r="238" spans="3:11" s="4" customFormat="1" ht="15.95" hidden="1" customHeight="1" x14ac:dyDescent="0.25">
      <c r="C238" s="7" t="s">
        <v>209</v>
      </c>
      <c r="D238" s="7"/>
      <c r="E238" s="8">
        <f t="shared" si="14"/>
        <v>390</v>
      </c>
      <c r="F238" s="8"/>
      <c r="G238" s="8"/>
      <c r="H238" s="8"/>
      <c r="I238" s="8">
        <v>1</v>
      </c>
      <c r="J238" s="10" t="s">
        <v>165</v>
      </c>
      <c r="K238" s="30">
        <v>390</v>
      </c>
    </row>
    <row r="239" spans="3:11" s="4" customFormat="1" ht="15.95" hidden="1" customHeight="1" x14ac:dyDescent="0.25">
      <c r="C239" s="7" t="s">
        <v>235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165</v>
      </c>
      <c r="K239" s="30">
        <v>460</v>
      </c>
    </row>
    <row r="240" spans="3:11" s="4" customFormat="1" ht="15.95" hidden="1" customHeight="1" x14ac:dyDescent="0.25">
      <c r="C240" s="7" t="s">
        <v>210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165</v>
      </c>
      <c r="K240" s="30">
        <v>850</v>
      </c>
    </row>
    <row r="241" spans="3:11" s="4" customFormat="1" ht="15.95" hidden="1" customHeight="1" x14ac:dyDescent="0.25">
      <c r="C241" s="7" t="s">
        <v>186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165</v>
      </c>
      <c r="K241" s="30">
        <v>1400</v>
      </c>
    </row>
    <row r="242" spans="3:11" s="4" customFormat="1" ht="15.95" hidden="1" customHeight="1" x14ac:dyDescent="0.25">
      <c r="C242" s="7" t="s">
        <v>237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165</v>
      </c>
      <c r="K242" s="30">
        <v>360</v>
      </c>
    </row>
    <row r="243" spans="3:11" s="4" customFormat="1" ht="15.95" hidden="1" customHeight="1" x14ac:dyDescent="0.25">
      <c r="C243" s="7" t="s">
        <v>240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165</v>
      </c>
      <c r="K243" s="30">
        <v>550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165</v>
      </c>
      <c r="K244" s="30">
        <v>580</v>
      </c>
    </row>
    <row r="245" spans="3:11" s="4" customFormat="1" ht="15.95" hidden="1" customHeight="1" x14ac:dyDescent="0.25">
      <c r="C245" s="7" t="s">
        <v>233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165</v>
      </c>
      <c r="K245" s="30">
        <v>680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165</v>
      </c>
      <c r="K246" s="30">
        <v>750</v>
      </c>
    </row>
    <row r="247" spans="3:11" s="4" customFormat="1" ht="15.95" hidden="1" customHeight="1" x14ac:dyDescent="0.25">
      <c r="C247" s="7" t="s">
        <v>234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165</v>
      </c>
      <c r="K247" s="30">
        <v>340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165</v>
      </c>
      <c r="K248" s="30">
        <v>160</v>
      </c>
    </row>
    <row r="249" spans="3:11" s="4" customFormat="1" ht="15.95" hidden="1" customHeight="1" x14ac:dyDescent="0.25">
      <c r="C249" s="7" t="s">
        <v>236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165</v>
      </c>
      <c r="K249" s="30">
        <v>130</v>
      </c>
    </row>
    <row r="250" spans="3:11" s="4" customFormat="1" ht="15.95" hidden="1" customHeight="1" x14ac:dyDescent="0.25">
      <c r="C250" s="7" t="s">
        <v>226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165</v>
      </c>
      <c r="K250" s="30">
        <v>130</v>
      </c>
    </row>
    <row r="251" spans="3:11" s="4" customFormat="1" ht="15.95" hidden="1" customHeight="1" x14ac:dyDescent="0.25">
      <c r="C251" s="7" t="s">
        <v>222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165</v>
      </c>
      <c r="K251" s="30">
        <v>400</v>
      </c>
    </row>
    <row r="252" spans="3:11" s="4" customFormat="1" ht="15.95" hidden="1" customHeight="1" x14ac:dyDescent="0.25">
      <c r="C252" s="7" t="s">
        <v>224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165</v>
      </c>
      <c r="K252" s="30">
        <v>260</v>
      </c>
    </row>
    <row r="253" spans="3:11" s="4" customFormat="1" ht="15.95" hidden="1" customHeight="1" x14ac:dyDescent="0.25">
      <c r="C253" s="7" t="s">
        <v>230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165</v>
      </c>
      <c r="K253" s="30">
        <v>180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165</v>
      </c>
      <c r="K254" s="30">
        <v>120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165</v>
      </c>
      <c r="K255" s="30">
        <v>220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165</v>
      </c>
      <c r="K256" s="30">
        <v>230</v>
      </c>
    </row>
    <row r="257" spans="3:11" s="4" customFormat="1" ht="15.95" hidden="1" customHeight="1" x14ac:dyDescent="0.25">
      <c r="C257" s="7" t="s">
        <v>227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228</v>
      </c>
      <c r="K257" s="30">
        <v>500</v>
      </c>
    </row>
    <row r="258" spans="3:11" s="4" customFormat="1" ht="15.95" hidden="1" customHeight="1" x14ac:dyDescent="0.25">
      <c r="C258" s="7" t="s">
        <v>229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165</v>
      </c>
      <c r="K258" s="30">
        <v>180</v>
      </c>
    </row>
    <row r="259" spans="3:11" s="4" customFormat="1" ht="15.95" hidden="1" customHeight="1" x14ac:dyDescent="0.25">
      <c r="C259" s="7" t="s">
        <v>223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165</v>
      </c>
      <c r="K259" s="30">
        <v>260</v>
      </c>
    </row>
    <row r="260" spans="3:11" s="4" customFormat="1" ht="15.95" hidden="1" customHeight="1" x14ac:dyDescent="0.25">
      <c r="C260" s="7" t="s">
        <v>218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165</v>
      </c>
      <c r="K260" s="30">
        <v>6500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165</v>
      </c>
      <c r="K261" s="30">
        <v>8800</v>
      </c>
    </row>
    <row r="262" spans="3:11" s="4" customFormat="1" ht="15.95" hidden="1" customHeight="1" x14ac:dyDescent="0.25">
      <c r="C262" s="7" t="s">
        <v>219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165</v>
      </c>
      <c r="K262" s="30">
        <v>1050</v>
      </c>
    </row>
    <row r="263" spans="3:11" s="22" customFormat="1" ht="15.95" customHeight="1" x14ac:dyDescent="0.25">
      <c r="C263" s="32" t="s">
        <v>147</v>
      </c>
      <c r="D263" s="33">
        <f>SUM(E264)</f>
        <v>16500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16500</v>
      </c>
      <c r="F264" s="24"/>
      <c r="G264" s="24"/>
      <c r="H264" s="24"/>
      <c r="I264" s="24">
        <v>1</v>
      </c>
      <c r="J264" s="25" t="s">
        <v>165</v>
      </c>
      <c r="K264" s="48">
        <v>16500</v>
      </c>
    </row>
    <row r="265" spans="3:11" s="22" customFormat="1" ht="15.95" customHeight="1" x14ac:dyDescent="0.25">
      <c r="C265" s="32" t="s">
        <v>145</v>
      </c>
      <c r="D265" s="33">
        <f>SUM(E266)</f>
        <v>7000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7000</v>
      </c>
      <c r="F266" s="41"/>
      <c r="G266" s="41"/>
      <c r="H266" s="41"/>
      <c r="I266" s="24">
        <v>4</v>
      </c>
      <c r="J266" s="25" t="s">
        <v>148</v>
      </c>
      <c r="K266" s="48">
        <v>1750</v>
      </c>
    </row>
    <row r="267" spans="3:11" s="22" customFormat="1" ht="15.95" customHeight="1" x14ac:dyDescent="0.25">
      <c r="C267" s="32" t="s">
        <v>270</v>
      </c>
      <c r="D267" s="33">
        <f>SUM(E268)</f>
        <v>800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800</v>
      </c>
      <c r="F268" s="41"/>
      <c r="G268" s="41"/>
      <c r="H268" s="41"/>
      <c r="I268" s="24">
        <v>1</v>
      </c>
      <c r="J268" s="25" t="s">
        <v>165</v>
      </c>
      <c r="K268" s="48">
        <v>800</v>
      </c>
    </row>
    <row r="269" spans="3:11" s="22" customFormat="1" ht="15.95" customHeight="1" x14ac:dyDescent="0.25">
      <c r="C269" s="32" t="s">
        <v>146</v>
      </c>
      <c r="D269" s="33">
        <f>SUM(E270)</f>
        <v>9000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9000</v>
      </c>
      <c r="F270" s="41"/>
      <c r="G270" s="41"/>
      <c r="H270" s="41"/>
      <c r="I270" s="24">
        <v>2</v>
      </c>
      <c r="J270" s="25" t="s">
        <v>165</v>
      </c>
      <c r="K270" s="48">
        <v>4500</v>
      </c>
    </row>
    <row r="271" spans="3:11" s="22" customFormat="1" ht="15.95" customHeight="1" x14ac:dyDescent="0.25">
      <c r="C271" s="32" t="s">
        <v>211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165</v>
      </c>
      <c r="K272" s="48">
        <v>1200</v>
      </c>
    </row>
    <row r="273" spans="3:11" s="22" customFormat="1" ht="15.95" customHeight="1" x14ac:dyDescent="0.25">
      <c r="C273" s="32" t="s">
        <v>262</v>
      </c>
      <c r="D273" s="33">
        <f>SUM(E274)</f>
        <v>1000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284</v>
      </c>
      <c r="D274" s="38"/>
      <c r="E274" s="39">
        <f>I274*K274</f>
        <v>1000</v>
      </c>
      <c r="F274" s="41"/>
      <c r="G274" s="41"/>
      <c r="H274" s="41"/>
      <c r="I274" s="24">
        <v>1</v>
      </c>
      <c r="J274" s="25" t="s">
        <v>165</v>
      </c>
      <c r="K274" s="48">
        <v>1000</v>
      </c>
    </row>
    <row r="275" spans="3:11" ht="15.95" customHeight="1" thickBot="1" x14ac:dyDescent="0.3">
      <c r="C275" s="18" t="s">
        <v>56</v>
      </c>
      <c r="D275" s="14">
        <f>SUM(D2:D274)</f>
        <v>50425.614999999998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2026-04-20T09:28:55Z</dcterms:modified>
</cp:coreProperties>
</file>