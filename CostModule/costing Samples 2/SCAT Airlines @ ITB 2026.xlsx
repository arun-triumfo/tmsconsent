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SCAT Airlines @ ITB 2026\2026-01-14\"/>
    </mc:Choice>
  </mc:AlternateContent>
  <xr:revisionPtr revIDLastSave="0" documentId="13_ncr:1_{016FE2AF-E73E-47C2-9F41-AC1AF879C6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3" i="1" l="1"/>
  <c r="E260" i="1"/>
  <c r="E95" i="1"/>
  <c r="E112" i="1"/>
  <c r="E137" i="1" l="1"/>
  <c r="E271" i="1" l="1"/>
  <c r="D270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1" i="1"/>
  <c r="E269" i="1" l="1"/>
  <c r="D268" i="1" s="1"/>
  <c r="E267" i="1"/>
  <c r="D266" i="1" s="1"/>
  <c r="E265" i="1"/>
  <c r="D264" i="1" s="1"/>
  <c r="E263" i="1"/>
  <c r="D262" i="1" s="1"/>
  <c r="E14" i="1" l="1"/>
  <c r="E88" i="1" l="1"/>
  <c r="D87" i="1" s="1"/>
  <c r="E15" i="1" l="1"/>
  <c r="E83" i="1" l="1"/>
  <c r="E84" i="1"/>
  <c r="E85" i="1"/>
  <c r="E210" i="1" l="1"/>
  <c r="E134" i="1"/>
  <c r="E167" i="1"/>
  <c r="D166" i="1" s="1"/>
  <c r="D209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3" i="1" l="1"/>
  <c r="E145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2" i="1"/>
  <c r="D221" i="1" s="1"/>
  <c r="D16" i="1" l="1"/>
  <c r="D152" i="1"/>
  <c r="D133" i="1"/>
  <c r="D144" i="1"/>
  <c r="D109" i="1"/>
  <c r="D272" i="1" l="1"/>
</calcChain>
</file>

<file path=xl/sharedStrings.xml><?xml version="1.0" encoding="utf-8"?>
<sst xmlns="http://schemas.openxmlformats.org/spreadsheetml/2006/main" count="587" uniqueCount="285">
  <si>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</si>
  <si>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</si>
  <si>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</si>
  <si>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</si>
  <si>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</si>
  <si>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</si>
  <si>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</si>
  <si>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</si>
  <si>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</si>
  <si>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</si>
  <si>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</si>
  <si>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</si>
  <si>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</si>
  <si>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</si>
  <si>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</si>
  <si>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</si>
  <si>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</si>
  <si>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</si>
  <si>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</si>
  <si>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</si>
  <si>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</si>
  <si>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</si>
  <si>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</si>
  <si>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</si>
  <si>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</si>
  <si>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</si>
  <si>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</si>
  <si>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</si>
  <si>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</si>
  <si>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</si>
  <si>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</si>
  <si>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</si>
  <si>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</si>
  <si>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</si>
  <si>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</si>
  <si>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</si>
  <si>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</si>
  <si>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</si>
  <si>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</si>
  <si>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</si>
  <si>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</si>
  <si>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</si>
  <si>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</si>
  <si>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</si>
  <si>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</si>
  <si>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</si>
  <si>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</si>
  <si>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</si>
  <si>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</si>
  <si>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</si>
  <si>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</si>
  <si>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</si>
  <si>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</si>
  <si>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</si>
  <si>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</si>
  <si>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</si>
  <si>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</si>
  <si>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</si>
  <si>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</si>
  <si>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</si>
  <si>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</si>
  <si>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</si>
  <si>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</si>
  <si>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</si>
  <si>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</si>
  <si>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</si>
  <si>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</si>
  <si>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</si>
  <si>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</si>
  <si>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</si>
  <si>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</si>
  <si>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</si>
  <si>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</si>
  <si>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</si>
  <si>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</si>
  <si>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</si>
  <si>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</si>
  <si>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</si>
  <si>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</si>
  <si>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</si>
  <si>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</si>
  <si>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</si>
  <si>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</si>
  <si>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</si>
  <si>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</si>
  <si>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</si>
  <si>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</si>
  <si>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</si>
  <si>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</si>
  <si>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</si>
  <si>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</si>
  <si>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</si>
  <si>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</si>
  <si>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</si>
  <si>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</si>
  <si>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</si>
  <si>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</si>
  <si>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</si>
  <si>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</si>
  <si>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</si>
  <si>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</si>
  <si>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</si>
  <si>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</si>
  <si>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</si>
  <si>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</si>
  <si>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</si>
  <si>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</si>
  <si>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</si>
  <si>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</si>
  <si>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</si>
  <si>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</si>
  <si>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</si>
  <si>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</si>
  <si>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</si>
  <si>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</si>
  <si>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</si>
  <si>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</si>
  <si>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</si>
  <si>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</si>
  <si>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</si>
  <si>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</si>
  <si>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</si>
  <si>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</si>
  <si>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</si>
  <si>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</si>
  <si>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</si>
  <si>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</si>
  <si>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</si>
  <si>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</si>
  <si>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</si>
  <si>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</si>
  <si>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</si>
  <si>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</si>
  <si>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</si>
  <si>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</si>
  <si>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</si>
  <si>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</si>
  <si>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</si>
  <si>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</si>
  <si>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</si>
  <si>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</si>
  <si>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</si>
  <si>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</si>
  <si>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</si>
  <si>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</si>
  <si>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</si>
  <si>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</si>
  <si>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</si>
  <si>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</si>
  <si>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</si>
  <si>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</si>
  <si>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</si>
  <si>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</si>
  <si>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</si>
  <si>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</si>
  <si>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</si>
  <si>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</si>
  <si>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</si>
  <si>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</si>
  <si>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</si>
  <si>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</si>
  <si>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</si>
  <si>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</si>
  <si>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</si>
  <si>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</si>
  <si>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</si>
  <si>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</si>
  <si>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</si>
  <si>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</si>
  <si>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</si>
  <si>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</si>
  <si>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</si>
  <si>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</si>
  <si>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</si>
  <si>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</si>
  <si>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</si>
  <si>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</si>
  <si>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</si>
  <si>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</si>
  <si>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</si>
  <si>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</si>
  <si>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</si>
  <si>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</si>
  <si>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</si>
  <si>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</si>
  <si>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</si>
  <si>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</si>
  <si>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</si>
  <si>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</si>
  <si>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</si>
  <si>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</si>
  <si>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</si>
  <si>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</si>
  <si>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</si>
  <si>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</si>
  <si>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</si>
  <si>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</si>
  <si>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</si>
  <si>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</si>
  <si>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</si>
  <si>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</si>
  <si>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</si>
  <si>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</si>
  <si>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</si>
  <si>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</si>
  <si>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</si>
  <si>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</si>
  <si>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</si>
  <si>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</si>
  <si>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</si>
  <si>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</si>
  <si>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</si>
  <si>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</si>
  <si>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</si>
  <si>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</si>
  <si>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</si>
  <si>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</si>
  <si>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</si>
  <si>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</si>
  <si>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</si>
  <si>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</si>
  <si>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</si>
  <si>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</si>
  <si>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</si>
  <si>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</si>
  <si>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</si>
  <si>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</si>
  <si>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</si>
  <si>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</si>
  <si>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</si>
  <si>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</si>
  <si>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</si>
  <si>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</si>
  <si>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</si>
  <si>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</si>
  <si>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</si>
  <si>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</si>
  <si>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</si>
  <si>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</si>
  <si>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</si>
  <si>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</si>
  <si>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</si>
  <si>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</si>
  <si>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</si>
  <si>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</si>
  <si>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</si>
  <si>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</si>
  <si>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</si>
  <si>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</si>
  <si>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</si>
  <si>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</si>
  <si>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</si>
  <si>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</si>
  <si>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</si>
  <si>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</si>
  <si>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</si>
  <si>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</si>
  <si>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</si>
  <si>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</si>
  <si>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</si>
  <si>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</si>
  <si>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</si>
  <si>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</si>
  <si>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</si>
  <si>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</si>
  <si>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</si>
  <si>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</si>
  <si>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</si>
  <si>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</si>
  <si>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</si>
  <si>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Reception Counter (Laminated)- 2.1 x 0.5 x 1.0</t>
  </si>
  <si>
    <t>Podium (Laminated)- 1.0 x 0.5 x 1.0</t>
  </si>
  <si>
    <t xml:space="preserve">COFFEE TABLE </t>
  </si>
  <si>
    <t>4m DIA</t>
  </si>
  <si>
    <t>Working Table (Laminated)- 1.5 x 0.5 x 1.0</t>
  </si>
  <si>
    <t>Round Hanging with lightbox inside-  4m DIA</t>
  </si>
  <si>
    <t>Opt Nr:-  1</t>
  </si>
  <si>
    <t>Date:- 14-01-2026</t>
  </si>
  <si>
    <t>SCAT AIRLINES</t>
  </si>
  <si>
    <t>ITB 2026</t>
  </si>
  <si>
    <t>14M X 4M</t>
  </si>
  <si>
    <t>56 SQM</t>
  </si>
  <si>
    <t>4.5M</t>
  </si>
  <si>
    <t>03-05 MAR, 2026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</si>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</sst>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1</xdr:rowOff>
    </xdr:from>
    <xdr:to>
      <xdr:col>1</xdr:col>
      <xdr:colOff>1038225</xdr:colOff>
      <xdr:row>267</xdr:row>
      <xdr:rowOff>131304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77F67-987D-41DB-9D97-913077AF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095500" cy="1531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I273" sqref="I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278</v>
      </c>
      <c r="C2" s="26" t="s">
        <v>150</v>
      </c>
      <c r="D2" s="27">
        <f>SUM(E3:E11)</f>
        <v>2300.5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828.81999999999994</v>
      </c>
      <c r="F5" s="8"/>
      <c r="G5" s="8"/>
      <c r="H5" s="8"/>
      <c r="I5" s="9">
        <v>58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1325.8799999999999</v>
      </c>
      <c r="F8" s="8"/>
      <c r="G8" s="8"/>
      <c r="H8" s="8"/>
      <c r="I8" s="9">
        <v>58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145.79999999999998</v>
      </c>
      <c r="F9" s="8"/>
      <c r="G9" s="8"/>
      <c r="H9" s="8"/>
      <c r="I9" s="9">
        <v>36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279</v>
      </c>
      <c r="C12" s="26" t="s">
        <v>193</v>
      </c>
      <c r="D12" s="52">
        <f>SUM(E13:E15)</f>
        <v>630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284</v>
      </c>
      <c r="C16" s="26" t="s">
        <v>183</v>
      </c>
      <c r="D16" s="27">
        <f>SUM(E17:E86)</f>
        <v>2357.1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B38" s="29" t="s">
        <v>248</v>
      </c>
      <c r="C38" s="7" t="s">
        <v>99</v>
      </c>
      <c r="D38" s="7"/>
      <c r="E38" s="8">
        <f t="shared" si="1"/>
        <v>1571.4</v>
      </c>
      <c r="F38" s="8">
        <v>1</v>
      </c>
      <c r="G38" s="8">
        <v>0.1</v>
      </c>
      <c r="H38" s="8">
        <v>4.5</v>
      </c>
      <c r="I38" s="9">
        <v>15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3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3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3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3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3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3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B68" s="29" t="s">
        <v>248</v>
      </c>
      <c r="C68" s="7" t="s">
        <v>69</v>
      </c>
      <c r="D68" s="7"/>
      <c r="E68" s="8">
        <f t="shared" si="2"/>
        <v>785.69999999999993</v>
      </c>
      <c r="F68" s="8">
        <v>1</v>
      </c>
      <c r="G68" s="8">
        <v>0.2</v>
      </c>
      <c r="H68" s="8">
        <v>4.5</v>
      </c>
      <c r="I68" s="9">
        <v>6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4" t="s">
        <v>283</v>
      </c>
      <c r="C87" s="26" t="s">
        <v>194</v>
      </c>
      <c r="D87" s="27">
        <f>SUM(E88:E108)</f>
        <v>1456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8" si="4">I88*K88</f>
        <v>400</v>
      </c>
      <c r="F88" s="24"/>
      <c r="G88" s="24"/>
      <c r="H88" s="24"/>
      <c r="I88" s="24">
        <v>16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275</v>
      </c>
      <c r="D95" s="7"/>
      <c r="E95" s="24">
        <f t="shared" ref="E95" si="5">I95*K95</f>
        <v>1000</v>
      </c>
      <c r="F95" s="8"/>
      <c r="G95" s="8"/>
      <c r="H95" s="8"/>
      <c r="I95" s="8">
        <v>1</v>
      </c>
      <c r="J95" s="10" t="s">
        <v>165</v>
      </c>
      <c r="K95" s="48">
        <v>1000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280</v>
      </c>
      <c r="C109" s="26" t="s">
        <v>195</v>
      </c>
      <c r="D109" s="27">
        <f>SUM(E110:E132)</f>
        <v>1026.9000000000001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3" si="7">I112*K112</f>
        <v>717.38</v>
      </c>
      <c r="F112" s="8">
        <v>2.1</v>
      </c>
      <c r="G112" s="8">
        <v>0.5</v>
      </c>
      <c r="H112" s="8">
        <v>1</v>
      </c>
      <c r="I112" s="8">
        <v>2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7"/>
        <v>154.76</v>
      </c>
      <c r="F113" s="8">
        <v>1</v>
      </c>
      <c r="G113" s="8">
        <v>0.5</v>
      </c>
      <c r="H113" s="8">
        <v>1</v>
      </c>
      <c r="I113" s="8">
        <v>1</v>
      </c>
      <c r="J113" s="10" t="s">
        <v>165</v>
      </c>
      <c r="K113" s="30">
        <v>154.76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6"/>
        <v>154.76</v>
      </c>
      <c r="F114" s="8">
        <v>1.5</v>
      </c>
      <c r="G114" s="8">
        <v>0.5</v>
      </c>
      <c r="H114" s="8">
        <v>1</v>
      </c>
      <c r="I114" s="8">
        <v>1</v>
      </c>
      <c r="J114" s="10" t="s">
        <v>165</v>
      </c>
      <c r="K114" s="30">
        <v>154.76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165</v>
      </c>
      <c r="K115" s="30">
        <v>302.29000000000002</v>
      </c>
    </row>
    <row r="116" spans="2:11" s="4" customFormat="1" ht="15.95" hidden="1" customHeight="1" x14ac:dyDescent="0.25">
      <c r="C116" s="7" t="s">
        <v>252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165</v>
      </c>
      <c r="K116" s="30">
        <v>604.02</v>
      </c>
    </row>
    <row r="117" spans="2:11" s="4" customFormat="1" ht="15.95" hidden="1" customHeight="1" x14ac:dyDescent="0.25">
      <c r="C117" s="7" t="s">
        <v>255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165</v>
      </c>
      <c r="K117" s="30">
        <v>423.86</v>
      </c>
    </row>
    <row r="118" spans="2:11" s="4" customFormat="1" ht="15.95" hidden="1" customHeight="1" x14ac:dyDescent="0.25">
      <c r="C118" s="7" t="s">
        <v>156</v>
      </c>
      <c r="D118" s="7"/>
      <c r="E118" s="8">
        <f t="shared" si="6"/>
        <v>0</v>
      </c>
      <c r="F118" s="8">
        <v>4</v>
      </c>
      <c r="G118" s="8">
        <v>0.5</v>
      </c>
      <c r="H118" s="8">
        <v>1</v>
      </c>
      <c r="I118" s="8">
        <v>0</v>
      </c>
      <c r="J118" s="10" t="s">
        <v>165</v>
      </c>
      <c r="K118" s="30">
        <v>595.24</v>
      </c>
    </row>
    <row r="119" spans="2:11" s="4" customFormat="1" ht="15.95" hidden="1" customHeight="1" x14ac:dyDescent="0.25">
      <c r="C119" s="7" t="s">
        <v>196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165</v>
      </c>
      <c r="K119" s="30">
        <v>161.9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165</v>
      </c>
      <c r="K120" s="30">
        <v>190.48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165</v>
      </c>
      <c r="K121" s="30">
        <v>216.67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165</v>
      </c>
      <c r="K122" s="30">
        <v>154.76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177.98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165</v>
      </c>
      <c r="K124" s="30">
        <v>260.12</v>
      </c>
    </row>
    <row r="125" spans="2:11" s="4" customFormat="1" ht="15.95" hidden="1" customHeight="1" x14ac:dyDescent="0.25">
      <c r="B125" s="29" t="s">
        <v>248</v>
      </c>
      <c r="C125" s="7" t="s">
        <v>119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165</v>
      </c>
      <c r="K125" s="30">
        <v>210</v>
      </c>
    </row>
    <row r="126" spans="2:11" s="4" customFormat="1" ht="15.95" hidden="1" customHeight="1" x14ac:dyDescent="0.25">
      <c r="C126" s="7" t="s">
        <v>124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165</v>
      </c>
      <c r="K126" s="30">
        <v>223.81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165</v>
      </c>
      <c r="K127" s="30">
        <v>65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165</v>
      </c>
      <c r="K128" s="30">
        <v>35</v>
      </c>
    </row>
    <row r="129" spans="1:11" s="4" customFormat="1" ht="15.95" hidden="1" customHeight="1" x14ac:dyDescent="0.25">
      <c r="B129" s="29" t="s">
        <v>248</v>
      </c>
      <c r="C129" s="7" t="s">
        <v>54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165</v>
      </c>
      <c r="K129" s="30">
        <v>12</v>
      </c>
    </row>
    <row r="130" spans="1:11" s="4" customFormat="1" ht="15.95" hidden="1" customHeight="1" x14ac:dyDescent="0.25">
      <c r="C130" s="7" t="s">
        <v>129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110</v>
      </c>
      <c r="K130" s="30">
        <v>21.9</v>
      </c>
    </row>
    <row r="131" spans="1:11" s="4" customFormat="1" ht="15.95" hidden="1" customHeight="1" x14ac:dyDescent="0.25">
      <c r="C131" s="7" t="s">
        <v>202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165</v>
      </c>
      <c r="K131" s="30">
        <v>177.98</v>
      </c>
    </row>
    <row r="132" spans="1:11" s="4" customFormat="1" ht="15.95" hidden="1" customHeight="1" x14ac:dyDescent="0.25">
      <c r="C132" s="7" t="s">
        <v>177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165</v>
      </c>
      <c r="K132" s="30">
        <v>383.33</v>
      </c>
    </row>
    <row r="133" spans="1:11" s="4" customFormat="1" ht="15.95" customHeight="1" x14ac:dyDescent="0.25">
      <c r="A133" s="21" t="s">
        <v>142</v>
      </c>
      <c r="B133" s="4" t="s">
        <v>281</v>
      </c>
      <c r="C133" s="26" t="s">
        <v>203</v>
      </c>
      <c r="D133" s="27">
        <f>SUM(E134:E143)</f>
        <v>105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248</v>
      </c>
      <c r="C134" s="7" t="s">
        <v>48</v>
      </c>
      <c r="D134" s="7"/>
      <c r="E134" s="8">
        <f t="shared" ref="E134:E143" si="8">I134*K134</f>
        <v>105</v>
      </c>
      <c r="F134" s="12"/>
      <c r="G134" s="12"/>
      <c r="H134" s="12"/>
      <c r="I134" s="8">
        <v>3</v>
      </c>
      <c r="J134" s="10" t="s">
        <v>165</v>
      </c>
      <c r="K134" s="30">
        <v>35</v>
      </c>
    </row>
    <row r="135" spans="1:11" s="4" customFormat="1" ht="15.95" hidden="1" customHeight="1" x14ac:dyDescent="0.25">
      <c r="B135" s="29" t="s">
        <v>248</v>
      </c>
      <c r="C135" s="7" t="s">
        <v>49</v>
      </c>
      <c r="D135" s="7"/>
      <c r="E135" s="8">
        <f t="shared" si="8"/>
        <v>0</v>
      </c>
      <c r="F135" s="8"/>
      <c r="G135" s="8"/>
      <c r="H135" s="8"/>
      <c r="I135" s="8">
        <v>0</v>
      </c>
      <c r="J135" s="10" t="s">
        <v>165</v>
      </c>
      <c r="K135" s="30">
        <v>50</v>
      </c>
    </row>
    <row r="136" spans="1:11" s="4" customFormat="1" ht="15.95" hidden="1" customHeight="1" x14ac:dyDescent="0.25">
      <c r="B136" s="29" t="s">
        <v>248</v>
      </c>
      <c r="C136" s="7" t="s">
        <v>269</v>
      </c>
      <c r="D136" s="7"/>
      <c r="E136" s="8">
        <f t="shared" si="8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165</v>
      </c>
      <c r="K136" s="30">
        <v>119.05</v>
      </c>
    </row>
    <row r="137" spans="1:11" s="4" customFormat="1" ht="15.95" hidden="1" customHeight="1" x14ac:dyDescent="0.25">
      <c r="C137" s="7" t="s">
        <v>121</v>
      </c>
      <c r="D137" s="7"/>
      <c r="E137" s="8">
        <f t="shared" si="8"/>
        <v>0</v>
      </c>
      <c r="F137" s="8">
        <v>1</v>
      </c>
      <c r="G137" s="8">
        <v>1</v>
      </c>
      <c r="H137" s="8"/>
      <c r="I137" s="8">
        <v>0</v>
      </c>
      <c r="J137" s="10" t="s">
        <v>110</v>
      </c>
      <c r="K137" s="30">
        <v>28.57</v>
      </c>
    </row>
    <row r="138" spans="1:11" s="4" customFormat="1" ht="15.95" hidden="1" customHeight="1" x14ac:dyDescent="0.25">
      <c r="C138" s="7" t="s">
        <v>73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165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165</v>
      </c>
      <c r="K139" s="30">
        <v>136.9</v>
      </c>
    </row>
    <row r="140" spans="1:11" s="4" customFormat="1" ht="15.95" hidden="1" customHeight="1" x14ac:dyDescent="0.25">
      <c r="C140" s="7" t="s">
        <v>170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110</v>
      </c>
      <c r="K140" s="30">
        <v>22.62</v>
      </c>
    </row>
    <row r="141" spans="1:11" s="4" customFormat="1" ht="15.95" hidden="1" customHeight="1" x14ac:dyDescent="0.25">
      <c r="C141" s="7" t="s">
        <v>161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83.33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32.14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110</v>
      </c>
      <c r="K143" s="30">
        <v>38.1</v>
      </c>
    </row>
    <row r="144" spans="1:11" s="4" customFormat="1" ht="15.95" customHeight="1" x14ac:dyDescent="0.25">
      <c r="A144" s="21" t="s">
        <v>141</v>
      </c>
      <c r="B144" s="4" t="s">
        <v>282</v>
      </c>
      <c r="C144" s="26" t="s">
        <v>204</v>
      </c>
      <c r="D144" s="27">
        <f>SUM(E145:E151)</f>
        <v>723.04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267</v>
      </c>
      <c r="D145" s="7"/>
      <c r="E145" s="8">
        <f t="shared" ref="E145:E151" si="9">I145*K145</f>
        <v>619.04</v>
      </c>
      <c r="F145" s="8">
        <v>1.7</v>
      </c>
      <c r="G145" s="8">
        <v>0.2</v>
      </c>
      <c r="H145" s="8">
        <v>0.9</v>
      </c>
      <c r="I145" s="8">
        <v>4</v>
      </c>
      <c r="J145" s="10" t="s">
        <v>165</v>
      </c>
      <c r="K145" s="30">
        <v>154.76</v>
      </c>
    </row>
    <row r="146" spans="2:11" s="4" customFormat="1" ht="15.95" hidden="1" customHeight="1" x14ac:dyDescent="0.25">
      <c r="C146" s="7" t="s">
        <v>85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165</v>
      </c>
      <c r="K146" s="30">
        <v>219.05</v>
      </c>
    </row>
    <row r="147" spans="2:11" s="4" customFormat="1" ht="15.95" hidden="1" customHeight="1" x14ac:dyDescent="0.25">
      <c r="C147" s="7" t="s">
        <v>179</v>
      </c>
      <c r="D147" s="7"/>
      <c r="E147" s="8">
        <f t="shared" si="9"/>
        <v>84</v>
      </c>
      <c r="F147" s="8">
        <v>0</v>
      </c>
      <c r="G147" s="8">
        <v>0</v>
      </c>
      <c r="H147" s="8">
        <v>0</v>
      </c>
      <c r="I147" s="8">
        <v>28</v>
      </c>
      <c r="J147" s="10" t="s">
        <v>165</v>
      </c>
      <c r="K147" s="30">
        <v>3</v>
      </c>
    </row>
    <row r="148" spans="2:11" s="4" customFormat="1" ht="15.95" hidden="1" customHeight="1" x14ac:dyDescent="0.25">
      <c r="C148" s="7" t="s">
        <v>52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165</v>
      </c>
      <c r="K148" s="30">
        <v>25</v>
      </c>
    </row>
    <row r="149" spans="2:11" s="4" customFormat="1" ht="15.95" hidden="1" customHeight="1" x14ac:dyDescent="0.25">
      <c r="B149" s="29" t="s">
        <v>248</v>
      </c>
      <c r="C149" s="7" t="s">
        <v>71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110</v>
      </c>
      <c r="K149" s="30">
        <v>25</v>
      </c>
    </row>
    <row r="150" spans="2:11" s="4" customFormat="1" ht="15.95" hidden="1" customHeight="1" x14ac:dyDescent="0.25">
      <c r="C150" s="7" t="s">
        <v>90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165</v>
      </c>
      <c r="K150" s="30">
        <v>25</v>
      </c>
    </row>
    <row r="151" spans="2:11" s="4" customFormat="1" ht="15.95" hidden="1" customHeight="1" x14ac:dyDescent="0.25">
      <c r="C151" s="7" t="s">
        <v>247</v>
      </c>
      <c r="D151" s="7"/>
      <c r="E151" s="8">
        <f t="shared" si="9"/>
        <v>20</v>
      </c>
      <c r="F151" s="8"/>
      <c r="G151" s="8"/>
      <c r="H151" s="8"/>
      <c r="I151" s="8">
        <v>1</v>
      </c>
      <c r="J151" s="10" t="s">
        <v>165</v>
      </c>
      <c r="K151" s="30">
        <v>20</v>
      </c>
    </row>
    <row r="152" spans="2:11" s="4" customFormat="1" ht="15.95" customHeight="1" x14ac:dyDescent="0.25">
      <c r="C152" s="26" t="s">
        <v>131</v>
      </c>
      <c r="D152" s="27">
        <f>SUM(E153:E165)</f>
        <v>760.68000000000006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248</v>
      </c>
      <c r="C153" s="7" t="s">
        <v>19</v>
      </c>
      <c r="D153" s="7"/>
      <c r="E153" s="8">
        <f t="shared" ref="E153:E165" si="10">I153*K153</f>
        <v>238</v>
      </c>
      <c r="F153" s="8"/>
      <c r="G153" s="8"/>
      <c r="H153" s="8"/>
      <c r="I153" s="8">
        <v>20</v>
      </c>
      <c r="J153" s="10" t="s">
        <v>165</v>
      </c>
      <c r="K153" s="30">
        <v>11.9</v>
      </c>
    </row>
    <row r="154" spans="2:11" s="4" customFormat="1" ht="15.95" hidden="1" customHeight="1" x14ac:dyDescent="0.25">
      <c r="B154" s="29" t="s">
        <v>248</v>
      </c>
      <c r="C154" s="7" t="s">
        <v>61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50</v>
      </c>
    </row>
    <row r="155" spans="2:11" s="4" customFormat="1" ht="15.95" hidden="1" customHeight="1" x14ac:dyDescent="0.25">
      <c r="B155" s="29" t="s">
        <v>248</v>
      </c>
      <c r="C155" s="7" t="s">
        <v>62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65</v>
      </c>
    </row>
    <row r="156" spans="2:11" s="4" customFormat="1" ht="15.95" hidden="1" customHeight="1" x14ac:dyDescent="0.25">
      <c r="C156" s="7" t="s">
        <v>81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23.81</v>
      </c>
    </row>
    <row r="157" spans="2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14.29</v>
      </c>
    </row>
    <row r="158" spans="2:11" s="4" customFormat="1" ht="15.95" hidden="1" customHeight="1" x14ac:dyDescent="0.25">
      <c r="B158" s="29" t="s">
        <v>248</v>
      </c>
      <c r="C158" s="7" t="s">
        <v>63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165</v>
      </c>
      <c r="K158" s="30">
        <v>10</v>
      </c>
    </row>
    <row r="159" spans="2:11" s="4" customFormat="1" ht="15.95" hidden="1" customHeight="1" x14ac:dyDescent="0.25">
      <c r="B159" s="29" t="s">
        <v>248</v>
      </c>
      <c r="C159" s="7" t="s">
        <v>18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165</v>
      </c>
      <c r="K159" s="30">
        <v>10</v>
      </c>
    </row>
    <row r="160" spans="2:11" s="4" customFormat="1" ht="15.95" hidden="1" customHeight="1" x14ac:dyDescent="0.25">
      <c r="C160" s="7" t="s">
        <v>50</v>
      </c>
      <c r="D160" s="7"/>
      <c r="E160" s="8">
        <f t="shared" si="10"/>
        <v>75</v>
      </c>
      <c r="F160" s="12"/>
      <c r="G160" s="12"/>
      <c r="H160" s="12"/>
      <c r="I160" s="8">
        <v>15</v>
      </c>
      <c r="J160" s="10" t="s">
        <v>165</v>
      </c>
      <c r="K160" s="30">
        <v>5</v>
      </c>
    </row>
    <row r="161" spans="2:11" s="4" customFormat="1" ht="15.95" hidden="1" customHeight="1" x14ac:dyDescent="0.25">
      <c r="B161" s="29" t="s">
        <v>248</v>
      </c>
      <c r="C161" s="7" t="s">
        <v>17</v>
      </c>
      <c r="D161" s="7"/>
      <c r="E161" s="8">
        <f t="shared" si="10"/>
        <v>95.2</v>
      </c>
      <c r="F161" s="8"/>
      <c r="G161" s="8"/>
      <c r="H161" s="8"/>
      <c r="I161" s="8">
        <v>8</v>
      </c>
      <c r="J161" s="10" t="s">
        <v>165</v>
      </c>
      <c r="K161" s="30">
        <v>11.9</v>
      </c>
    </row>
    <row r="162" spans="2:11" s="4" customFormat="1" ht="15.95" hidden="1" customHeight="1" x14ac:dyDescent="0.25">
      <c r="C162" s="7" t="s">
        <v>55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165</v>
      </c>
      <c r="K163" s="30">
        <v>2.38</v>
      </c>
    </row>
    <row r="164" spans="2:11" ht="15.95" hidden="1" customHeight="1" x14ac:dyDescent="0.25">
      <c r="C164" s="7" t="s">
        <v>187</v>
      </c>
      <c r="D164" s="7"/>
      <c r="E164" s="8">
        <f t="shared" si="10"/>
        <v>162</v>
      </c>
      <c r="F164" s="8"/>
      <c r="G164" s="8"/>
      <c r="H164" s="8"/>
      <c r="I164" s="8">
        <v>40</v>
      </c>
      <c r="J164" s="10" t="s">
        <v>149</v>
      </c>
      <c r="K164" s="30">
        <v>4.05</v>
      </c>
    </row>
    <row r="165" spans="2:11" s="4" customFormat="1" ht="15.95" hidden="1" customHeight="1" x14ac:dyDescent="0.25">
      <c r="C165" s="7" t="s">
        <v>157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165</v>
      </c>
      <c r="K165" s="30">
        <v>190.48</v>
      </c>
    </row>
    <row r="166" spans="2:11" s="4" customFormat="1" ht="15.95" customHeight="1" x14ac:dyDescent="0.25">
      <c r="C166" s="26" t="s">
        <v>205</v>
      </c>
      <c r="D166" s="27">
        <f>SUM(E167:E208)</f>
        <v>1548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45</v>
      </c>
      <c r="F167" s="12"/>
      <c r="G167" s="12"/>
      <c r="H167" s="12"/>
      <c r="I167" s="8">
        <v>3</v>
      </c>
      <c r="J167" s="10" t="s">
        <v>165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108</v>
      </c>
      <c r="F168" s="12"/>
      <c r="G168" s="12"/>
      <c r="H168" s="12"/>
      <c r="I168" s="8">
        <v>9</v>
      </c>
      <c r="J168" s="10" t="s">
        <v>165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165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45</v>
      </c>
      <c r="F170" s="12"/>
      <c r="G170" s="12"/>
      <c r="H170" s="12"/>
      <c r="I170" s="8">
        <v>3</v>
      </c>
      <c r="J170" s="10" t="s">
        <v>165</v>
      </c>
      <c r="K170" s="30">
        <v>15</v>
      </c>
    </row>
    <row r="171" spans="2:11" s="4" customFormat="1" ht="15.95" hidden="1" customHeight="1" x14ac:dyDescent="0.25">
      <c r="C171" s="7" t="s">
        <v>80</v>
      </c>
      <c r="D171" s="7"/>
      <c r="E171" s="8">
        <f t="shared" si="11"/>
        <v>25</v>
      </c>
      <c r="F171" s="12"/>
      <c r="G171" s="12"/>
      <c r="H171" s="12"/>
      <c r="I171" s="8">
        <v>1</v>
      </c>
      <c r="J171" s="10" t="s">
        <v>165</v>
      </c>
      <c r="K171" s="30">
        <v>25</v>
      </c>
    </row>
    <row r="172" spans="2:11" s="4" customFormat="1" ht="15.95" hidden="1" customHeight="1" x14ac:dyDescent="0.25">
      <c r="C172" s="7" t="s">
        <v>178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165</v>
      </c>
      <c r="K172" s="30">
        <v>385</v>
      </c>
    </row>
    <row r="173" spans="2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130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1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165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510</v>
      </c>
      <c r="F176" s="12"/>
      <c r="G176" s="12"/>
      <c r="H176" s="12"/>
      <c r="I176" s="8">
        <v>6</v>
      </c>
      <c r="J176" s="10" t="s">
        <v>165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10</v>
      </c>
      <c r="F178" s="12"/>
      <c r="G178" s="12"/>
      <c r="H178" s="12"/>
      <c r="I178" s="8">
        <v>1</v>
      </c>
      <c r="J178" s="10" t="s">
        <v>165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64</v>
      </c>
      <c r="F179" s="12"/>
      <c r="G179" s="12"/>
      <c r="H179" s="12"/>
      <c r="I179" s="8">
        <v>8</v>
      </c>
      <c r="J179" s="10" t="s">
        <v>165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45</v>
      </c>
      <c r="F180" s="12"/>
      <c r="G180" s="12"/>
      <c r="H180" s="12"/>
      <c r="I180" s="8">
        <v>3</v>
      </c>
      <c r="J180" s="10" t="s">
        <v>165</v>
      </c>
      <c r="K180" s="30">
        <v>15</v>
      </c>
    </row>
    <row r="181" spans="3:11" s="4" customFormat="1" ht="15.95" hidden="1" customHeight="1" x14ac:dyDescent="0.25">
      <c r="C181" s="7" t="s">
        <v>189</v>
      </c>
      <c r="D181" s="7"/>
      <c r="E181" s="8">
        <f t="shared" si="11"/>
        <v>175</v>
      </c>
      <c r="F181" s="12"/>
      <c r="G181" s="12"/>
      <c r="H181" s="12"/>
      <c r="I181" s="8">
        <v>5</v>
      </c>
      <c r="J181" s="10" t="s">
        <v>165</v>
      </c>
      <c r="K181" s="30">
        <v>35</v>
      </c>
    </row>
    <row r="182" spans="3:11" s="4" customFormat="1" ht="15.95" hidden="1" customHeight="1" x14ac:dyDescent="0.25">
      <c r="C182" s="7" t="s">
        <v>60</v>
      </c>
      <c r="D182" s="7"/>
      <c r="E182" s="8">
        <f t="shared" si="11"/>
        <v>85</v>
      </c>
      <c r="F182" s="12"/>
      <c r="G182" s="12"/>
      <c r="H182" s="12"/>
      <c r="I182" s="8">
        <v>1</v>
      </c>
      <c r="J182" s="10" t="s">
        <v>165</v>
      </c>
      <c r="K182" s="30">
        <v>85</v>
      </c>
    </row>
    <row r="183" spans="3:11" s="4" customFormat="1" ht="15.95" hidden="1" customHeight="1" x14ac:dyDescent="0.25">
      <c r="C183" s="7" t="s">
        <v>57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165</v>
      </c>
      <c r="K183" s="30">
        <v>35</v>
      </c>
    </row>
    <row r="184" spans="3:11" s="4" customFormat="1" ht="15.95" hidden="1" customHeight="1" x14ac:dyDescent="0.25">
      <c r="C184" s="7" t="s">
        <v>59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25</v>
      </c>
    </row>
    <row r="185" spans="3:11" s="4" customFormat="1" ht="15.95" hidden="1" customHeight="1" x14ac:dyDescent="0.25">
      <c r="C185" s="7" t="s">
        <v>134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12</v>
      </c>
    </row>
    <row r="187" spans="3:11" s="4" customFormat="1" ht="15.95" hidden="1" customHeight="1" x14ac:dyDescent="0.25">
      <c r="C187" s="7" t="s">
        <v>272</v>
      </c>
      <c r="D187" s="7"/>
      <c r="E187" s="8">
        <f t="shared" si="11"/>
        <v>75</v>
      </c>
      <c r="F187" s="12"/>
      <c r="G187" s="12"/>
      <c r="H187" s="12"/>
      <c r="I187" s="8">
        <v>3</v>
      </c>
      <c r="J187" s="10" t="s">
        <v>165</v>
      </c>
      <c r="K187" s="30">
        <v>25</v>
      </c>
    </row>
    <row r="188" spans="3:11" s="4" customFormat="1" ht="15.95" hidden="1" customHeight="1" x14ac:dyDescent="0.25">
      <c r="C188" s="7" t="s">
        <v>53</v>
      </c>
      <c r="D188" s="7"/>
      <c r="E188" s="8">
        <f t="shared" si="11"/>
        <v>150</v>
      </c>
      <c r="F188" s="12"/>
      <c r="G188" s="12"/>
      <c r="H188" s="12"/>
      <c r="I188" s="8">
        <v>1</v>
      </c>
      <c r="J188" s="10" t="s">
        <v>165</v>
      </c>
      <c r="K188" s="30">
        <v>150</v>
      </c>
    </row>
    <row r="189" spans="3:11" s="4" customFormat="1" ht="15.95" hidden="1" customHeight="1" x14ac:dyDescent="0.25">
      <c r="C189" s="7" t="s">
        <v>206</v>
      </c>
      <c r="D189" s="7"/>
      <c r="E189" s="8">
        <f t="shared" si="11"/>
        <v>30</v>
      </c>
      <c r="F189" s="8"/>
      <c r="G189" s="8"/>
      <c r="H189" s="8"/>
      <c r="I189" s="8">
        <v>2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158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15</v>
      </c>
    </row>
    <row r="191" spans="3:11" s="4" customFormat="1" ht="15.95" hidden="1" customHeight="1" x14ac:dyDescent="0.25">
      <c r="C191" s="7" t="s">
        <v>207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165</v>
      </c>
      <c r="K191" s="30">
        <v>600</v>
      </c>
    </row>
    <row r="192" spans="3:11" s="4" customFormat="1" ht="15.95" hidden="1" customHeight="1" x14ac:dyDescent="0.25">
      <c r="C192" s="7" t="s">
        <v>208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85</v>
      </c>
    </row>
    <row r="193" spans="2:11" s="4" customFormat="1" ht="15.95" hidden="1" customHeight="1" x14ac:dyDescent="0.25">
      <c r="C193" s="7" t="s">
        <v>256</v>
      </c>
      <c r="D193" s="7"/>
      <c r="E193" s="8">
        <f t="shared" si="11"/>
        <v>0</v>
      </c>
      <c r="F193" s="8"/>
      <c r="G193" s="8"/>
      <c r="H193" s="8"/>
      <c r="I193" s="8">
        <v>0</v>
      </c>
      <c r="J193" s="10" t="s">
        <v>165</v>
      </c>
      <c r="K193" s="30">
        <v>210</v>
      </c>
    </row>
    <row r="194" spans="2:11" s="4" customFormat="1" ht="15.95" hidden="1" customHeight="1" x14ac:dyDescent="0.25">
      <c r="C194" s="7" t="s">
        <v>86</v>
      </c>
      <c r="D194" s="7"/>
      <c r="E194" s="8">
        <f t="shared" si="11"/>
        <v>16</v>
      </c>
      <c r="F194" s="8"/>
      <c r="G194" s="8"/>
      <c r="H194" s="8"/>
      <c r="I194" s="8">
        <v>2</v>
      </c>
      <c r="J194" s="10" t="s">
        <v>165</v>
      </c>
      <c r="K194" s="30">
        <v>8</v>
      </c>
    </row>
    <row r="195" spans="2:11" s="4" customFormat="1" ht="15.95" hidden="1" customHeight="1" x14ac:dyDescent="0.25">
      <c r="C195" s="7" t="s">
        <v>72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83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15</v>
      </c>
    </row>
    <row r="197" spans="2:11" s="4" customFormat="1" ht="15.95" hidden="1" customHeight="1" x14ac:dyDescent="0.25">
      <c r="B197" s="29"/>
      <c r="C197" s="7" t="s">
        <v>84</v>
      </c>
      <c r="D197" s="7"/>
      <c r="E197" s="8">
        <f t="shared" si="11"/>
        <v>25</v>
      </c>
      <c r="F197" s="8"/>
      <c r="G197" s="8"/>
      <c r="H197" s="8"/>
      <c r="I197" s="8">
        <v>1</v>
      </c>
      <c r="J197" s="10" t="s">
        <v>165</v>
      </c>
      <c r="K197" s="30">
        <v>25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85</v>
      </c>
    </row>
    <row r="199" spans="2:11" s="4" customFormat="1" ht="15.95" hidden="1" customHeight="1" x14ac:dyDescent="0.25">
      <c r="C199" s="7" t="s">
        <v>88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89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12</v>
      </c>
    </row>
    <row r="202" spans="2:11" s="4" customFormat="1" ht="15.95" hidden="1" customHeight="1" x14ac:dyDescent="0.25">
      <c r="C202" s="7" t="s">
        <v>92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93</v>
      </c>
      <c r="D203" s="7"/>
      <c r="E203" s="8">
        <f t="shared" si="11"/>
        <v>20</v>
      </c>
      <c r="F203" s="8"/>
      <c r="G203" s="8"/>
      <c r="H203" s="8"/>
      <c r="I203" s="8">
        <v>1</v>
      </c>
      <c r="J203" s="10" t="s">
        <v>165</v>
      </c>
      <c r="K203" s="30">
        <v>20</v>
      </c>
    </row>
    <row r="204" spans="2:11" s="4" customFormat="1" ht="15.95" hidden="1" customHeight="1" x14ac:dyDescent="0.25">
      <c r="C204" s="7" t="s">
        <v>120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6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165</v>
      </c>
      <c r="K205" s="30">
        <v>3</v>
      </c>
    </row>
    <row r="206" spans="2:11" s="4" customFormat="1" ht="15.95" hidden="1" customHeight="1" x14ac:dyDescent="0.25">
      <c r="C206" s="7" t="s">
        <v>123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165</v>
      </c>
      <c r="K206" s="30">
        <v>35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1"/>
        <v>85</v>
      </c>
      <c r="F208" s="8"/>
      <c r="G208" s="8"/>
      <c r="H208" s="8"/>
      <c r="I208" s="8">
        <v>1</v>
      </c>
      <c r="J208" s="10" t="s">
        <v>165</v>
      </c>
      <c r="K208" s="30">
        <v>85</v>
      </c>
    </row>
    <row r="209" spans="3:11" s="4" customFormat="1" ht="15.95" customHeight="1" x14ac:dyDescent="0.25">
      <c r="C209" s="26" t="s">
        <v>182</v>
      </c>
      <c r="D209" s="27">
        <f>SUM(E210:E220)</f>
        <v>1259.74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243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110</v>
      </c>
      <c r="K210" s="30">
        <v>10.71</v>
      </c>
    </row>
    <row r="211" spans="3:11" s="4" customFormat="1" ht="15.95" hidden="1" customHeight="1" x14ac:dyDescent="0.25">
      <c r="C211" s="7" t="s">
        <v>242</v>
      </c>
      <c r="D211" s="7"/>
      <c r="E211" s="8">
        <f t="shared" si="12"/>
        <v>804.96</v>
      </c>
      <c r="F211" s="8">
        <v>1</v>
      </c>
      <c r="G211" s="8">
        <v>1</v>
      </c>
      <c r="H211" s="12"/>
      <c r="I211" s="8">
        <v>52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110</v>
      </c>
      <c r="K212" s="30">
        <v>15.48</v>
      </c>
    </row>
    <row r="213" spans="3:11" s="4" customFormat="1" ht="15.95" hidden="1" customHeight="1" x14ac:dyDescent="0.25">
      <c r="C213" s="7" t="s">
        <v>190</v>
      </c>
      <c r="D213" s="7"/>
      <c r="E213" s="8">
        <f t="shared" si="12"/>
        <v>26.2</v>
      </c>
      <c r="F213" s="8">
        <v>1</v>
      </c>
      <c r="G213" s="8">
        <v>1</v>
      </c>
      <c r="H213" s="12"/>
      <c r="I213" s="8">
        <v>2</v>
      </c>
      <c r="J213" s="10" t="s">
        <v>110</v>
      </c>
      <c r="K213" s="30">
        <v>13.1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2"/>
        <v>428.58</v>
      </c>
      <c r="F214" s="8">
        <v>1</v>
      </c>
      <c r="G214" s="8">
        <v>1</v>
      </c>
      <c r="H214" s="12"/>
      <c r="I214" s="8">
        <v>4.5</v>
      </c>
      <c r="J214" s="10" t="s">
        <v>110</v>
      </c>
      <c r="K214" s="30">
        <v>95.24</v>
      </c>
    </row>
    <row r="215" spans="3:11" s="4" customFormat="1" ht="15.95" hidden="1" customHeight="1" x14ac:dyDescent="0.25">
      <c r="C215" s="7" t="s">
        <v>258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47.62</v>
      </c>
    </row>
    <row r="216" spans="3:11" s="4" customFormat="1" ht="15.95" hidden="1" customHeight="1" x14ac:dyDescent="0.25">
      <c r="C216" s="7" t="s">
        <v>70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35.71</v>
      </c>
    </row>
    <row r="217" spans="3:11" s="4" customFormat="1" ht="15.95" hidden="1" customHeight="1" x14ac:dyDescent="0.25">
      <c r="C217" s="7" t="s">
        <v>121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28.57</v>
      </c>
    </row>
    <row r="218" spans="3:11" s="4" customFormat="1" ht="15.95" hidden="1" customHeight="1" x14ac:dyDescent="0.25">
      <c r="C218" s="7" t="s">
        <v>51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244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10.71</v>
      </c>
    </row>
    <row r="221" spans="3:11" s="4" customFormat="1" ht="15.95" customHeight="1" x14ac:dyDescent="0.25">
      <c r="C221" s="26" t="s">
        <v>181</v>
      </c>
      <c r="D221" s="27">
        <f>SUM(E222:E261)</f>
        <v>26110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21</v>
      </c>
      <c r="D222" s="7"/>
      <c r="E222" s="8">
        <f t="shared" ref="E222:E261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165</v>
      </c>
      <c r="K222" s="30">
        <v>320</v>
      </c>
    </row>
    <row r="223" spans="3:11" s="4" customFormat="1" ht="15.95" hidden="1" customHeight="1" x14ac:dyDescent="0.25">
      <c r="C223" s="7" t="s">
        <v>212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210</v>
      </c>
    </row>
    <row r="224" spans="3:11" s="4" customFormat="1" ht="15.95" hidden="1" customHeight="1" x14ac:dyDescent="0.25">
      <c r="C224" s="7" t="s">
        <v>213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214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180</v>
      </c>
    </row>
    <row r="226" spans="3:11" s="4" customFormat="1" ht="15.95" hidden="1" customHeight="1" x14ac:dyDescent="0.25">
      <c r="C226" s="7" t="s">
        <v>215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110</v>
      </c>
    </row>
    <row r="227" spans="3:11" s="4" customFormat="1" ht="15.95" hidden="1" customHeight="1" x14ac:dyDescent="0.25">
      <c r="C227" s="7" t="s">
        <v>216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310</v>
      </c>
    </row>
    <row r="228" spans="3:11" s="4" customFormat="1" ht="15.95" hidden="1" customHeight="1" x14ac:dyDescent="0.25">
      <c r="C228" s="7" t="s">
        <v>217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165</v>
      </c>
      <c r="K228" s="30">
        <v>160</v>
      </c>
    </row>
    <row r="229" spans="3:11" s="4" customFormat="1" ht="15.95" hidden="1" customHeight="1" x14ac:dyDescent="0.25">
      <c r="C229" s="7" t="s">
        <v>58</v>
      </c>
      <c r="D229" s="7"/>
      <c r="E229" s="8">
        <f t="shared" si="13"/>
        <v>30</v>
      </c>
      <c r="F229" s="12"/>
      <c r="G229" s="12"/>
      <c r="H229" s="12"/>
      <c r="I229" s="8">
        <v>3</v>
      </c>
      <c r="J229" s="10" t="s">
        <v>165</v>
      </c>
      <c r="K229" s="30">
        <v>10</v>
      </c>
    </row>
    <row r="230" spans="3:11" s="4" customFormat="1" ht="15.95" hidden="1" customHeight="1" x14ac:dyDescent="0.25">
      <c r="C230" s="7" t="s">
        <v>221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165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180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250</v>
      </c>
      <c r="F235" s="8"/>
      <c r="G235" s="8"/>
      <c r="H235" s="8"/>
      <c r="I235" s="8">
        <v>1</v>
      </c>
      <c r="J235" s="10" t="s">
        <v>165</v>
      </c>
      <c r="K235" s="30">
        <v>250</v>
      </c>
    </row>
    <row r="236" spans="3:11" s="4" customFormat="1" ht="15.95" hidden="1" customHeight="1" x14ac:dyDescent="0.25">
      <c r="C236" s="7" t="s">
        <v>209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390</v>
      </c>
    </row>
    <row r="237" spans="3:11" s="4" customFormat="1" ht="15.95" hidden="1" customHeight="1" x14ac:dyDescent="0.25">
      <c r="C237" s="7" t="s">
        <v>235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460</v>
      </c>
    </row>
    <row r="238" spans="3:11" s="4" customFormat="1" ht="15.95" hidden="1" customHeight="1" x14ac:dyDescent="0.25">
      <c r="C238" s="7" t="s">
        <v>210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850</v>
      </c>
    </row>
    <row r="239" spans="3:11" s="4" customFormat="1" ht="15.95" hidden="1" customHeight="1" x14ac:dyDescent="0.25">
      <c r="C239" s="7" t="s">
        <v>186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1400</v>
      </c>
    </row>
    <row r="240" spans="3:11" s="4" customFormat="1" ht="15.95" hidden="1" customHeight="1" x14ac:dyDescent="0.25">
      <c r="C240" s="7" t="s">
        <v>237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360</v>
      </c>
    </row>
    <row r="241" spans="3:11" s="4" customFormat="1" ht="15.95" hidden="1" customHeight="1" x14ac:dyDescent="0.25">
      <c r="C241" s="7" t="s">
        <v>240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550</v>
      </c>
    </row>
    <row r="242" spans="3:11" s="4" customFormat="1" ht="15.95" hidden="1" customHeight="1" x14ac:dyDescent="0.25">
      <c r="C242" s="7" t="s">
        <v>241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580</v>
      </c>
    </row>
    <row r="243" spans="3:11" s="4" customFormat="1" ht="15.95" hidden="1" customHeight="1" x14ac:dyDescent="0.25">
      <c r="C243" s="7" t="s">
        <v>233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680</v>
      </c>
    </row>
    <row r="244" spans="3:11" s="4" customFormat="1" ht="15.95" hidden="1" customHeight="1" x14ac:dyDescent="0.25">
      <c r="C244" s="7" t="s">
        <v>238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750</v>
      </c>
    </row>
    <row r="245" spans="3:11" s="4" customFormat="1" ht="15.95" hidden="1" customHeight="1" x14ac:dyDescent="0.25">
      <c r="C245" s="7" t="s">
        <v>234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340</v>
      </c>
    </row>
    <row r="246" spans="3:11" s="4" customFormat="1" ht="15.95" hidden="1" customHeight="1" x14ac:dyDescent="0.25">
      <c r="C246" s="7" t="s">
        <v>239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160</v>
      </c>
    </row>
    <row r="247" spans="3:11" s="4" customFormat="1" ht="15.95" hidden="1" customHeight="1" x14ac:dyDescent="0.25">
      <c r="C247" s="7" t="s">
        <v>236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226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130</v>
      </c>
    </row>
    <row r="249" spans="3:11" s="4" customFormat="1" ht="15.95" hidden="1" customHeight="1" x14ac:dyDescent="0.25">
      <c r="C249" s="7" t="s">
        <v>222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400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260</v>
      </c>
    </row>
    <row r="251" spans="3:11" s="4" customFormat="1" ht="15.95" hidden="1" customHeight="1" x14ac:dyDescent="0.25">
      <c r="C251" s="7" t="s">
        <v>230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180</v>
      </c>
    </row>
    <row r="252" spans="3:11" s="4" customFormat="1" ht="15.95" hidden="1" customHeight="1" x14ac:dyDescent="0.25">
      <c r="C252" s="7" t="s">
        <v>231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120</v>
      </c>
    </row>
    <row r="253" spans="3:11" s="4" customFormat="1" ht="15.95" hidden="1" customHeight="1" x14ac:dyDescent="0.25">
      <c r="C253" s="7" t="s">
        <v>232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220</v>
      </c>
    </row>
    <row r="254" spans="3:11" s="4" customFormat="1" ht="15.95" hidden="1" customHeight="1" x14ac:dyDescent="0.25">
      <c r="C254" s="7" t="s">
        <v>225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165</v>
      </c>
      <c r="K254" s="30">
        <v>230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228</v>
      </c>
      <c r="K255" s="30">
        <v>500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223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260</v>
      </c>
    </row>
    <row r="258" spans="3:11" s="4" customFormat="1" ht="15.95" hidden="1" customHeight="1" x14ac:dyDescent="0.25">
      <c r="C258" s="7" t="s">
        <v>218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6500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8800</v>
      </c>
    </row>
    <row r="260" spans="3:11" s="4" customFormat="1" ht="15.95" hidden="1" customHeight="1" x14ac:dyDescent="0.25">
      <c r="C260" s="7" t="s">
        <v>219</v>
      </c>
      <c r="D260" s="7"/>
      <c r="E260" s="8">
        <f t="shared" ref="E260" si="14">I260*K260</f>
        <v>12600</v>
      </c>
      <c r="F260" s="8">
        <v>4</v>
      </c>
      <c r="G260" s="8">
        <v>3</v>
      </c>
      <c r="H260" s="8"/>
      <c r="I260" s="8">
        <v>12</v>
      </c>
      <c r="J260" s="10" t="s">
        <v>110</v>
      </c>
      <c r="K260" s="30">
        <v>1050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3"/>
        <v>13230</v>
      </c>
      <c r="F261" s="8" t="s">
        <v>273</v>
      </c>
      <c r="G261" s="8"/>
      <c r="H261" s="8"/>
      <c r="I261" s="8">
        <v>12.6</v>
      </c>
      <c r="J261" s="10" t="s">
        <v>110</v>
      </c>
      <c r="K261" s="30">
        <v>1050</v>
      </c>
    </row>
    <row r="262" spans="3:11" s="22" customFormat="1" ht="15.95" customHeight="1" x14ac:dyDescent="0.25">
      <c r="C262" s="32" t="s">
        <v>147</v>
      </c>
      <c r="D262" s="33">
        <f>SUM(E263)</f>
        <v>9500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9500</v>
      </c>
      <c r="F263" s="24"/>
      <c r="G263" s="24"/>
      <c r="H263" s="24"/>
      <c r="I263" s="24">
        <v>1</v>
      </c>
      <c r="J263" s="25" t="s">
        <v>165</v>
      </c>
      <c r="K263" s="48">
        <v>9500</v>
      </c>
    </row>
    <row r="264" spans="3:11" s="22" customFormat="1" ht="15.95" customHeight="1" x14ac:dyDescent="0.25">
      <c r="C264" s="32" t="s">
        <v>145</v>
      </c>
      <c r="D264" s="33">
        <f>SUM(E265)</f>
        <v>2500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2500</v>
      </c>
      <c r="F265" s="41"/>
      <c r="G265" s="41"/>
      <c r="H265" s="41"/>
      <c r="I265" s="24">
        <v>2</v>
      </c>
      <c r="J265" s="25" t="s">
        <v>148</v>
      </c>
      <c r="K265" s="48">
        <v>1250</v>
      </c>
    </row>
    <row r="266" spans="3:11" s="22" customFormat="1" ht="15.95" customHeight="1" x14ac:dyDescent="0.25">
      <c r="C266" s="32" t="s">
        <v>146</v>
      </c>
      <c r="D266" s="33">
        <f>SUM(E267)</f>
        <v>3000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3000</v>
      </c>
      <c r="F267" s="41"/>
      <c r="G267" s="41"/>
      <c r="H267" s="41"/>
      <c r="I267" s="24">
        <v>2</v>
      </c>
      <c r="J267" s="25" t="s">
        <v>165</v>
      </c>
      <c r="K267" s="48">
        <v>1500</v>
      </c>
    </row>
    <row r="268" spans="3:11" s="22" customFormat="1" ht="15.95" customHeight="1" x14ac:dyDescent="0.25">
      <c r="C268" s="32" t="s">
        <v>211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165</v>
      </c>
      <c r="K269" s="48">
        <v>1200</v>
      </c>
    </row>
    <row r="270" spans="3:11" s="22" customFormat="1" ht="15.95" customHeight="1" x14ac:dyDescent="0.25">
      <c r="C270" s="32" t="s">
        <v>263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262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165</v>
      </c>
      <c r="K271" s="48">
        <v>0</v>
      </c>
    </row>
    <row r="272" spans="3:11" ht="15.95" customHeight="1" thickBot="1" x14ac:dyDescent="0.3">
      <c r="C272" s="18" t="s">
        <v>56</v>
      </c>
      <c r="D272" s="14">
        <f>SUM(D2:D271)</f>
        <v>54476.959999999999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2026-01-14T09:40:40Z</dcterms:modified>
</cp:coreProperties>
</file>