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DIGITUS @ GITEX 2026\"/>
    </mc:Choice>
  </mc:AlternateContent>
  <xr:revisionPtr revIDLastSave="0" documentId="13_ncr:1_{4729A44F-5B73-495A-ABF8-15486346D8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1" l="1"/>
  <c r="E97" i="1"/>
  <c r="E116" i="1"/>
  <c r="E115" i="1"/>
  <c r="E114" i="1"/>
  <c r="E52" i="1"/>
  <c r="E269" i="1" l="1"/>
  <c r="D268" i="1" s="1"/>
  <c r="E140" i="1" l="1"/>
  <c r="E275" i="1" l="1"/>
  <c r="D274" i="1" s="1"/>
  <c r="E81" i="1" l="1"/>
  <c r="E80" i="1"/>
  <c r="E90" i="1" l="1"/>
  <c r="E91" i="1"/>
  <c r="E92" i="1"/>
  <c r="E93" i="1"/>
  <c r="E94" i="1"/>
  <c r="E95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6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73" i="1" l="1"/>
  <c r="D272" i="1" s="1"/>
  <c r="E271" i="1"/>
  <c r="D270" i="1" s="1"/>
  <c r="E267" i="1"/>
  <c r="D266" i="1" s="1"/>
  <c r="E265" i="1"/>
  <c r="D264" i="1" s="1"/>
  <c r="E14" i="1" l="1"/>
  <c r="E89" i="1" l="1"/>
  <c r="D88" i="1" s="1"/>
  <c r="E15" i="1" l="1"/>
  <c r="E84" i="1" l="1"/>
  <c r="E85" i="1"/>
  <c r="E86" i="1"/>
  <c r="E213" i="1" l="1"/>
  <c r="E137" i="1"/>
  <c r="E170" i="1"/>
  <c r="D169" i="1" s="1"/>
  <c r="D212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60" i="1"/>
  <c r="E44" i="1" l="1"/>
  <c r="E40" i="1"/>
  <c r="E41" i="1"/>
  <c r="E156" i="1" l="1"/>
  <c r="E148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2" i="1"/>
  <c r="E225" i="1"/>
  <c r="D224" i="1" s="1"/>
  <c r="D16" i="1" l="1"/>
  <c r="D155" i="1"/>
  <c r="D136" i="1"/>
  <c r="D147" i="1"/>
  <c r="D111" i="1"/>
  <c r="D276" i="1" l="1"/>
</calcChain>
</file>

<file path=xl/sharedStrings.xml><?xml version="1.0" encoding="utf-8"?>
<sst xmlns="http://schemas.openxmlformats.org/spreadsheetml/2006/main" count="592" uniqueCount="288">
  <si>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</si>
  <si>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</si>
  <si>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</si>
  <si>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</si>
  <si>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</si>
  <si>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</si>
  <si>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</si>
  <si>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</si>
  <si>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</si>
  <si>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</si>
  <si>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</si>
  <si>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</si>
  <si>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</si>
  <si>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</si>
  <si>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</si>
  <si>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</si>
  <si>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</si>
  <si>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</si>
  <si>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</si>
  <si>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</si>
  <si>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</si>
  <si>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</si>
  <si>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</si>
  <si>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</si>
  <si>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</si>
  <si>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</si>
  <si>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</si>
  <si>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</si>
  <si>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</si>
  <si>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</si>
  <si>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</si>
  <si>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</si>
  <si>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</si>
  <si>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</si>
  <si>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</si>
  <si>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</si>
  <si>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</si>
  <si>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</si>
  <si>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</si>
  <si>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</si>
  <si>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</si>
  <si>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</si>
  <si>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</si>
  <si>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</si>
  <si>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</si>
  <si>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</si>
  <si>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</si>
  <si>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</si>
  <si>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</si>
  <si>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</si>
  <si>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</si>
  <si>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</si>
  <si>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</si>
  <si>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</si>
  <si>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</si>
  <si>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</si>
  <si>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</si>
  <si>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</si>
  <si>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</si>
  <si>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</si>
  <si>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</si>
  <si>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</si>
  <si>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</si>
  <si>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</si>
  <si>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</si>
  <si>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</si>
  <si>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</si>
  <si>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</si>
  <si>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</si>
  <si>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</si>
  <si>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</si>
  <si>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</si>
  <si>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</si>
  <si>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</si>
  <si>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</si>
  <si>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</si>
  <si>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</si>
  <si>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</si>
  <si>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</si>
  <si>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</si>
  <si>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</si>
  <si>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</si>
  <si>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</si>
  <si>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</si>
  <si>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</si>
  <si>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</si>
  <si>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</si>
  <si>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</si>
  <si>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</si>
  <si>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</si>
  <si>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</si>
  <si>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</si>
  <si>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</si>
  <si>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</si>
  <si>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</si>
  <si>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</si>
  <si>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</si>
  <si>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</si>
  <si>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</si>
  <si>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</si>
  <si>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</si>
  <si>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</si>
  <si>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</si>
  <si>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</si>
  <si>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</si>
  <si>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</si>
  <si>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</si>
  <si>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</si>
  <si>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</si>
  <si>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</si>
  <si>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</si>
  <si>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</si>
  <si>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</si>
  <si>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</si>
  <si>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</si>
  <si>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</si>
  <si>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</si>
  <si>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</si>
  <si>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</si>
  <si>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</si>
  <si>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</si>
  <si>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</si>
  <si>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</si>
  <si>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</si>
  <si>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</si>
  <si>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</si>
  <si>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</si>
  <si>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</si>
  <si>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</si>
  <si>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</si>
  <si>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</si>
  <si>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</si>
  <si>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</si>
  <si>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</si>
  <si>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</si>
  <si>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</si>
  <si>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</si>
  <si>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</si>
  <si>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</si>
  <si>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</si>
  <si>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</si>
  <si>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</si>
  <si>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</si>
  <si>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</si>
  <si>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</si>
  <si>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</si>
  <si>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</si>
  <si>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</si>
  <si>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</si>
  <si>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</si>
  <si>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</si>
  <si>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</si>
  <si>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</si>
  <si>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</si>
  <si>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</si>
  <si>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</si>
  <si>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</si>
  <si>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</si>
  <si>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</si>
  <si>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</si>
  <si>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</si>
  <si>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</si>
  <si>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</si>
  <si>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</si>
  <si>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</si>
  <si>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</si>
  <si>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</si>
  <si>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</si>
  <si>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</si>
  <si>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</si>
  <si>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</si>
  <si>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</si>
  <si>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</si>
  <si>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</si>
  <si>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</si>
  <si>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</si>
  <si>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</si>
  <si>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</si>
  <si>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</si>
  <si>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</si>
  <si>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</si>
  <si>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</si>
  <si>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</si>
  <si>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</si>
  <si>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</si>
  <si>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</si>
  <si>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</si>
  <si>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</si>
  <si>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</si>
  <si>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</si>
  <si>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</si>
  <si>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</si>
  <si>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</si>
  <si>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</si>
  <si>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</si>
  <si>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</si>
  <si>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</si>
  <si>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</si>
  <si>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</si>
  <si>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</si>
  <si>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</si>
  <si>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</si>
  <si>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</si>
  <si>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</si>
  <si>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</si>
  <si>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</si>
  <si>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</si>
  <si>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</si>
  <si>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</si>
  <si>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</si>
  <si>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</si>
  <si>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</si>
  <si>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</si>
  <si>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</si>
  <si>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</si>
  <si>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</si>
  <si>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</si>
  <si>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</si>
  <si>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</si>
  <si>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</si>
  <si>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</si>
  <si>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</si>
  <si>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</si>
  <si>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</si>
  <si>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</si>
  <si>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</si>
  <si>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</si>
  <si>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</si>
  <si>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</si>
  <si>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</si>
  <si>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</si>
  <si>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</si>
  <si>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</si>
  <si>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</si>
  <si>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</si>
  <si>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</si>
  <si>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</si>
  <si>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</si>
  <si>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</si>
  <si>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</si>
  <si>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</si>
  <si>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</si>
  <si>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</si>
  <si>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</si>
  <si>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</si>
  <si>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</si>
  <si>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</si>
  <si>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</si>
  <si>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</si>
  <si>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</si>
  <si>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</si>
  <si>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</si>
  <si>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</si>
  <si>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</si>
  <si>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</si>
  <si>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</si>
  <si>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</si>
  <si>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</si>
  <si>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</si>
  <si>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</si>
  <si>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</si>
  <si>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</si>
  <si>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</si>
  <si>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</si>
  <si>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</si>
  <si>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</si>
  <si>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</si>
  <si>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</si>
  <si>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</si>
  <si>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</si>
  <si>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(Laminated)- 3.5 x 0.5 x 1.0</t>
  </si>
  <si>
    <t>Bar Counter (Laminated)- 4.0 x 0.8 x 1.0</t>
  </si>
  <si>
    <t>GREEN WALL</t>
  </si>
  <si>
    <t xml:space="preserve">COFFEE TABLE </t>
  </si>
  <si>
    <t>Podium (Laminated)- 1.2 x 0.6 x 0.75</t>
  </si>
  <si>
    <t>Wooden Hanging (10m x 4m)</t>
  </si>
  <si>
    <t>FABRIC Hanging (6m x 2.5m)</t>
  </si>
  <si>
    <t>PLANTS with Pots (1 MTR HEIGHT)</t>
  </si>
  <si>
    <t>Opt Nr:-  1</t>
  </si>
  <si>
    <t>Date:- 01-05-2026</t>
  </si>
  <si>
    <t>DIGITUS</t>
  </si>
  <si>
    <t>GITEX 2026</t>
  </si>
  <si>
    <t>16M X 16M</t>
  </si>
  <si>
    <t>256 SQM</t>
  </si>
  <si>
    <t>4M</t>
  </si>
  <si>
    <t>June 30 – July 1, 2026</t>
  </si>
  <si>
    <t>BERLIN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</si>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</sst>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1</xdr:col>
      <xdr:colOff>1057275</xdr:colOff>
      <xdr:row>269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5F796-C787-4282-8950-EE5F9783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145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8" sqref="D278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279</v>
      </c>
      <c r="C1" s="19" t="s">
        <v>46</v>
      </c>
      <c r="D1" s="19" t="s">
        <v>128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152</v>
      </c>
      <c r="K1" s="46" t="s">
        <v>264</v>
      </c>
    </row>
    <row r="2" spans="1:11" s="4" customFormat="1" ht="15.95" customHeight="1" x14ac:dyDescent="0.25">
      <c r="A2" s="21" t="s">
        <v>137</v>
      </c>
      <c r="B2" s="4" t="s">
        <v>280</v>
      </c>
      <c r="C2" s="26" t="s">
        <v>148</v>
      </c>
      <c r="D2" s="27">
        <f>SUM(E3:E11)</f>
        <v>10215.4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157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162</v>
      </c>
      <c r="K3" s="30">
        <v>2.86</v>
      </c>
    </row>
    <row r="4" spans="1:11" ht="15.95" hidden="1" customHeight="1" x14ac:dyDescent="0.25">
      <c r="C4" s="7" t="s">
        <v>165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162</v>
      </c>
      <c r="K4" s="30">
        <v>9.52</v>
      </c>
    </row>
    <row r="5" spans="1:11" ht="15.95" hidden="1" customHeight="1" x14ac:dyDescent="0.25">
      <c r="C5" s="7" t="s">
        <v>169</v>
      </c>
      <c r="D5" s="7"/>
      <c r="E5" s="8">
        <f t="shared" si="0"/>
        <v>3829.72</v>
      </c>
      <c r="F5" s="8"/>
      <c r="G5" s="8"/>
      <c r="H5" s="8"/>
      <c r="I5" s="9">
        <v>268</v>
      </c>
      <c r="J5" s="10" t="s">
        <v>162</v>
      </c>
      <c r="K5" s="30">
        <v>14.29</v>
      </c>
    </row>
    <row r="6" spans="1:11" ht="15.95" hidden="1" customHeight="1" x14ac:dyDescent="0.25">
      <c r="C6" s="7" t="s">
        <v>158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162</v>
      </c>
      <c r="K6" s="30">
        <v>28.1</v>
      </c>
    </row>
    <row r="7" spans="1:11" ht="15.95" hidden="1" customHeight="1" x14ac:dyDescent="0.25">
      <c r="B7" s="29" t="s">
        <v>246</v>
      </c>
      <c r="C7" s="7" t="s">
        <v>149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162</v>
      </c>
      <c r="K7" s="30">
        <v>10</v>
      </c>
    </row>
    <row r="8" spans="1:11" ht="15.95" hidden="1" customHeight="1" x14ac:dyDescent="0.25">
      <c r="B8" s="29" t="s">
        <v>246</v>
      </c>
      <c r="C8" s="7" t="s">
        <v>164</v>
      </c>
      <c r="D8" s="7"/>
      <c r="E8" s="8">
        <f t="shared" si="0"/>
        <v>6126.48</v>
      </c>
      <c r="F8" s="8"/>
      <c r="G8" s="8"/>
      <c r="H8" s="8"/>
      <c r="I8" s="9">
        <v>268</v>
      </c>
      <c r="J8" s="10" t="s">
        <v>162</v>
      </c>
      <c r="K8" s="30">
        <v>22.86</v>
      </c>
    </row>
    <row r="9" spans="1:11" ht="15.95" hidden="1" customHeight="1" x14ac:dyDescent="0.25">
      <c r="C9" s="7" t="s">
        <v>150</v>
      </c>
      <c r="D9" s="7"/>
      <c r="E9" s="8">
        <f t="shared" si="0"/>
        <v>259.2</v>
      </c>
      <c r="F9" s="8"/>
      <c r="G9" s="8"/>
      <c r="H9" s="8"/>
      <c r="I9" s="9">
        <v>64</v>
      </c>
      <c r="J9" s="10" t="s">
        <v>147</v>
      </c>
      <c r="K9" s="30">
        <v>4.05</v>
      </c>
    </row>
    <row r="10" spans="1:11" ht="15.95" hidden="1" customHeight="1" x14ac:dyDescent="0.25">
      <c r="C10" s="7" t="s">
        <v>109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162</v>
      </c>
      <c r="K10" s="30">
        <v>28.57</v>
      </c>
    </row>
    <row r="11" spans="1:11" ht="15.95" hidden="1" customHeight="1" x14ac:dyDescent="0.25">
      <c r="C11" s="7" t="s">
        <v>110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162</v>
      </c>
      <c r="K11" s="30">
        <v>22.62</v>
      </c>
    </row>
    <row r="12" spans="1:11" s="4" customFormat="1" ht="15.95" customHeight="1" x14ac:dyDescent="0.25">
      <c r="A12" s="21" t="s">
        <v>136</v>
      </c>
      <c r="B12" s="4" t="s">
        <v>281</v>
      </c>
      <c r="C12" s="26" t="s">
        <v>191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182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163</v>
      </c>
      <c r="K13" s="30">
        <v>265</v>
      </c>
    </row>
    <row r="14" spans="1:11" ht="15.95" hidden="1" customHeight="1" x14ac:dyDescent="0.25">
      <c r="B14" s="13"/>
      <c r="C14" s="16" t="s">
        <v>183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163</v>
      </c>
      <c r="K14" s="30">
        <v>365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163</v>
      </c>
      <c r="K15" s="30">
        <v>810</v>
      </c>
    </row>
    <row r="16" spans="1:11" s="4" customFormat="1" ht="15.95" customHeight="1" x14ac:dyDescent="0.25">
      <c r="A16" s="21" t="s">
        <v>141</v>
      </c>
      <c r="B16" s="4" t="s">
        <v>286</v>
      </c>
      <c r="C16" s="26" t="s">
        <v>181</v>
      </c>
      <c r="D16" s="27">
        <f>SUM(E17:E87)</f>
        <v>7683.3899999999994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246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151</v>
      </c>
      <c r="K17" s="30">
        <v>52.86</v>
      </c>
    </row>
    <row r="18" spans="2:11" ht="15.95" hidden="1" customHeight="1" x14ac:dyDescent="0.25">
      <c r="B18" s="29" t="s">
        <v>246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151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151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151</v>
      </c>
      <c r="K20" s="30">
        <v>97.71</v>
      </c>
    </row>
    <row r="21" spans="2:11" ht="15.95" hidden="1" customHeight="1" x14ac:dyDescent="0.25">
      <c r="C21" s="7" t="s">
        <v>133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151</v>
      </c>
      <c r="K21" s="30">
        <v>214.29</v>
      </c>
    </row>
    <row r="22" spans="2:11" ht="15.95" hidden="1" customHeight="1" x14ac:dyDescent="0.25">
      <c r="C22" s="7" t="s">
        <v>134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151</v>
      </c>
      <c r="K22" s="30">
        <v>333.33</v>
      </c>
    </row>
    <row r="23" spans="2:11" ht="15.95" hidden="1" customHeight="1" x14ac:dyDescent="0.25">
      <c r="C23" s="7" t="s">
        <v>125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151</v>
      </c>
      <c r="K23" s="30">
        <v>99.52</v>
      </c>
    </row>
    <row r="24" spans="2:11" ht="15.95" hidden="1" customHeight="1" x14ac:dyDescent="0.25">
      <c r="C24" s="7" t="s">
        <v>126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151</v>
      </c>
      <c r="K24" s="30">
        <v>199.05</v>
      </c>
    </row>
    <row r="25" spans="2:11" ht="15.95" hidden="1" customHeight="1" x14ac:dyDescent="0.25">
      <c r="B25" s="29" t="s">
        <v>246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151</v>
      </c>
      <c r="K25" s="30">
        <v>62.86</v>
      </c>
    </row>
    <row r="26" spans="2:11" ht="15.95" hidden="1" customHeight="1" x14ac:dyDescent="0.25">
      <c r="B26" s="29" t="s">
        <v>246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151</v>
      </c>
      <c r="K26" s="30">
        <v>69.709999999999994</v>
      </c>
    </row>
    <row r="27" spans="2:11" ht="15.95" hidden="1" customHeight="1" x14ac:dyDescent="0.25">
      <c r="C27" s="7" t="s">
        <v>96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151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151</v>
      </c>
      <c r="K28" s="30">
        <v>104.86</v>
      </c>
    </row>
    <row r="29" spans="2:11" ht="15.95" hidden="1" customHeight="1" x14ac:dyDescent="0.25">
      <c r="B29" s="29" t="s">
        <v>246</v>
      </c>
      <c r="C29" s="7" t="s">
        <v>63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151</v>
      </c>
      <c r="K29" s="30">
        <v>71.430000000000007</v>
      </c>
    </row>
    <row r="30" spans="2:11" ht="15.95" hidden="1" customHeight="1" x14ac:dyDescent="0.25">
      <c r="B30" s="29" t="s">
        <v>246</v>
      </c>
      <c r="C30" s="7" t="s">
        <v>64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151</v>
      </c>
      <c r="K30" s="30">
        <v>83.81</v>
      </c>
    </row>
    <row r="31" spans="2:11" ht="15.95" hidden="1" customHeight="1" x14ac:dyDescent="0.25">
      <c r="C31" s="7" t="s">
        <v>94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151</v>
      </c>
      <c r="K31" s="30">
        <v>98.57</v>
      </c>
    </row>
    <row r="32" spans="2:11" ht="15.95" hidden="1" customHeight="1" x14ac:dyDescent="0.25">
      <c r="C32" s="7" t="s">
        <v>95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151</v>
      </c>
      <c r="K32" s="30">
        <v>123.81</v>
      </c>
    </row>
    <row r="33" spans="2:11" ht="15.95" hidden="1" customHeight="1" x14ac:dyDescent="0.25">
      <c r="B33" s="29" t="s">
        <v>246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151</v>
      </c>
      <c r="K33" s="30">
        <v>67.86</v>
      </c>
    </row>
    <row r="34" spans="2:11" ht="15.95" hidden="1" customHeight="1" x14ac:dyDescent="0.25">
      <c r="B34" s="29" t="s">
        <v>246</v>
      </c>
      <c r="C34" s="7" t="s">
        <v>31</v>
      </c>
      <c r="D34" s="7"/>
      <c r="E34" s="8">
        <f t="shared" si="1"/>
        <v>1018.27</v>
      </c>
      <c r="F34" s="8">
        <v>1</v>
      </c>
      <c r="G34" s="8">
        <v>0.1</v>
      </c>
      <c r="H34" s="8">
        <v>4</v>
      </c>
      <c r="I34" s="9">
        <v>11</v>
      </c>
      <c r="J34" s="10" t="s">
        <v>151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151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151</v>
      </c>
      <c r="K36" s="30">
        <v>146.29</v>
      </c>
    </row>
    <row r="37" spans="2:11" ht="15.95" hidden="1" customHeight="1" x14ac:dyDescent="0.25">
      <c r="C37" s="7" t="s">
        <v>72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151</v>
      </c>
      <c r="K37" s="30">
        <v>76.19</v>
      </c>
    </row>
    <row r="38" spans="2:11" ht="15.95" hidden="1" customHeight="1" x14ac:dyDescent="0.25">
      <c r="C38" s="7" t="s">
        <v>97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151</v>
      </c>
      <c r="K38" s="30">
        <v>104.76</v>
      </c>
    </row>
    <row r="39" spans="2:11" ht="15.95" hidden="1" customHeight="1" x14ac:dyDescent="0.25">
      <c r="C39" s="7" t="s">
        <v>98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151</v>
      </c>
      <c r="K39" s="30">
        <v>115.24</v>
      </c>
    </row>
    <row r="40" spans="2:11" ht="15.95" hidden="1" customHeight="1" x14ac:dyDescent="0.25">
      <c r="C40" s="7" t="s">
        <v>99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151</v>
      </c>
      <c r="K40" s="30">
        <v>160.47999999999999</v>
      </c>
    </row>
    <row r="41" spans="2:11" ht="15.95" hidden="1" customHeight="1" x14ac:dyDescent="0.25">
      <c r="B41" s="29" t="s">
        <v>246</v>
      </c>
      <c r="C41" s="7" t="s">
        <v>73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151</v>
      </c>
      <c r="K41" s="30">
        <v>77.38</v>
      </c>
    </row>
    <row r="42" spans="2:11" ht="15.95" hidden="1" customHeight="1" x14ac:dyDescent="0.25">
      <c r="B42" s="29" t="s">
        <v>246</v>
      </c>
      <c r="C42" s="7" t="s">
        <v>100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151</v>
      </c>
      <c r="K42" s="30">
        <v>110.71</v>
      </c>
    </row>
    <row r="43" spans="2:11" ht="15.95" hidden="1" customHeight="1" x14ac:dyDescent="0.25">
      <c r="C43" s="7" t="s">
        <v>74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151</v>
      </c>
      <c r="K43" s="30">
        <v>128.57</v>
      </c>
    </row>
    <row r="44" spans="2:11" ht="15.95" hidden="1" customHeight="1" x14ac:dyDescent="0.25">
      <c r="C44" s="7" t="s">
        <v>101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151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151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151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151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151</v>
      </c>
      <c r="K48" s="30">
        <v>193.14</v>
      </c>
    </row>
    <row r="49" spans="2:11" ht="15.95" hidden="1" customHeight="1" x14ac:dyDescent="0.25">
      <c r="C49" s="7" t="s">
        <v>92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151</v>
      </c>
      <c r="K49" s="30">
        <v>41.67</v>
      </c>
    </row>
    <row r="50" spans="2:11" ht="15.95" hidden="1" customHeight="1" x14ac:dyDescent="0.25">
      <c r="C50" s="7" t="s">
        <v>93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151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153</v>
      </c>
      <c r="K51" s="30">
        <v>62.29</v>
      </c>
    </row>
    <row r="52" spans="2:11" ht="15.95" hidden="1" customHeight="1" x14ac:dyDescent="0.25">
      <c r="B52" s="29" t="s">
        <v>246</v>
      </c>
      <c r="C52" s="7" t="s">
        <v>39</v>
      </c>
      <c r="D52" s="7"/>
      <c r="E52" s="8">
        <f t="shared" ref="E52" si="3">I52*K52</f>
        <v>308.56</v>
      </c>
      <c r="F52" s="8">
        <v>1</v>
      </c>
      <c r="G52" s="8">
        <v>0.2</v>
      </c>
      <c r="H52" s="8">
        <v>2.5</v>
      </c>
      <c r="I52" s="9">
        <v>4</v>
      </c>
      <c r="J52" s="10" t="s">
        <v>153</v>
      </c>
      <c r="K52" s="30">
        <v>77.14</v>
      </c>
    </row>
    <row r="53" spans="2:11" ht="15.95" hidden="1" customHeight="1" x14ac:dyDescent="0.25">
      <c r="B53" s="29"/>
      <c r="C53" s="7" t="s">
        <v>39</v>
      </c>
      <c r="D53" s="7"/>
      <c r="E53" s="8">
        <f t="shared" si="2"/>
        <v>308.56</v>
      </c>
      <c r="F53" s="8">
        <v>1</v>
      </c>
      <c r="G53" s="8">
        <v>0.2</v>
      </c>
      <c r="H53" s="8">
        <v>2.5</v>
      </c>
      <c r="I53" s="9">
        <v>4</v>
      </c>
      <c r="J53" s="10" t="s">
        <v>153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153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153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153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153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153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2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153</v>
      </c>
      <c r="K59" s="30">
        <v>132.57</v>
      </c>
    </row>
    <row r="60" spans="2:11" ht="15.95" hidden="1" customHeight="1" x14ac:dyDescent="0.25">
      <c r="C60" s="7" t="s">
        <v>102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153</v>
      </c>
      <c r="K60" s="30">
        <v>95.24</v>
      </c>
    </row>
    <row r="61" spans="2:11" ht="15.95" hidden="1" customHeight="1" x14ac:dyDescent="0.25">
      <c r="C61" s="7" t="s">
        <v>103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153</v>
      </c>
      <c r="K61" s="30">
        <v>102.38</v>
      </c>
    </row>
    <row r="62" spans="2:11" ht="15.95" hidden="1" customHeight="1" x14ac:dyDescent="0.25">
      <c r="C62" s="7" t="s">
        <v>104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153</v>
      </c>
      <c r="K62" s="30">
        <v>117.14</v>
      </c>
    </row>
    <row r="63" spans="2:11" ht="15.95" hidden="1" customHeight="1" x14ac:dyDescent="0.25">
      <c r="C63" s="7" t="s">
        <v>75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153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153</v>
      </c>
      <c r="K64" s="30">
        <v>96.29</v>
      </c>
    </row>
    <row r="65" spans="1:11" ht="15.95" hidden="1" customHeight="1" x14ac:dyDescent="0.25">
      <c r="B65" s="29" t="s">
        <v>246</v>
      </c>
      <c r="C65" s="7" t="s">
        <v>31</v>
      </c>
      <c r="D65" s="7"/>
      <c r="E65" s="8">
        <f t="shared" si="2"/>
        <v>6048</v>
      </c>
      <c r="F65" s="8">
        <v>1</v>
      </c>
      <c r="G65" s="8">
        <v>0.2</v>
      </c>
      <c r="H65" s="8">
        <v>4</v>
      </c>
      <c r="I65" s="9">
        <v>48</v>
      </c>
      <c r="J65" s="10" t="s">
        <v>153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153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153</v>
      </c>
      <c r="K67" s="30">
        <v>179.71</v>
      </c>
    </row>
    <row r="68" spans="1:11" ht="15.95" hidden="1" customHeight="1" x14ac:dyDescent="0.25">
      <c r="C68" s="7" t="s">
        <v>67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153</v>
      </c>
      <c r="K68" s="30">
        <v>100.95</v>
      </c>
    </row>
    <row r="69" spans="1:11" ht="15.95" hidden="1" customHeight="1" x14ac:dyDescent="0.25">
      <c r="C69" s="7" t="s">
        <v>68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153</v>
      </c>
      <c r="K69" s="30">
        <v>130.94999999999999</v>
      </c>
    </row>
    <row r="70" spans="1:11" ht="15.95" hidden="1" customHeight="1" x14ac:dyDescent="0.25">
      <c r="C70" s="7" t="s">
        <v>105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153</v>
      </c>
      <c r="K70" s="30">
        <v>140.47999999999999</v>
      </c>
    </row>
    <row r="71" spans="1:11" ht="15.95" hidden="1" customHeight="1" x14ac:dyDescent="0.25">
      <c r="C71" s="7" t="s">
        <v>135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153</v>
      </c>
      <c r="K71" s="30">
        <v>357.14</v>
      </c>
    </row>
    <row r="72" spans="1:11" ht="15.95" hidden="1" customHeight="1" x14ac:dyDescent="0.25">
      <c r="C72" s="7" t="s">
        <v>65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153</v>
      </c>
      <c r="K72" s="30">
        <v>111.43</v>
      </c>
    </row>
    <row r="73" spans="1:11" ht="15.95" hidden="1" customHeight="1" x14ac:dyDescent="0.25">
      <c r="C73" s="7" t="s">
        <v>66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153</v>
      </c>
      <c r="K73" s="30">
        <v>145.24</v>
      </c>
    </row>
    <row r="74" spans="1:11" ht="15.95" hidden="1" customHeight="1" x14ac:dyDescent="0.25">
      <c r="C74" s="7" t="s">
        <v>106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153</v>
      </c>
      <c r="K74" s="30">
        <v>167.86</v>
      </c>
    </row>
    <row r="75" spans="1:11" ht="15.95" hidden="1" customHeight="1" x14ac:dyDescent="0.25">
      <c r="C75" s="7" t="s">
        <v>107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153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153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153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153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153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257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258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259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258</v>
      </c>
      <c r="K81" s="30">
        <v>15.7</v>
      </c>
    </row>
    <row r="82" spans="1:11" ht="15.95" hidden="1" customHeight="1" x14ac:dyDescent="0.25">
      <c r="C82" s="7" t="s">
        <v>92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153</v>
      </c>
      <c r="K82" s="30">
        <v>41.67</v>
      </c>
    </row>
    <row r="83" spans="1:11" ht="15.95" hidden="1" customHeight="1" x14ac:dyDescent="0.25">
      <c r="C83" s="7" t="s">
        <v>93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153</v>
      </c>
      <c r="K83" s="30">
        <v>83.33</v>
      </c>
    </row>
    <row r="84" spans="1:11" ht="15.95" hidden="1" customHeight="1" x14ac:dyDescent="0.25">
      <c r="B84" s="29" t="s">
        <v>246</v>
      </c>
      <c r="C84" s="7" t="s">
        <v>170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108</v>
      </c>
      <c r="K84" s="30">
        <v>47.62</v>
      </c>
    </row>
    <row r="85" spans="1:11" ht="15.95" hidden="1" customHeight="1" x14ac:dyDescent="0.25">
      <c r="B85" s="29" t="s">
        <v>246</v>
      </c>
      <c r="C85" s="7" t="s">
        <v>171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166</v>
      </c>
      <c r="K85" s="30">
        <v>190.48</v>
      </c>
    </row>
    <row r="86" spans="1:11" ht="15.95" hidden="1" customHeight="1" x14ac:dyDescent="0.25">
      <c r="B86" s="29" t="s">
        <v>246</v>
      </c>
      <c r="C86" s="7" t="s">
        <v>172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166</v>
      </c>
      <c r="K86" s="30">
        <v>190.48</v>
      </c>
    </row>
    <row r="87" spans="1:11" ht="15.95" hidden="1" customHeight="1" x14ac:dyDescent="0.25">
      <c r="C87" s="7" t="s">
        <v>173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108</v>
      </c>
      <c r="K87" s="30">
        <v>32.14</v>
      </c>
    </row>
    <row r="88" spans="1:11" s="4" customFormat="1" ht="15.95" customHeight="1" x14ac:dyDescent="0.25">
      <c r="A88" s="21" t="s">
        <v>142</v>
      </c>
      <c r="B88" s="4" t="s">
        <v>285</v>
      </c>
      <c r="C88" s="26" t="s">
        <v>192</v>
      </c>
      <c r="D88" s="27">
        <f>SUM(E89:E110)</f>
        <v>3162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246</v>
      </c>
      <c r="C89" s="23" t="s">
        <v>167</v>
      </c>
      <c r="D89" s="23"/>
      <c r="E89" s="24">
        <f t="shared" ref="E89:E110" si="5">I89*K89</f>
        <v>900</v>
      </c>
      <c r="F89" s="24"/>
      <c r="G89" s="24"/>
      <c r="H89" s="24"/>
      <c r="I89" s="24">
        <v>36</v>
      </c>
      <c r="J89" s="25" t="s">
        <v>163</v>
      </c>
      <c r="K89" s="48">
        <v>25</v>
      </c>
    </row>
    <row r="90" spans="1:11" s="22" customFormat="1" ht="15.95" hidden="1" customHeight="1" x14ac:dyDescent="0.25">
      <c r="B90" s="29" t="s">
        <v>246</v>
      </c>
      <c r="C90" s="23" t="s">
        <v>189</v>
      </c>
      <c r="D90" s="23"/>
      <c r="E90" s="24">
        <f t="shared" si="5"/>
        <v>80</v>
      </c>
      <c r="F90" s="24"/>
      <c r="G90" s="24"/>
      <c r="H90" s="24"/>
      <c r="I90" s="24">
        <v>8</v>
      </c>
      <c r="J90" s="25" t="s">
        <v>163</v>
      </c>
      <c r="K90" s="48">
        <v>10</v>
      </c>
    </row>
    <row r="91" spans="1:11" s="22" customFormat="1" ht="15.95" hidden="1" customHeight="1" x14ac:dyDescent="0.25">
      <c r="B91" s="29" t="s">
        <v>246</v>
      </c>
      <c r="C91" s="23" t="s">
        <v>190</v>
      </c>
      <c r="D91" s="23"/>
      <c r="E91" s="24">
        <f t="shared" si="5"/>
        <v>32</v>
      </c>
      <c r="F91" s="24"/>
      <c r="G91" s="24"/>
      <c r="H91" s="24"/>
      <c r="I91" s="24">
        <v>16</v>
      </c>
      <c r="J91" s="25" t="s">
        <v>163</v>
      </c>
      <c r="K91" s="48">
        <v>2</v>
      </c>
    </row>
    <row r="92" spans="1:11" s="4" customFormat="1" ht="15.95" hidden="1" customHeight="1" x14ac:dyDescent="0.25">
      <c r="B92" s="29" t="s">
        <v>246</v>
      </c>
      <c r="C92" s="7" t="s">
        <v>247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163</v>
      </c>
      <c r="K92" s="48">
        <v>800</v>
      </c>
    </row>
    <row r="93" spans="1:11" s="4" customFormat="1" ht="15.95" hidden="1" customHeight="1" x14ac:dyDescent="0.25">
      <c r="B93" s="29" t="s">
        <v>246</v>
      </c>
      <c r="C93" s="7" t="s">
        <v>248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163</v>
      </c>
      <c r="K93" s="48">
        <v>1210</v>
      </c>
    </row>
    <row r="94" spans="1:11" s="4" customFormat="1" ht="15.95" hidden="1" customHeight="1" x14ac:dyDescent="0.25">
      <c r="B94" s="29" t="s">
        <v>246</v>
      </c>
      <c r="C94" s="7" t="s">
        <v>262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163</v>
      </c>
      <c r="K94" s="48">
        <v>1820</v>
      </c>
    </row>
    <row r="95" spans="1:11" s="4" customFormat="1" ht="15.95" hidden="1" customHeight="1" x14ac:dyDescent="0.25">
      <c r="B95" s="29" t="s">
        <v>246</v>
      </c>
      <c r="C95" s="7" t="s">
        <v>263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163</v>
      </c>
      <c r="K95" s="48">
        <v>830</v>
      </c>
    </row>
    <row r="96" spans="1:11" s="4" customFormat="1" ht="15.95" hidden="1" customHeight="1" x14ac:dyDescent="0.25">
      <c r="B96" s="42"/>
      <c r="C96" s="7" t="s">
        <v>275</v>
      </c>
      <c r="D96" s="7"/>
      <c r="E96" s="24">
        <f t="shared" si="5"/>
        <v>1000</v>
      </c>
      <c r="F96" s="8"/>
      <c r="G96" s="8"/>
      <c r="H96" s="8"/>
      <c r="I96" s="8">
        <v>1</v>
      </c>
      <c r="J96" s="10" t="s">
        <v>163</v>
      </c>
      <c r="K96" s="48">
        <v>1000</v>
      </c>
    </row>
    <row r="97" spans="1:11" s="4" customFormat="1" ht="15.95" hidden="1" customHeight="1" x14ac:dyDescent="0.25">
      <c r="B97" s="42"/>
      <c r="C97" s="7" t="s">
        <v>276</v>
      </c>
      <c r="D97" s="7"/>
      <c r="E97" s="24">
        <f t="shared" ref="E97" si="6">I97*K97</f>
        <v>1150</v>
      </c>
      <c r="F97" s="8"/>
      <c r="G97" s="8"/>
      <c r="H97" s="8"/>
      <c r="I97" s="8">
        <v>1</v>
      </c>
      <c r="J97" s="10" t="s">
        <v>163</v>
      </c>
      <c r="K97" s="48">
        <v>1150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163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163</v>
      </c>
      <c r="K99" s="48">
        <v>1000</v>
      </c>
    </row>
    <row r="100" spans="1:11" s="4" customFormat="1" ht="15.95" hidden="1" customHeight="1" x14ac:dyDescent="0.25">
      <c r="B100" s="42"/>
      <c r="C100" s="7" t="s">
        <v>174</v>
      </c>
      <c r="D100" s="7"/>
      <c r="E100" s="24">
        <f t="shared" si="5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163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5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163</v>
      </c>
      <c r="K101" s="48">
        <v>1166.67</v>
      </c>
    </row>
    <row r="102" spans="1:11" s="4" customFormat="1" ht="15.95" hidden="1" customHeight="1" x14ac:dyDescent="0.25">
      <c r="B102" s="42"/>
      <c r="C102" s="7" t="s">
        <v>130</v>
      </c>
      <c r="D102" s="7"/>
      <c r="E102" s="24">
        <f t="shared" si="5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163</v>
      </c>
      <c r="K102" s="48">
        <v>35.71</v>
      </c>
    </row>
    <row r="103" spans="1:11" s="4" customFormat="1" ht="15.95" hidden="1" customHeight="1" x14ac:dyDescent="0.25">
      <c r="B103" s="29" t="s">
        <v>246</v>
      </c>
      <c r="C103" s="7" t="s">
        <v>111</v>
      </c>
      <c r="D103" s="7"/>
      <c r="E103" s="24">
        <f t="shared" si="5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108</v>
      </c>
      <c r="K103" s="48">
        <v>23.33</v>
      </c>
    </row>
    <row r="104" spans="1:11" s="4" customFormat="1" ht="15.95" hidden="1" customHeight="1" x14ac:dyDescent="0.25">
      <c r="B104" s="29" t="s">
        <v>246</v>
      </c>
      <c r="C104" s="7" t="s">
        <v>113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163</v>
      </c>
      <c r="K104" s="48">
        <v>12.86</v>
      </c>
    </row>
    <row r="105" spans="1:11" s="4" customFormat="1" ht="15.95" hidden="1" customHeight="1" x14ac:dyDescent="0.25">
      <c r="B105" s="29" t="s">
        <v>246</v>
      </c>
      <c r="C105" s="7" t="s">
        <v>114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163</v>
      </c>
      <c r="K105" s="48">
        <v>11.9</v>
      </c>
    </row>
    <row r="106" spans="1:11" s="4" customFormat="1" ht="15.95" hidden="1" customHeight="1" x14ac:dyDescent="0.25">
      <c r="B106" s="29" t="s">
        <v>246</v>
      </c>
      <c r="C106" s="7" t="s">
        <v>115</v>
      </c>
      <c r="D106" s="7"/>
      <c r="E106" s="24">
        <f t="shared" si="5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163</v>
      </c>
      <c r="K106" s="48">
        <v>9.52</v>
      </c>
    </row>
    <row r="107" spans="1:11" s="4" customFormat="1" ht="15.95" hidden="1" customHeight="1" x14ac:dyDescent="0.25">
      <c r="C107" s="7" t="s">
        <v>249</v>
      </c>
      <c r="D107" s="7"/>
      <c r="E107" s="24">
        <f t="shared" si="5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108</v>
      </c>
      <c r="K107" s="48">
        <v>15.48</v>
      </c>
    </row>
    <row r="108" spans="1:11" s="4" customFormat="1" ht="15.95" hidden="1" customHeight="1" x14ac:dyDescent="0.25">
      <c r="C108" s="7" t="s">
        <v>112</v>
      </c>
      <c r="D108" s="7"/>
      <c r="E108" s="24">
        <f t="shared" si="5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108</v>
      </c>
      <c r="K108" s="48">
        <v>16.07</v>
      </c>
    </row>
    <row r="109" spans="1:11" s="4" customFormat="1" ht="15.95" hidden="1" customHeight="1" x14ac:dyDescent="0.25">
      <c r="C109" s="7" t="s">
        <v>116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163</v>
      </c>
      <c r="K109" s="48">
        <v>2142.86</v>
      </c>
    </row>
    <row r="110" spans="1:11" s="4" customFormat="1" ht="15.95" hidden="1" customHeight="1" x14ac:dyDescent="0.25">
      <c r="C110" s="7" t="s">
        <v>131</v>
      </c>
      <c r="D110" s="7"/>
      <c r="E110" s="24">
        <f t="shared" si="5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163</v>
      </c>
      <c r="K110" s="48">
        <v>11.9</v>
      </c>
    </row>
    <row r="111" spans="1:11" s="4" customFormat="1" ht="15.95" customHeight="1" x14ac:dyDescent="0.25">
      <c r="A111" s="21" t="s">
        <v>138</v>
      </c>
      <c r="B111" s="4" t="s">
        <v>282</v>
      </c>
      <c r="C111" s="26" t="s">
        <v>193</v>
      </c>
      <c r="D111" s="27">
        <f>SUM(E112:E135)</f>
        <v>1312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266</v>
      </c>
      <c r="D112" s="7"/>
      <c r="E112" s="8">
        <f t="shared" ref="E112:E135" si="7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163</v>
      </c>
      <c r="K112" s="30">
        <v>262.86</v>
      </c>
    </row>
    <row r="113" spans="2:11" s="4" customFormat="1" ht="15.95" hidden="1" customHeight="1" x14ac:dyDescent="0.25">
      <c r="C113" s="7" t="s">
        <v>251</v>
      </c>
      <c r="D113" s="7"/>
      <c r="E113" s="8">
        <f t="shared" si="7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163</v>
      </c>
      <c r="K113" s="30">
        <v>564.6</v>
      </c>
    </row>
    <row r="114" spans="2:11" s="4" customFormat="1" ht="15.95" hidden="1" customHeight="1" x14ac:dyDescent="0.25">
      <c r="C114" s="7" t="s">
        <v>267</v>
      </c>
      <c r="D114" s="7"/>
      <c r="E114" s="8">
        <f t="shared" ref="E114:E116" si="8">I114*K114</f>
        <v>0</v>
      </c>
      <c r="F114" s="8">
        <v>2.5</v>
      </c>
      <c r="G114" s="8">
        <v>0.5</v>
      </c>
      <c r="H114" s="8">
        <v>1</v>
      </c>
      <c r="I114" s="8">
        <v>0</v>
      </c>
      <c r="J114" s="10" t="s">
        <v>163</v>
      </c>
      <c r="K114" s="30">
        <v>358.69</v>
      </c>
    </row>
    <row r="115" spans="2:11" s="4" customFormat="1" ht="15.95" hidden="1" customHeight="1" x14ac:dyDescent="0.25">
      <c r="C115" s="7" t="s">
        <v>270</v>
      </c>
      <c r="D115" s="7"/>
      <c r="E115" s="8">
        <f t="shared" si="8"/>
        <v>423.86</v>
      </c>
      <c r="F115" s="8">
        <v>3.5</v>
      </c>
      <c r="G115" s="8">
        <v>0.5</v>
      </c>
      <c r="H115" s="8">
        <v>1</v>
      </c>
      <c r="I115" s="8">
        <v>1</v>
      </c>
      <c r="J115" s="10" t="s">
        <v>163</v>
      </c>
      <c r="K115" s="30">
        <v>423.86</v>
      </c>
    </row>
    <row r="116" spans="2:11" s="4" customFormat="1" ht="15.95" hidden="1" customHeight="1" x14ac:dyDescent="0.25">
      <c r="C116" s="7" t="s">
        <v>271</v>
      </c>
      <c r="D116" s="7"/>
      <c r="E116" s="8">
        <f t="shared" si="8"/>
        <v>423.86</v>
      </c>
      <c r="F116" s="8">
        <v>4</v>
      </c>
      <c r="G116" s="8">
        <v>0.8</v>
      </c>
      <c r="H116" s="8">
        <v>1</v>
      </c>
      <c r="I116" s="8">
        <v>1</v>
      </c>
      <c r="J116" s="10" t="s">
        <v>163</v>
      </c>
      <c r="K116" s="30">
        <v>423.86</v>
      </c>
    </row>
    <row r="117" spans="2:11" s="4" customFormat="1" ht="15.95" hidden="1" customHeight="1" x14ac:dyDescent="0.25">
      <c r="C117" s="7" t="s">
        <v>274</v>
      </c>
      <c r="D117" s="7"/>
      <c r="E117" s="8">
        <f t="shared" si="7"/>
        <v>464.28</v>
      </c>
      <c r="F117" s="8">
        <v>1.2</v>
      </c>
      <c r="G117" s="8">
        <v>0.6</v>
      </c>
      <c r="H117" s="8">
        <v>0.75</v>
      </c>
      <c r="I117" s="8">
        <v>3</v>
      </c>
      <c r="J117" s="10" t="s">
        <v>163</v>
      </c>
      <c r="K117" s="30">
        <v>154.76</v>
      </c>
    </row>
    <row r="118" spans="2:11" s="4" customFormat="1" ht="15.95" hidden="1" customHeight="1" x14ac:dyDescent="0.25">
      <c r="C118" s="7" t="s">
        <v>252</v>
      </c>
      <c r="D118" s="7"/>
      <c r="E118" s="8">
        <f t="shared" si="7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163</v>
      </c>
      <c r="K118" s="30">
        <v>302.29000000000002</v>
      </c>
    </row>
    <row r="119" spans="2:11" s="4" customFormat="1" ht="15.95" hidden="1" customHeight="1" x14ac:dyDescent="0.25">
      <c r="C119" s="7" t="s">
        <v>250</v>
      </c>
      <c r="D119" s="7"/>
      <c r="E119" s="8">
        <f t="shared" si="7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163</v>
      </c>
      <c r="K119" s="30">
        <v>604.02</v>
      </c>
    </row>
    <row r="120" spans="2:11" s="4" customFormat="1" ht="15.95" hidden="1" customHeight="1" x14ac:dyDescent="0.25">
      <c r="C120" s="7" t="s">
        <v>253</v>
      </c>
      <c r="D120" s="7"/>
      <c r="E120" s="8">
        <f t="shared" si="7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163</v>
      </c>
      <c r="K120" s="30">
        <v>423.86</v>
      </c>
    </row>
    <row r="121" spans="2:11" s="4" customFormat="1" ht="15.95" hidden="1" customHeight="1" x14ac:dyDescent="0.25">
      <c r="C121" s="7" t="s">
        <v>154</v>
      </c>
      <c r="D121" s="7"/>
      <c r="E121" s="8">
        <f t="shared" si="7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163</v>
      </c>
      <c r="K121" s="30">
        <v>595.24</v>
      </c>
    </row>
    <row r="122" spans="2:11" s="4" customFormat="1" ht="15.95" hidden="1" customHeight="1" x14ac:dyDescent="0.25">
      <c r="C122" s="7" t="s">
        <v>194</v>
      </c>
      <c r="D122" s="7"/>
      <c r="E122" s="8">
        <f t="shared" si="7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163</v>
      </c>
      <c r="K122" s="30">
        <v>161.9</v>
      </c>
    </row>
    <row r="123" spans="2:11" s="4" customFormat="1" ht="15.95" hidden="1" customHeight="1" x14ac:dyDescent="0.25">
      <c r="C123" s="7" t="s">
        <v>195</v>
      </c>
      <c r="D123" s="7"/>
      <c r="E123" s="8">
        <f t="shared" si="7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163</v>
      </c>
      <c r="K123" s="30">
        <v>190.48</v>
      </c>
    </row>
    <row r="124" spans="2:11" s="4" customFormat="1" ht="15.95" hidden="1" customHeight="1" x14ac:dyDescent="0.25">
      <c r="C124" s="7" t="s">
        <v>196</v>
      </c>
      <c r="D124" s="7"/>
      <c r="E124" s="8">
        <f t="shared" si="7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163</v>
      </c>
      <c r="K124" s="30">
        <v>216.67</v>
      </c>
    </row>
    <row r="125" spans="2:11" s="4" customFormat="1" ht="15.95" hidden="1" customHeight="1" x14ac:dyDescent="0.25">
      <c r="C125" s="7" t="s">
        <v>197</v>
      </c>
      <c r="D125" s="7"/>
      <c r="E125" s="8">
        <f t="shared" si="7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163</v>
      </c>
      <c r="K125" s="30">
        <v>154.76</v>
      </c>
    </row>
    <row r="126" spans="2:11" s="4" customFormat="1" ht="15.95" hidden="1" customHeight="1" x14ac:dyDescent="0.25">
      <c r="C126" s="7" t="s">
        <v>198</v>
      </c>
      <c r="D126" s="7"/>
      <c r="E126" s="8">
        <f t="shared" si="7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163</v>
      </c>
      <c r="K126" s="30">
        <v>177.98</v>
      </c>
    </row>
    <row r="127" spans="2:11" s="4" customFormat="1" ht="15.95" hidden="1" customHeight="1" x14ac:dyDescent="0.25">
      <c r="C127" s="7" t="s">
        <v>199</v>
      </c>
      <c r="D127" s="7"/>
      <c r="E127" s="8">
        <f t="shared" si="7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163</v>
      </c>
      <c r="K127" s="30">
        <v>260.12</v>
      </c>
    </row>
    <row r="128" spans="2:11" s="4" customFormat="1" ht="15.95" hidden="1" customHeight="1" x14ac:dyDescent="0.25">
      <c r="B128" s="29" t="s">
        <v>246</v>
      </c>
      <c r="C128" s="7" t="s">
        <v>117</v>
      </c>
      <c r="D128" s="7"/>
      <c r="E128" s="8">
        <f t="shared" si="7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163</v>
      </c>
      <c r="K128" s="30">
        <v>210</v>
      </c>
    </row>
    <row r="129" spans="1:11" s="4" customFormat="1" ht="15.95" hidden="1" customHeight="1" x14ac:dyDescent="0.25">
      <c r="C129" s="7" t="s">
        <v>122</v>
      </c>
      <c r="D129" s="7"/>
      <c r="E129" s="8">
        <f t="shared" si="7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163</v>
      </c>
      <c r="K129" s="30">
        <v>223.81</v>
      </c>
    </row>
    <row r="130" spans="1:11" s="4" customFormat="1" ht="15.95" hidden="1" customHeight="1" x14ac:dyDescent="0.25">
      <c r="C130" s="7" t="s">
        <v>123</v>
      </c>
      <c r="D130" s="7"/>
      <c r="E130" s="8">
        <f t="shared" si="7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163</v>
      </c>
      <c r="K130" s="30">
        <v>65</v>
      </c>
    </row>
    <row r="131" spans="1:11" s="4" customFormat="1" ht="15.95" hidden="1" customHeight="1" x14ac:dyDescent="0.25">
      <c r="C131" s="7" t="s">
        <v>124</v>
      </c>
      <c r="D131" s="7"/>
      <c r="E131" s="8">
        <f t="shared" si="7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163</v>
      </c>
      <c r="K131" s="30">
        <v>35</v>
      </c>
    </row>
    <row r="132" spans="1:11" s="4" customFormat="1" ht="15.95" hidden="1" customHeight="1" x14ac:dyDescent="0.25">
      <c r="B132" s="29" t="s">
        <v>246</v>
      </c>
      <c r="C132" s="7" t="s">
        <v>53</v>
      </c>
      <c r="D132" s="7"/>
      <c r="E132" s="8">
        <f t="shared" si="7"/>
        <v>0</v>
      </c>
      <c r="F132" s="8"/>
      <c r="G132" s="8"/>
      <c r="H132" s="8"/>
      <c r="I132" s="8">
        <v>0</v>
      </c>
      <c r="J132" s="10" t="s">
        <v>163</v>
      </c>
      <c r="K132" s="30">
        <v>12</v>
      </c>
    </row>
    <row r="133" spans="1:11" s="4" customFormat="1" ht="15.95" hidden="1" customHeight="1" x14ac:dyDescent="0.25">
      <c r="C133" s="7" t="s">
        <v>127</v>
      </c>
      <c r="D133" s="7"/>
      <c r="E133" s="8">
        <f t="shared" si="7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108</v>
      </c>
      <c r="K133" s="30">
        <v>21.9</v>
      </c>
    </row>
    <row r="134" spans="1:11" s="4" customFormat="1" ht="15.95" hidden="1" customHeight="1" x14ac:dyDescent="0.25">
      <c r="C134" s="7" t="s">
        <v>200</v>
      </c>
      <c r="D134" s="7"/>
      <c r="E134" s="8">
        <f t="shared" si="7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163</v>
      </c>
      <c r="K134" s="30">
        <v>177.98</v>
      </c>
    </row>
    <row r="135" spans="1:11" s="4" customFormat="1" ht="15.95" hidden="1" customHeight="1" x14ac:dyDescent="0.25">
      <c r="C135" s="7" t="s">
        <v>175</v>
      </c>
      <c r="D135" s="7"/>
      <c r="E135" s="8">
        <f t="shared" si="7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163</v>
      </c>
      <c r="K135" s="30">
        <v>383.33</v>
      </c>
    </row>
    <row r="136" spans="1:11" s="4" customFormat="1" ht="15.95" customHeight="1" x14ac:dyDescent="0.25">
      <c r="A136" s="21" t="s">
        <v>140</v>
      </c>
      <c r="B136" s="4" t="s">
        <v>283</v>
      </c>
      <c r="C136" s="26" t="s">
        <v>201</v>
      </c>
      <c r="D136" s="27">
        <f>SUM(E137:E146)</f>
        <v>1206.45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246</v>
      </c>
      <c r="C137" s="7" t="s">
        <v>48</v>
      </c>
      <c r="D137" s="7"/>
      <c r="E137" s="8">
        <f t="shared" ref="E137:E146" si="9">I137*K137</f>
        <v>35</v>
      </c>
      <c r="F137" s="12"/>
      <c r="G137" s="12"/>
      <c r="H137" s="12"/>
      <c r="I137" s="8">
        <v>1</v>
      </c>
      <c r="J137" s="10" t="s">
        <v>163</v>
      </c>
      <c r="K137" s="30">
        <v>35</v>
      </c>
    </row>
    <row r="138" spans="1:11" s="4" customFormat="1" ht="15.95" hidden="1" customHeight="1" x14ac:dyDescent="0.25">
      <c r="B138" s="29" t="s">
        <v>246</v>
      </c>
      <c r="C138" s="7" t="s">
        <v>49</v>
      </c>
      <c r="D138" s="7"/>
      <c r="E138" s="8">
        <f t="shared" si="9"/>
        <v>100</v>
      </c>
      <c r="F138" s="8"/>
      <c r="G138" s="8"/>
      <c r="H138" s="8"/>
      <c r="I138" s="8">
        <v>2</v>
      </c>
      <c r="J138" s="10" t="s">
        <v>163</v>
      </c>
      <c r="K138" s="30">
        <v>50</v>
      </c>
    </row>
    <row r="139" spans="1:11" s="4" customFormat="1" ht="15.95" hidden="1" customHeight="1" x14ac:dyDescent="0.25">
      <c r="B139" s="29" t="s">
        <v>246</v>
      </c>
      <c r="C139" s="7" t="s">
        <v>268</v>
      </c>
      <c r="D139" s="7"/>
      <c r="E139" s="8">
        <f t="shared" si="9"/>
        <v>1071.45</v>
      </c>
      <c r="F139" s="8">
        <v>1</v>
      </c>
      <c r="G139" s="8">
        <v>0</v>
      </c>
      <c r="H139" s="8">
        <v>2</v>
      </c>
      <c r="I139" s="8">
        <v>9</v>
      </c>
      <c r="J139" s="10" t="s">
        <v>163</v>
      </c>
      <c r="K139" s="30">
        <v>119.05</v>
      </c>
    </row>
    <row r="140" spans="1:11" s="4" customFormat="1" ht="15.95" hidden="1" customHeight="1" x14ac:dyDescent="0.25">
      <c r="C140" s="7" t="s">
        <v>119</v>
      </c>
      <c r="D140" s="7"/>
      <c r="E140" s="8">
        <f t="shared" si="9"/>
        <v>0</v>
      </c>
      <c r="F140" s="8">
        <v>1</v>
      </c>
      <c r="G140" s="8">
        <v>1</v>
      </c>
      <c r="H140" s="8"/>
      <c r="I140" s="8">
        <v>0</v>
      </c>
      <c r="J140" s="10" t="s">
        <v>108</v>
      </c>
      <c r="K140" s="30">
        <v>28.57</v>
      </c>
    </row>
    <row r="141" spans="1:11" s="4" customFormat="1" ht="15.95" hidden="1" customHeight="1" x14ac:dyDescent="0.25">
      <c r="C141" s="7" t="s">
        <v>71</v>
      </c>
      <c r="D141" s="7"/>
      <c r="E141" s="8">
        <f t="shared" si="9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163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9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163</v>
      </c>
      <c r="K142" s="30">
        <v>136.9</v>
      </c>
    </row>
    <row r="143" spans="1:11" s="4" customFormat="1" ht="15.95" hidden="1" customHeight="1" x14ac:dyDescent="0.25">
      <c r="C143" s="7" t="s">
        <v>168</v>
      </c>
      <c r="D143" s="7"/>
      <c r="E143" s="8">
        <f t="shared" si="9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108</v>
      </c>
      <c r="K143" s="30">
        <v>22.62</v>
      </c>
    </row>
    <row r="144" spans="1:11" s="4" customFormat="1" ht="15.95" hidden="1" customHeight="1" x14ac:dyDescent="0.25">
      <c r="C144" s="7" t="s">
        <v>159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108</v>
      </c>
      <c r="K144" s="30">
        <v>83.33</v>
      </c>
    </row>
    <row r="145" spans="1:11" s="4" customFormat="1" ht="15.95" hidden="1" customHeight="1" x14ac:dyDescent="0.25">
      <c r="C145" s="7" t="s">
        <v>160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108</v>
      </c>
      <c r="K145" s="30">
        <v>32.14</v>
      </c>
    </row>
    <row r="146" spans="1:11" s="4" customFormat="1" ht="15.95" hidden="1" customHeight="1" x14ac:dyDescent="0.25">
      <c r="C146" s="7" t="s">
        <v>161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108</v>
      </c>
      <c r="K146" s="30">
        <v>38.1</v>
      </c>
    </row>
    <row r="147" spans="1:11" s="4" customFormat="1" ht="15.95" customHeight="1" x14ac:dyDescent="0.25">
      <c r="A147" s="21" t="s">
        <v>139</v>
      </c>
      <c r="B147" s="4" t="s">
        <v>284</v>
      </c>
      <c r="C147" s="26" t="s">
        <v>202</v>
      </c>
      <c r="D147" s="27">
        <f>SUM(E148:E154)</f>
        <v>1696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265</v>
      </c>
      <c r="D148" s="7"/>
      <c r="E148" s="8">
        <f t="shared" ref="E148:E154" si="10">I148*K148</f>
        <v>800</v>
      </c>
      <c r="F148" s="8">
        <v>2</v>
      </c>
      <c r="G148" s="8">
        <v>0.2</v>
      </c>
      <c r="H148" s="8">
        <v>1</v>
      </c>
      <c r="I148" s="8">
        <v>4</v>
      </c>
      <c r="J148" s="10" t="s">
        <v>163</v>
      </c>
      <c r="K148" s="30">
        <v>200</v>
      </c>
    </row>
    <row r="149" spans="1:11" s="4" customFormat="1" ht="15.95" hidden="1" customHeight="1" x14ac:dyDescent="0.25">
      <c r="C149" s="7" t="s">
        <v>83</v>
      </c>
      <c r="D149" s="7"/>
      <c r="E149" s="8">
        <f t="shared" si="10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163</v>
      </c>
      <c r="K149" s="30">
        <v>219.05</v>
      </c>
    </row>
    <row r="150" spans="1:11" s="4" customFormat="1" ht="15.95" hidden="1" customHeight="1" x14ac:dyDescent="0.25">
      <c r="C150" s="7" t="s">
        <v>177</v>
      </c>
      <c r="D150" s="7"/>
      <c r="E150" s="8">
        <f t="shared" si="10"/>
        <v>96</v>
      </c>
      <c r="F150" s="8">
        <v>0</v>
      </c>
      <c r="G150" s="8">
        <v>0</v>
      </c>
      <c r="H150" s="8">
        <v>0</v>
      </c>
      <c r="I150" s="8">
        <v>32</v>
      </c>
      <c r="J150" s="10" t="s">
        <v>163</v>
      </c>
      <c r="K150" s="30">
        <v>3</v>
      </c>
    </row>
    <row r="151" spans="1:11" s="4" customFormat="1" ht="15.95" hidden="1" customHeight="1" x14ac:dyDescent="0.25">
      <c r="C151" s="7" t="s">
        <v>277</v>
      </c>
      <c r="D151" s="7"/>
      <c r="E151" s="8">
        <f t="shared" si="10"/>
        <v>120</v>
      </c>
      <c r="F151" s="8">
        <v>0</v>
      </c>
      <c r="G151" s="8">
        <v>0</v>
      </c>
      <c r="H151" s="8">
        <v>0</v>
      </c>
      <c r="I151" s="8">
        <v>3</v>
      </c>
      <c r="J151" s="10" t="s">
        <v>163</v>
      </c>
      <c r="K151" s="30">
        <v>40</v>
      </c>
    </row>
    <row r="152" spans="1:11" s="4" customFormat="1" ht="15.95" hidden="1" customHeight="1" x14ac:dyDescent="0.25">
      <c r="B152" s="29"/>
      <c r="C152" s="7" t="s">
        <v>272</v>
      </c>
      <c r="D152" s="7"/>
      <c r="E152" s="8">
        <f t="shared" si="10"/>
        <v>600</v>
      </c>
      <c r="F152" s="8"/>
      <c r="G152" s="8"/>
      <c r="H152" s="8"/>
      <c r="I152" s="8">
        <v>12</v>
      </c>
      <c r="J152" s="10" t="s">
        <v>108</v>
      </c>
      <c r="K152" s="30">
        <v>50</v>
      </c>
    </row>
    <row r="153" spans="1:11" s="4" customFormat="1" ht="15.95" hidden="1" customHeight="1" x14ac:dyDescent="0.25">
      <c r="C153" s="7" t="s">
        <v>88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163</v>
      </c>
      <c r="K153" s="30">
        <v>25</v>
      </c>
    </row>
    <row r="154" spans="1:11" s="4" customFormat="1" ht="15.95" hidden="1" customHeight="1" x14ac:dyDescent="0.25">
      <c r="C154" s="7" t="s">
        <v>245</v>
      </c>
      <c r="D154" s="7"/>
      <c r="E154" s="8">
        <f t="shared" si="10"/>
        <v>80</v>
      </c>
      <c r="F154" s="8"/>
      <c r="G154" s="8"/>
      <c r="H154" s="8"/>
      <c r="I154" s="8">
        <v>4</v>
      </c>
      <c r="J154" s="10" t="s">
        <v>163</v>
      </c>
      <c r="K154" s="30">
        <v>20</v>
      </c>
    </row>
    <row r="155" spans="1:11" s="4" customFormat="1" ht="15.95" customHeight="1" x14ac:dyDescent="0.25">
      <c r="C155" s="26" t="s">
        <v>129</v>
      </c>
      <c r="D155" s="27">
        <f>SUM(E156:E168)</f>
        <v>1776.3600000000001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246</v>
      </c>
      <c r="C156" s="7" t="s">
        <v>19</v>
      </c>
      <c r="D156" s="7"/>
      <c r="E156" s="8">
        <f t="shared" ref="E156:E168" si="11">I156*K156</f>
        <v>357</v>
      </c>
      <c r="F156" s="8"/>
      <c r="G156" s="8"/>
      <c r="H156" s="8"/>
      <c r="I156" s="8">
        <v>30</v>
      </c>
      <c r="J156" s="10" t="s">
        <v>163</v>
      </c>
      <c r="K156" s="30">
        <v>11.9</v>
      </c>
    </row>
    <row r="157" spans="1:11" s="4" customFormat="1" ht="15.95" hidden="1" customHeight="1" x14ac:dyDescent="0.25">
      <c r="B157" s="29" t="s">
        <v>246</v>
      </c>
      <c r="C157" s="7" t="s">
        <v>60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163</v>
      </c>
      <c r="K157" s="30">
        <v>50</v>
      </c>
    </row>
    <row r="158" spans="1:11" s="4" customFormat="1" ht="15.95" hidden="1" customHeight="1" x14ac:dyDescent="0.25">
      <c r="B158" s="29" t="s">
        <v>246</v>
      </c>
      <c r="C158" s="7" t="s">
        <v>61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163</v>
      </c>
      <c r="K158" s="30">
        <v>65</v>
      </c>
    </row>
    <row r="159" spans="1:11" s="4" customFormat="1" ht="15.95" hidden="1" customHeight="1" x14ac:dyDescent="0.25">
      <c r="C159" s="7" t="s">
        <v>79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163</v>
      </c>
      <c r="K159" s="30">
        <v>23.81</v>
      </c>
    </row>
    <row r="160" spans="1:11" s="4" customFormat="1" ht="15.95" hidden="1" customHeight="1" x14ac:dyDescent="0.25">
      <c r="C160" s="7" t="s">
        <v>80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163</v>
      </c>
      <c r="K160" s="30">
        <v>14.29</v>
      </c>
    </row>
    <row r="161" spans="2:11" s="4" customFormat="1" ht="15.95" hidden="1" customHeight="1" x14ac:dyDescent="0.25">
      <c r="B161" s="29" t="s">
        <v>246</v>
      </c>
      <c r="C161" s="7" t="s">
        <v>62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163</v>
      </c>
      <c r="K161" s="30">
        <v>10</v>
      </c>
    </row>
    <row r="162" spans="2:11" s="4" customFormat="1" ht="15.95" hidden="1" customHeight="1" x14ac:dyDescent="0.25">
      <c r="B162" s="29" t="s">
        <v>246</v>
      </c>
      <c r="C162" s="7" t="s">
        <v>18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163</v>
      </c>
      <c r="K162" s="30">
        <v>10</v>
      </c>
    </row>
    <row r="163" spans="2:11" s="4" customFormat="1" ht="15.95" hidden="1" customHeight="1" x14ac:dyDescent="0.25">
      <c r="C163" s="7" t="s">
        <v>50</v>
      </c>
      <c r="D163" s="7"/>
      <c r="E163" s="8">
        <f t="shared" si="11"/>
        <v>200</v>
      </c>
      <c r="F163" s="12"/>
      <c r="G163" s="12"/>
      <c r="H163" s="12"/>
      <c r="I163" s="8">
        <v>40</v>
      </c>
      <c r="J163" s="10" t="s">
        <v>163</v>
      </c>
      <c r="K163" s="30">
        <v>5</v>
      </c>
    </row>
    <row r="164" spans="2:11" s="4" customFormat="1" ht="15.95" hidden="1" customHeight="1" x14ac:dyDescent="0.25">
      <c r="B164" s="29" t="s">
        <v>246</v>
      </c>
      <c r="C164" s="7" t="s">
        <v>17</v>
      </c>
      <c r="D164" s="7"/>
      <c r="E164" s="8">
        <f t="shared" si="11"/>
        <v>190.4</v>
      </c>
      <c r="F164" s="8"/>
      <c r="G164" s="8"/>
      <c r="H164" s="8"/>
      <c r="I164" s="8">
        <v>16</v>
      </c>
      <c r="J164" s="10" t="s">
        <v>163</v>
      </c>
      <c r="K164" s="30">
        <v>11.9</v>
      </c>
    </row>
    <row r="165" spans="2:11" s="4" customFormat="1" ht="15.95" hidden="1" customHeight="1" x14ac:dyDescent="0.25">
      <c r="C165" s="7" t="s">
        <v>54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163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11"/>
        <v>0</v>
      </c>
      <c r="F166" s="8"/>
      <c r="G166" s="8"/>
      <c r="H166" s="8"/>
      <c r="I166" s="8">
        <v>0</v>
      </c>
      <c r="J166" s="10" t="s">
        <v>163</v>
      </c>
      <c r="K166" s="30">
        <v>2.38</v>
      </c>
    </row>
    <row r="167" spans="2:11" ht="15.95" hidden="1" customHeight="1" x14ac:dyDescent="0.25">
      <c r="C167" s="7" t="s">
        <v>185</v>
      </c>
      <c r="D167" s="7"/>
      <c r="E167" s="8">
        <f t="shared" si="11"/>
        <v>648</v>
      </c>
      <c r="F167" s="8"/>
      <c r="G167" s="8"/>
      <c r="H167" s="8"/>
      <c r="I167" s="8">
        <v>160</v>
      </c>
      <c r="J167" s="10" t="s">
        <v>147</v>
      </c>
      <c r="K167" s="30">
        <v>4.05</v>
      </c>
    </row>
    <row r="168" spans="2:11" s="4" customFormat="1" ht="15.95" hidden="1" customHeight="1" x14ac:dyDescent="0.25">
      <c r="C168" s="7" t="s">
        <v>155</v>
      </c>
      <c r="D168" s="7"/>
      <c r="E168" s="8">
        <f t="shared" si="11"/>
        <v>380.96</v>
      </c>
      <c r="F168" s="8"/>
      <c r="G168" s="8"/>
      <c r="H168" s="8"/>
      <c r="I168" s="8">
        <v>2</v>
      </c>
      <c r="J168" s="10" t="s">
        <v>163</v>
      </c>
      <c r="K168" s="30">
        <v>190.48</v>
      </c>
    </row>
    <row r="169" spans="2:11" s="4" customFormat="1" ht="15.95" customHeight="1" x14ac:dyDescent="0.25">
      <c r="C169" s="26" t="s">
        <v>203</v>
      </c>
      <c r="D169" s="27">
        <f>SUM(E170:E211)</f>
        <v>1831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1" si="12">I170*K170</f>
        <v>90</v>
      </c>
      <c r="F170" s="12"/>
      <c r="G170" s="12"/>
      <c r="H170" s="12"/>
      <c r="I170" s="8">
        <v>6</v>
      </c>
      <c r="J170" s="10" t="s">
        <v>163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2"/>
        <v>672</v>
      </c>
      <c r="F171" s="12"/>
      <c r="G171" s="12"/>
      <c r="H171" s="12"/>
      <c r="I171" s="8">
        <v>56</v>
      </c>
      <c r="J171" s="10" t="s">
        <v>163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2"/>
        <v>200</v>
      </c>
      <c r="F172" s="12"/>
      <c r="G172" s="12"/>
      <c r="H172" s="12"/>
      <c r="I172" s="8">
        <v>10</v>
      </c>
      <c r="J172" s="10" t="s">
        <v>163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163</v>
      </c>
      <c r="K173" s="30">
        <v>15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2"/>
        <v>50</v>
      </c>
      <c r="F174" s="12"/>
      <c r="G174" s="12"/>
      <c r="H174" s="12"/>
      <c r="I174" s="8">
        <v>2</v>
      </c>
      <c r="J174" s="10" t="s">
        <v>163</v>
      </c>
      <c r="K174" s="30">
        <v>25</v>
      </c>
    </row>
    <row r="175" spans="2:11" s="4" customFormat="1" ht="15.95" hidden="1" customHeight="1" x14ac:dyDescent="0.25">
      <c r="C175" s="7" t="s">
        <v>176</v>
      </c>
      <c r="D175" s="7"/>
      <c r="E175" s="8">
        <f t="shared" si="12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163</v>
      </c>
      <c r="K175" s="30">
        <v>385</v>
      </c>
    </row>
    <row r="176" spans="2:11" s="4" customFormat="1" ht="15.95" hidden="1" customHeight="1" x14ac:dyDescent="0.25">
      <c r="C176" s="7" t="s">
        <v>77</v>
      </c>
      <c r="D176" s="7"/>
      <c r="E176" s="8">
        <f t="shared" si="12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163</v>
      </c>
      <c r="K176" s="30">
        <v>130</v>
      </c>
    </row>
    <row r="177" spans="3:11" s="4" customFormat="1" ht="15.95" hidden="1" customHeight="1" x14ac:dyDescent="0.25">
      <c r="C177" s="7" t="s">
        <v>76</v>
      </c>
      <c r="D177" s="7"/>
      <c r="E177" s="8">
        <f t="shared" si="12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163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2"/>
        <v>520</v>
      </c>
      <c r="F178" s="12"/>
      <c r="G178" s="12"/>
      <c r="H178" s="12"/>
      <c r="I178" s="8">
        <v>8</v>
      </c>
      <c r="J178" s="10" t="s">
        <v>163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163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163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163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2"/>
        <v>48</v>
      </c>
      <c r="F182" s="12"/>
      <c r="G182" s="12"/>
      <c r="H182" s="12"/>
      <c r="I182" s="8">
        <v>6</v>
      </c>
      <c r="J182" s="10" t="s">
        <v>163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2"/>
        <v>45</v>
      </c>
      <c r="F183" s="12"/>
      <c r="G183" s="12"/>
      <c r="H183" s="12"/>
      <c r="I183" s="8">
        <v>3</v>
      </c>
      <c r="J183" s="10" t="s">
        <v>163</v>
      </c>
      <c r="K183" s="30">
        <v>15</v>
      </c>
    </row>
    <row r="184" spans="3:11" s="4" customFormat="1" ht="15.95" hidden="1" customHeight="1" x14ac:dyDescent="0.25">
      <c r="C184" s="7" t="s">
        <v>187</v>
      </c>
      <c r="D184" s="7"/>
      <c r="E184" s="8">
        <f t="shared" si="12"/>
        <v>105</v>
      </c>
      <c r="F184" s="12"/>
      <c r="G184" s="12"/>
      <c r="H184" s="12"/>
      <c r="I184" s="8">
        <v>3</v>
      </c>
      <c r="J184" s="10" t="s">
        <v>163</v>
      </c>
      <c r="K184" s="30">
        <v>35</v>
      </c>
    </row>
    <row r="185" spans="3:11" s="4" customFormat="1" ht="15.95" hidden="1" customHeight="1" x14ac:dyDescent="0.25">
      <c r="C185" s="7" t="s">
        <v>59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163</v>
      </c>
      <c r="K185" s="30">
        <v>85</v>
      </c>
    </row>
    <row r="186" spans="3:11" s="4" customFormat="1" ht="15.95" hidden="1" customHeight="1" x14ac:dyDescent="0.25">
      <c r="C186" s="7" t="s">
        <v>56</v>
      </c>
      <c r="D186" s="7"/>
      <c r="E186" s="8">
        <f t="shared" si="12"/>
        <v>35</v>
      </c>
      <c r="F186" s="12"/>
      <c r="G186" s="12"/>
      <c r="H186" s="12"/>
      <c r="I186" s="8">
        <v>1</v>
      </c>
      <c r="J186" s="10" t="s">
        <v>163</v>
      </c>
      <c r="K186" s="30">
        <v>35</v>
      </c>
    </row>
    <row r="187" spans="3:11" s="4" customFormat="1" ht="15.95" hidden="1" customHeight="1" x14ac:dyDescent="0.25">
      <c r="C187" s="7" t="s">
        <v>58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163</v>
      </c>
      <c r="K187" s="30">
        <v>25</v>
      </c>
    </row>
    <row r="188" spans="3:11" s="4" customFormat="1" ht="15.95" hidden="1" customHeight="1" x14ac:dyDescent="0.25">
      <c r="C188" s="7" t="s">
        <v>132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163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163</v>
      </c>
      <c r="K189" s="30">
        <v>12</v>
      </c>
    </row>
    <row r="190" spans="3:11" s="4" customFormat="1" ht="15.95" hidden="1" customHeight="1" x14ac:dyDescent="0.25">
      <c r="C190" s="7" t="s">
        <v>273</v>
      </c>
      <c r="D190" s="7"/>
      <c r="E190" s="8">
        <f t="shared" si="12"/>
        <v>50</v>
      </c>
      <c r="F190" s="12"/>
      <c r="G190" s="12"/>
      <c r="H190" s="12"/>
      <c r="I190" s="8">
        <v>2</v>
      </c>
      <c r="J190" s="10" t="s">
        <v>163</v>
      </c>
      <c r="K190" s="30">
        <v>25</v>
      </c>
    </row>
    <row r="191" spans="3:11" s="4" customFormat="1" ht="15.95" hidden="1" customHeight="1" x14ac:dyDescent="0.25">
      <c r="C191" s="7" t="s">
        <v>52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163</v>
      </c>
      <c r="K191" s="30">
        <v>150</v>
      </c>
    </row>
    <row r="192" spans="3:11" s="4" customFormat="1" ht="15.95" hidden="1" customHeight="1" x14ac:dyDescent="0.25">
      <c r="C192" s="7" t="s">
        <v>204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163</v>
      </c>
      <c r="K192" s="30">
        <v>15</v>
      </c>
    </row>
    <row r="193" spans="2:11" s="4" customFormat="1" ht="15.95" hidden="1" customHeight="1" x14ac:dyDescent="0.25">
      <c r="C193" s="7" t="s">
        <v>156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163</v>
      </c>
      <c r="K193" s="30">
        <v>15</v>
      </c>
    </row>
    <row r="194" spans="2:11" s="4" customFormat="1" ht="15.95" hidden="1" customHeight="1" x14ac:dyDescent="0.25">
      <c r="C194" s="7" t="s">
        <v>205</v>
      </c>
      <c r="D194" s="7"/>
      <c r="E194" s="8">
        <f t="shared" si="12"/>
        <v>0</v>
      </c>
      <c r="F194" s="12"/>
      <c r="G194" s="12"/>
      <c r="H194" s="12"/>
      <c r="I194" s="8">
        <v>0</v>
      </c>
      <c r="J194" s="10" t="s">
        <v>163</v>
      </c>
      <c r="K194" s="30">
        <v>600</v>
      </c>
    </row>
    <row r="195" spans="2:11" s="4" customFormat="1" ht="15.95" hidden="1" customHeight="1" x14ac:dyDescent="0.25">
      <c r="C195" s="7" t="s">
        <v>206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163</v>
      </c>
      <c r="K195" s="30">
        <v>85</v>
      </c>
    </row>
    <row r="196" spans="2:11" s="4" customFormat="1" ht="15.95" hidden="1" customHeight="1" x14ac:dyDescent="0.25">
      <c r="C196" s="7" t="s">
        <v>254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163</v>
      </c>
      <c r="K196" s="30">
        <v>210</v>
      </c>
    </row>
    <row r="197" spans="2:11" s="4" customFormat="1" ht="15.95" hidden="1" customHeight="1" x14ac:dyDescent="0.25">
      <c r="C197" s="7" t="s">
        <v>84</v>
      </c>
      <c r="D197" s="7"/>
      <c r="E197" s="8">
        <f t="shared" si="12"/>
        <v>16</v>
      </c>
      <c r="F197" s="8"/>
      <c r="G197" s="8"/>
      <c r="H197" s="8"/>
      <c r="I197" s="8">
        <v>2</v>
      </c>
      <c r="J197" s="10" t="s">
        <v>163</v>
      </c>
      <c r="K197" s="30">
        <v>8</v>
      </c>
    </row>
    <row r="198" spans="2:11" s="4" customFormat="1" ht="15.95" hidden="1" customHeight="1" x14ac:dyDescent="0.25">
      <c r="C198" s="7" t="s">
        <v>70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163</v>
      </c>
      <c r="K198" s="30">
        <v>15</v>
      </c>
    </row>
    <row r="199" spans="2:11" s="4" customFormat="1" ht="15.95" hidden="1" customHeight="1" x14ac:dyDescent="0.25">
      <c r="C199" s="7" t="s">
        <v>81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163</v>
      </c>
      <c r="K199" s="30">
        <v>15</v>
      </c>
    </row>
    <row r="200" spans="2:11" s="4" customFormat="1" ht="15.95" hidden="1" customHeight="1" x14ac:dyDescent="0.25">
      <c r="B200" s="29" t="s">
        <v>246</v>
      </c>
      <c r="C200" s="7" t="s">
        <v>82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163</v>
      </c>
      <c r="K200" s="30">
        <v>25</v>
      </c>
    </row>
    <row r="201" spans="2:11" s="4" customFormat="1" ht="15.95" hidden="1" customHeight="1" x14ac:dyDescent="0.25">
      <c r="C201" s="7" t="s">
        <v>85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163</v>
      </c>
      <c r="K201" s="30">
        <v>85</v>
      </c>
    </row>
    <row r="202" spans="2:11" s="4" customFormat="1" ht="15.95" hidden="1" customHeight="1" x14ac:dyDescent="0.25">
      <c r="C202" s="7" t="s">
        <v>86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163</v>
      </c>
      <c r="K202" s="30">
        <v>15</v>
      </c>
    </row>
    <row r="203" spans="2:11" s="4" customFormat="1" ht="15.95" hidden="1" customHeight="1" x14ac:dyDescent="0.25">
      <c r="C203" s="7" t="s">
        <v>87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163</v>
      </c>
      <c r="K203" s="30">
        <v>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163</v>
      </c>
      <c r="K204" s="30">
        <v>12</v>
      </c>
    </row>
    <row r="205" spans="2:11" s="4" customFormat="1" ht="15.95" hidden="1" customHeight="1" x14ac:dyDescent="0.25">
      <c r="C205" s="7" t="s">
        <v>90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163</v>
      </c>
      <c r="K205" s="30">
        <v>25</v>
      </c>
    </row>
    <row r="206" spans="2:11" s="4" customFormat="1" ht="15.95" hidden="1" customHeight="1" x14ac:dyDescent="0.25">
      <c r="C206" s="7" t="s">
        <v>91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163</v>
      </c>
      <c r="K206" s="30">
        <v>20</v>
      </c>
    </row>
    <row r="207" spans="2:11" s="4" customFormat="1" ht="15.95" hidden="1" customHeight="1" x14ac:dyDescent="0.25">
      <c r="C207" s="7" t="s">
        <v>118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163</v>
      </c>
      <c r="K207" s="30">
        <v>6</v>
      </c>
    </row>
    <row r="208" spans="2:11" s="4" customFormat="1" ht="15.95" hidden="1" customHeight="1" x14ac:dyDescent="0.25">
      <c r="C208" s="7" t="s">
        <v>120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163</v>
      </c>
      <c r="K208" s="30">
        <v>3</v>
      </c>
    </row>
    <row r="209" spans="3:11" s="4" customFormat="1" ht="15.95" hidden="1" customHeight="1" x14ac:dyDescent="0.25">
      <c r="C209" s="7" t="s">
        <v>121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163</v>
      </c>
      <c r="K209" s="30">
        <v>35</v>
      </c>
    </row>
    <row r="210" spans="3:11" s="4" customFormat="1" ht="15.95" hidden="1" customHeight="1" x14ac:dyDescent="0.25">
      <c r="C210" s="7" t="s">
        <v>244</v>
      </c>
      <c r="D210" s="7"/>
      <c r="E210" s="8">
        <f t="shared" si="12"/>
        <v>0</v>
      </c>
      <c r="F210" s="8">
        <v>0.5</v>
      </c>
      <c r="G210" s="8">
        <v>0.5</v>
      </c>
      <c r="H210" s="8">
        <v>0.5</v>
      </c>
      <c r="I210" s="8">
        <v>0</v>
      </c>
      <c r="J210" s="10" t="s">
        <v>163</v>
      </c>
      <c r="K210" s="30">
        <v>20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2"/>
        <v>0</v>
      </c>
      <c r="F211" s="8"/>
      <c r="G211" s="8"/>
      <c r="H211" s="8"/>
      <c r="I211" s="8">
        <v>0</v>
      </c>
      <c r="J211" s="10" t="s">
        <v>163</v>
      </c>
      <c r="K211" s="30">
        <v>85</v>
      </c>
    </row>
    <row r="212" spans="3:11" s="4" customFormat="1" ht="15.95" customHeight="1" x14ac:dyDescent="0.25">
      <c r="C212" s="26" t="s">
        <v>180</v>
      </c>
      <c r="D212" s="27">
        <f>SUM(E213:E223)</f>
        <v>3005.12</v>
      </c>
      <c r="E212" s="51"/>
      <c r="F212" s="27"/>
      <c r="G212" s="27"/>
      <c r="H212" s="27"/>
      <c r="I212" s="27"/>
      <c r="J212" s="28"/>
      <c r="K212" s="47"/>
    </row>
    <row r="213" spans="3:11" s="4" customFormat="1" ht="15.95" hidden="1" customHeight="1" x14ac:dyDescent="0.25">
      <c r="C213" s="7" t="s">
        <v>241</v>
      </c>
      <c r="D213" s="7"/>
      <c r="E213" s="8">
        <f t="shared" ref="E213:E223" si="13">I213*K213</f>
        <v>0</v>
      </c>
      <c r="F213" s="8">
        <v>1</v>
      </c>
      <c r="G213" s="8">
        <v>1</v>
      </c>
      <c r="H213" s="12"/>
      <c r="I213" s="8">
        <v>0</v>
      </c>
      <c r="J213" s="10" t="s">
        <v>108</v>
      </c>
      <c r="K213" s="30">
        <v>10.71</v>
      </c>
    </row>
    <row r="214" spans="3:11" s="4" customFormat="1" ht="15.95" hidden="1" customHeight="1" x14ac:dyDescent="0.25">
      <c r="C214" s="7" t="s">
        <v>240</v>
      </c>
      <c r="D214" s="7"/>
      <c r="E214" s="8">
        <f t="shared" si="13"/>
        <v>123.84</v>
      </c>
      <c r="F214" s="8">
        <v>1</v>
      </c>
      <c r="G214" s="8">
        <v>1</v>
      </c>
      <c r="H214" s="12"/>
      <c r="I214" s="8">
        <v>8</v>
      </c>
      <c r="J214" s="10" t="s">
        <v>108</v>
      </c>
      <c r="K214" s="30">
        <v>15.48</v>
      </c>
    </row>
    <row r="215" spans="3:11" s="4" customFormat="1" ht="15.95" hidden="1" customHeight="1" x14ac:dyDescent="0.25">
      <c r="C215" s="7" t="s">
        <v>5</v>
      </c>
      <c r="D215" s="7"/>
      <c r="E215" s="8">
        <f t="shared" si="13"/>
        <v>557.28</v>
      </c>
      <c r="F215" s="8">
        <v>1</v>
      </c>
      <c r="G215" s="8">
        <v>1</v>
      </c>
      <c r="H215" s="12"/>
      <c r="I215" s="8">
        <v>36</v>
      </c>
      <c r="J215" s="10" t="s">
        <v>108</v>
      </c>
      <c r="K215" s="30">
        <v>15.48</v>
      </c>
    </row>
    <row r="216" spans="3:11" s="4" customFormat="1" ht="15.95" hidden="1" customHeight="1" x14ac:dyDescent="0.25">
      <c r="C216" s="7" t="s">
        <v>188</v>
      </c>
      <c r="D216" s="7"/>
      <c r="E216" s="8">
        <f t="shared" si="13"/>
        <v>131</v>
      </c>
      <c r="F216" s="8">
        <v>1</v>
      </c>
      <c r="G216" s="8">
        <v>1</v>
      </c>
      <c r="H216" s="12"/>
      <c r="I216" s="8">
        <v>10</v>
      </c>
      <c r="J216" s="10" t="s">
        <v>108</v>
      </c>
      <c r="K216" s="30">
        <v>13.1</v>
      </c>
    </row>
    <row r="217" spans="3:11" s="4" customFormat="1" ht="15.95" hidden="1" customHeight="1" x14ac:dyDescent="0.25">
      <c r="C217" s="7" t="s">
        <v>255</v>
      </c>
      <c r="D217" s="7"/>
      <c r="E217" s="8">
        <f t="shared" si="13"/>
        <v>1904.8</v>
      </c>
      <c r="F217" s="8">
        <v>1</v>
      </c>
      <c r="G217" s="8">
        <v>1</v>
      </c>
      <c r="H217" s="12"/>
      <c r="I217" s="8">
        <v>20</v>
      </c>
      <c r="J217" s="10" t="s">
        <v>108</v>
      </c>
      <c r="K217" s="30">
        <v>95.24</v>
      </c>
    </row>
    <row r="218" spans="3:11" s="4" customFormat="1" ht="15.95" hidden="1" customHeight="1" x14ac:dyDescent="0.25">
      <c r="C218" s="7" t="s">
        <v>256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108</v>
      </c>
      <c r="K218" s="30">
        <v>47.62</v>
      </c>
    </row>
    <row r="219" spans="3:11" s="4" customFormat="1" ht="15.95" hidden="1" customHeight="1" x14ac:dyDescent="0.25">
      <c r="C219" s="7" t="s">
        <v>69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108</v>
      </c>
      <c r="K219" s="30">
        <v>35.71</v>
      </c>
    </row>
    <row r="220" spans="3:11" s="4" customFormat="1" ht="15.95" hidden="1" customHeight="1" x14ac:dyDescent="0.25">
      <c r="C220" s="7" t="s">
        <v>119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108</v>
      </c>
      <c r="K220" s="30">
        <v>28.57</v>
      </c>
    </row>
    <row r="221" spans="3:11" s="4" customFormat="1" ht="15.95" hidden="1" customHeight="1" x14ac:dyDescent="0.25">
      <c r="C221" s="7" t="s">
        <v>51</v>
      </c>
      <c r="D221" s="7"/>
      <c r="E221" s="8">
        <f t="shared" si="13"/>
        <v>288.2</v>
      </c>
      <c r="F221" s="8">
        <v>1</v>
      </c>
      <c r="G221" s="8">
        <v>1</v>
      </c>
      <c r="H221" s="12"/>
      <c r="I221" s="8">
        <v>22</v>
      </c>
      <c r="J221" s="10" t="s">
        <v>108</v>
      </c>
      <c r="K221" s="30">
        <v>13.1</v>
      </c>
    </row>
    <row r="222" spans="3:11" s="4" customFormat="1" ht="15.95" hidden="1" customHeight="1" x14ac:dyDescent="0.25">
      <c r="C222" s="7" t="s">
        <v>242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108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108</v>
      </c>
      <c r="K223" s="30">
        <v>10.71</v>
      </c>
    </row>
    <row r="224" spans="3:11" s="4" customFormat="1" ht="15.95" customHeight="1" x14ac:dyDescent="0.25">
      <c r="C224" s="26" t="s">
        <v>179</v>
      </c>
      <c r="D224" s="27">
        <f>SUM(E225:E263)</f>
        <v>11250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3" si="14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163</v>
      </c>
      <c r="K225" s="30">
        <v>320</v>
      </c>
    </row>
    <row r="226" spans="3:11" s="4" customFormat="1" ht="15.95" hidden="1" customHeight="1" x14ac:dyDescent="0.25">
      <c r="C226" s="7" t="s">
        <v>210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163</v>
      </c>
      <c r="K226" s="30">
        <v>210</v>
      </c>
    </row>
    <row r="227" spans="3:11" s="4" customFormat="1" ht="15.95" hidden="1" customHeight="1" x14ac:dyDescent="0.25">
      <c r="C227" s="7" t="s">
        <v>211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163</v>
      </c>
      <c r="K227" s="30">
        <v>180</v>
      </c>
    </row>
    <row r="228" spans="3:11" s="4" customFormat="1" ht="15.95" hidden="1" customHeight="1" x14ac:dyDescent="0.25">
      <c r="C228" s="7" t="s">
        <v>212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163</v>
      </c>
      <c r="K228" s="30">
        <v>180</v>
      </c>
    </row>
    <row r="229" spans="3:11" s="4" customFormat="1" ht="15.95" hidden="1" customHeight="1" x14ac:dyDescent="0.25">
      <c r="C229" s="7" t="s">
        <v>213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163</v>
      </c>
      <c r="K229" s="30">
        <v>110</v>
      </c>
    </row>
    <row r="230" spans="3:11" s="4" customFormat="1" ht="15.95" hidden="1" customHeight="1" x14ac:dyDescent="0.25">
      <c r="C230" s="7" t="s">
        <v>214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163</v>
      </c>
      <c r="K230" s="30">
        <v>310</v>
      </c>
    </row>
    <row r="231" spans="3:11" s="4" customFormat="1" ht="15.95" hidden="1" customHeight="1" x14ac:dyDescent="0.25">
      <c r="C231" s="7" t="s">
        <v>215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163</v>
      </c>
      <c r="K231" s="30">
        <v>160</v>
      </c>
    </row>
    <row r="232" spans="3:11" s="4" customFormat="1" ht="15.95" hidden="1" customHeight="1" x14ac:dyDescent="0.25">
      <c r="C232" s="7" t="s">
        <v>57</v>
      </c>
      <c r="D232" s="7"/>
      <c r="E232" s="8">
        <f t="shared" si="14"/>
        <v>0</v>
      </c>
      <c r="F232" s="12"/>
      <c r="G232" s="12"/>
      <c r="H232" s="12"/>
      <c r="I232" s="8">
        <v>0</v>
      </c>
      <c r="J232" s="10" t="s">
        <v>163</v>
      </c>
      <c r="K232" s="30">
        <v>10</v>
      </c>
    </row>
    <row r="233" spans="3:11" s="4" customFormat="1" ht="15.95" hidden="1" customHeight="1" x14ac:dyDescent="0.25">
      <c r="C233" s="7" t="s">
        <v>219</v>
      </c>
      <c r="D233" s="7"/>
      <c r="E233" s="8">
        <f t="shared" si="14"/>
        <v>0</v>
      </c>
      <c r="F233" s="12"/>
      <c r="G233" s="12"/>
      <c r="H233" s="12"/>
      <c r="I233" s="8">
        <v>0</v>
      </c>
      <c r="J233" s="10" t="s">
        <v>163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163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163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163</v>
      </c>
      <c r="K236" s="30">
        <v>220</v>
      </c>
    </row>
    <row r="237" spans="3:11" s="4" customFormat="1" ht="15.95" hidden="1" customHeight="1" x14ac:dyDescent="0.25">
      <c r="C237" s="7" t="s">
        <v>178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163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4"/>
        <v>750</v>
      </c>
      <c r="F238" s="8"/>
      <c r="G238" s="8"/>
      <c r="H238" s="8"/>
      <c r="I238" s="8">
        <v>3</v>
      </c>
      <c r="J238" s="10" t="s">
        <v>163</v>
      </c>
      <c r="K238" s="30">
        <v>250</v>
      </c>
    </row>
    <row r="239" spans="3:11" s="4" customFormat="1" ht="15.95" hidden="1" customHeight="1" x14ac:dyDescent="0.25">
      <c r="C239" s="7" t="s">
        <v>207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163</v>
      </c>
      <c r="K239" s="30">
        <v>390</v>
      </c>
    </row>
    <row r="240" spans="3:11" s="4" customFormat="1" ht="15.95" hidden="1" customHeight="1" x14ac:dyDescent="0.25">
      <c r="C240" s="7" t="s">
        <v>233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163</v>
      </c>
      <c r="K240" s="30">
        <v>460</v>
      </c>
    </row>
    <row r="241" spans="3:11" s="4" customFormat="1" ht="15.95" hidden="1" customHeight="1" x14ac:dyDescent="0.25">
      <c r="C241" s="7" t="s">
        <v>208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163</v>
      </c>
      <c r="K241" s="30">
        <v>850</v>
      </c>
    </row>
    <row r="242" spans="3:11" s="4" customFormat="1" ht="15.95" hidden="1" customHeight="1" x14ac:dyDescent="0.25">
      <c r="C242" s="7" t="s">
        <v>184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163</v>
      </c>
      <c r="K242" s="30">
        <v>1400</v>
      </c>
    </row>
    <row r="243" spans="3:11" s="4" customFormat="1" ht="15.95" hidden="1" customHeight="1" x14ac:dyDescent="0.25">
      <c r="C243" s="7" t="s">
        <v>235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163</v>
      </c>
      <c r="K243" s="30">
        <v>360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163</v>
      </c>
      <c r="K244" s="30">
        <v>550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163</v>
      </c>
      <c r="K245" s="30">
        <v>580</v>
      </c>
    </row>
    <row r="246" spans="3:11" s="4" customFormat="1" ht="15.95" hidden="1" customHeight="1" x14ac:dyDescent="0.25">
      <c r="C246" s="7" t="s">
        <v>231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163</v>
      </c>
      <c r="K246" s="30">
        <v>680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163</v>
      </c>
      <c r="K247" s="30">
        <v>750</v>
      </c>
    </row>
    <row r="248" spans="3:11" s="4" customFormat="1" ht="15.95" hidden="1" customHeight="1" x14ac:dyDescent="0.25">
      <c r="C248" s="7" t="s">
        <v>232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163</v>
      </c>
      <c r="K248" s="30">
        <v>340</v>
      </c>
    </row>
    <row r="249" spans="3:11" s="4" customFormat="1" ht="15.95" hidden="1" customHeight="1" x14ac:dyDescent="0.25">
      <c r="C249" s="7" t="s">
        <v>237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163</v>
      </c>
      <c r="K249" s="30">
        <v>160</v>
      </c>
    </row>
    <row r="250" spans="3:11" s="4" customFormat="1" ht="15.95" hidden="1" customHeight="1" x14ac:dyDescent="0.25">
      <c r="C250" s="7" t="s">
        <v>234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163</v>
      </c>
      <c r="K250" s="30">
        <v>130</v>
      </c>
    </row>
    <row r="251" spans="3:11" s="4" customFormat="1" ht="15.95" hidden="1" customHeight="1" x14ac:dyDescent="0.25">
      <c r="C251" s="7" t="s">
        <v>224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163</v>
      </c>
      <c r="K251" s="30">
        <v>130</v>
      </c>
    </row>
    <row r="252" spans="3:11" s="4" customFormat="1" ht="15.95" hidden="1" customHeight="1" x14ac:dyDescent="0.25">
      <c r="C252" s="7" t="s">
        <v>220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163</v>
      </c>
      <c r="K252" s="30">
        <v>400</v>
      </c>
    </row>
    <row r="253" spans="3:11" s="4" customFormat="1" ht="15.95" hidden="1" customHeight="1" x14ac:dyDescent="0.25">
      <c r="C253" s="7" t="s">
        <v>222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163</v>
      </c>
      <c r="K253" s="30">
        <v>260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163</v>
      </c>
      <c r="K254" s="30">
        <v>180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163</v>
      </c>
      <c r="K255" s="30">
        <v>120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163</v>
      </c>
      <c r="K256" s="30">
        <v>220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163</v>
      </c>
      <c r="K257" s="30">
        <v>230</v>
      </c>
    </row>
    <row r="258" spans="3:11" s="4" customFormat="1" ht="15.95" hidden="1" customHeight="1" x14ac:dyDescent="0.25">
      <c r="C258" s="7" t="s">
        <v>225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226</v>
      </c>
      <c r="K258" s="30">
        <v>500</v>
      </c>
    </row>
    <row r="259" spans="3:11" s="4" customFormat="1" ht="15.95" hidden="1" customHeight="1" x14ac:dyDescent="0.25">
      <c r="C259" s="7" t="s">
        <v>227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163</v>
      </c>
      <c r="K259" s="30">
        <v>180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163</v>
      </c>
      <c r="K260" s="30">
        <v>260</v>
      </c>
    </row>
    <row r="261" spans="3:11" s="4" customFormat="1" ht="15.95" hidden="1" customHeight="1" x14ac:dyDescent="0.25">
      <c r="C261" s="7" t="s">
        <v>216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163</v>
      </c>
      <c r="K261" s="30">
        <v>6500</v>
      </c>
    </row>
    <row r="262" spans="3:11" s="4" customFormat="1" ht="15.95" hidden="1" customHeight="1" x14ac:dyDescent="0.25">
      <c r="C262" s="7" t="s">
        <v>218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163</v>
      </c>
      <c r="K262" s="30">
        <v>8800</v>
      </c>
    </row>
    <row r="263" spans="3:11" s="4" customFormat="1" ht="15.95" hidden="1" customHeight="1" x14ac:dyDescent="0.25">
      <c r="C263" s="7" t="s">
        <v>217</v>
      </c>
      <c r="D263" s="7"/>
      <c r="E263" s="8">
        <f t="shared" si="14"/>
        <v>10500</v>
      </c>
      <c r="F263" s="8">
        <v>4</v>
      </c>
      <c r="G263" s="8">
        <v>2.5</v>
      </c>
      <c r="H263" s="8"/>
      <c r="I263" s="8">
        <v>10</v>
      </c>
      <c r="J263" s="10" t="s">
        <v>163</v>
      </c>
      <c r="K263" s="30">
        <v>1050</v>
      </c>
    </row>
    <row r="264" spans="3:11" s="22" customFormat="1" ht="15.95" customHeight="1" x14ac:dyDescent="0.25">
      <c r="C264" s="32" t="s">
        <v>145</v>
      </c>
      <c r="D264" s="33">
        <f>SUM(E265)</f>
        <v>21760</v>
      </c>
      <c r="E264" s="34"/>
      <c r="F264" s="35"/>
      <c r="G264" s="35"/>
      <c r="H264" s="35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K265*I265</f>
        <v>21760</v>
      </c>
      <c r="F265" s="24"/>
      <c r="G265" s="24"/>
      <c r="H265" s="24"/>
      <c r="I265" s="24">
        <v>256</v>
      </c>
      <c r="J265" s="25" t="s">
        <v>287</v>
      </c>
      <c r="K265" s="48">
        <v>85</v>
      </c>
    </row>
    <row r="266" spans="3:11" s="22" customFormat="1" ht="15.95" customHeight="1" x14ac:dyDescent="0.25">
      <c r="C266" s="32" t="s">
        <v>143</v>
      </c>
      <c r="D266" s="33">
        <f>SUM(E267)</f>
        <v>7500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7500</v>
      </c>
      <c r="F267" s="41"/>
      <c r="G267" s="41"/>
      <c r="H267" s="41"/>
      <c r="I267" s="24">
        <v>6</v>
      </c>
      <c r="J267" s="25" t="s">
        <v>146</v>
      </c>
      <c r="K267" s="48">
        <v>1250</v>
      </c>
    </row>
    <row r="268" spans="3:11" s="22" customFormat="1" ht="15.95" customHeight="1" x14ac:dyDescent="0.25">
      <c r="C268" s="32" t="s">
        <v>269</v>
      </c>
      <c r="D268" s="33">
        <f>SUM(E269)</f>
        <v>500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500</v>
      </c>
      <c r="F269" s="41"/>
      <c r="G269" s="41"/>
      <c r="H269" s="41"/>
      <c r="I269" s="24">
        <v>1</v>
      </c>
      <c r="J269" s="25" t="s">
        <v>163</v>
      </c>
      <c r="K269" s="48">
        <v>500</v>
      </c>
    </row>
    <row r="270" spans="3:11" s="22" customFormat="1" ht="15.95" customHeight="1" x14ac:dyDescent="0.25">
      <c r="C270" s="32" t="s">
        <v>144</v>
      </c>
      <c r="D270" s="33">
        <f>SUM(E271)</f>
        <v>9000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9000</v>
      </c>
      <c r="F271" s="41"/>
      <c r="G271" s="41"/>
      <c r="H271" s="41"/>
      <c r="I271" s="24">
        <v>6</v>
      </c>
      <c r="J271" s="25" t="s">
        <v>163</v>
      </c>
      <c r="K271" s="48">
        <v>1500</v>
      </c>
    </row>
    <row r="272" spans="3:11" s="22" customFormat="1" ht="15.95" customHeight="1" x14ac:dyDescent="0.25">
      <c r="C272" s="32" t="s">
        <v>209</v>
      </c>
      <c r="D272" s="33">
        <f>SUM(E273)</f>
        <v>2500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2500</v>
      </c>
      <c r="F273" s="41"/>
      <c r="G273" s="41"/>
      <c r="H273" s="41"/>
      <c r="I273" s="24">
        <v>1</v>
      </c>
      <c r="J273" s="25" t="s">
        <v>163</v>
      </c>
      <c r="K273" s="48">
        <v>2500</v>
      </c>
    </row>
    <row r="274" spans="3:11" s="22" customFormat="1" ht="15.95" customHeight="1" x14ac:dyDescent="0.25">
      <c r="C274" s="32" t="s">
        <v>261</v>
      </c>
      <c r="D274" s="33">
        <f>SUM(E275)</f>
        <v>1000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260</v>
      </c>
      <c r="D275" s="38"/>
      <c r="E275" s="39">
        <f>I275*K275</f>
        <v>1000</v>
      </c>
      <c r="F275" s="41"/>
      <c r="G275" s="41"/>
      <c r="H275" s="41"/>
      <c r="I275" s="24">
        <v>1</v>
      </c>
      <c r="J275" s="25" t="s">
        <v>163</v>
      </c>
      <c r="K275" s="48">
        <v>1000</v>
      </c>
    </row>
    <row r="276" spans="3:11" ht="15.95" customHeight="1" thickBot="1" x14ac:dyDescent="0.3">
      <c r="C276" s="18" t="s">
        <v>55</v>
      </c>
      <c r="D276" s="14">
        <f>SUM(D2:D275)</f>
        <v>85662.720000000001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2026-05-01T10:50:34Z</dcterms:modified>
</cp:coreProperties>
</file>