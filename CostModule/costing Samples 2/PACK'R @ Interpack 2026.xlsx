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PACK'R @ Interpack 2026\"/>
    </mc:Choice>
  </mc:AlternateContent>
  <xr:revisionPtr revIDLastSave="0" documentId="13_ncr:1_{EB72C05B-3379-476A-B63F-466CA59541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6" i="1" l="1"/>
  <c r="E111" i="1"/>
  <c r="E135" i="1" l="1"/>
  <c r="E269" i="1" l="1"/>
  <c r="D268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3" i="1"/>
  <c r="E134" i="1"/>
  <c r="E136" i="1"/>
  <c r="E137" i="1"/>
  <c r="E138" i="1"/>
  <c r="E139" i="1"/>
  <c r="E140" i="1"/>
  <c r="E141" i="1"/>
  <c r="E144" i="1"/>
  <c r="E145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2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3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1" i="1"/>
  <c r="D142" i="1"/>
  <c r="D108" i="1"/>
  <c r="D270" i="1" l="1"/>
</calcChain>
</file>

<file path=xl/sharedStrings.xml><?xml version="1.0" encoding="utf-8"?>
<sst xmlns="http://schemas.openxmlformats.org/spreadsheetml/2006/main" count="581" uniqueCount="283">
  <si>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</si>
  <si>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</si>
  <si>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</si>
  <si>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</si>
  <si>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</si>
  <si>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</si>
  <si>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</si>
  <si>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</si>
  <si>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</si>
  <si>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</si>
  <si>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</si>
  <si>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</si>
  <si>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</si>
  <si>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</si>
  <si>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</si>
  <si>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</si>
  <si>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</si>
  <si>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</si>
  <si>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</si>
  <si>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</si>
  <si>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</si>
  <si>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</si>
  <si>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</si>
  <si>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</si>
  <si>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</si>
  <si>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</si>
  <si>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</si>
  <si>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</si>
  <si>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</si>
  <si>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</si>
  <si>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</si>
  <si>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</si>
  <si>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</si>
  <si>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</si>
  <si>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</si>
  <si>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</si>
  <si>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</si>
  <si>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</si>
  <si>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</si>
  <si>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</si>
  <si>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</si>
  <si>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</si>
  <si>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</si>
  <si>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</si>
  <si>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</si>
  <si>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</si>
  <si>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</si>
  <si>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</si>
  <si>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</si>
  <si>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</si>
  <si>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</si>
  <si>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</si>
  <si>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</si>
  <si>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</si>
  <si>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</si>
  <si>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</si>
  <si>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</si>
  <si>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</si>
  <si>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</si>
  <si>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</si>
  <si>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</si>
  <si>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</si>
  <si>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</si>
  <si>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</si>
  <si>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</si>
  <si>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</si>
  <si>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</si>
  <si>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</si>
  <si>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</si>
  <si>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</si>
  <si>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</si>
  <si>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</si>
  <si>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</si>
  <si>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</si>
  <si>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</si>
  <si>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</si>
  <si>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</si>
  <si>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</si>
  <si>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</si>
  <si>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</si>
  <si>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</si>
  <si>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</si>
  <si>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</si>
  <si>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</si>
  <si>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</si>
  <si>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</si>
  <si>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</si>
  <si>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</si>
  <si>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</si>
  <si>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</si>
  <si>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</si>
  <si>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</si>
  <si>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</si>
  <si>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</si>
  <si>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</si>
  <si>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</si>
  <si>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</si>
  <si>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</si>
  <si>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</si>
  <si>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</si>
  <si>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</si>
  <si>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</si>
  <si>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</si>
  <si>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</si>
  <si>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</si>
  <si>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</si>
  <si>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</si>
  <si>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</si>
  <si>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</si>
  <si>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</si>
  <si>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</si>
  <si>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</si>
  <si>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</si>
  <si>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</si>
  <si>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</si>
  <si>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</si>
  <si>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</si>
  <si>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</si>
  <si>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</si>
  <si>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</si>
  <si>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</si>
  <si>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</si>
  <si>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</si>
  <si>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</si>
  <si>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</si>
  <si>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</si>
  <si>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</si>
  <si>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</si>
  <si>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</si>
  <si>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</si>
  <si>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</si>
  <si>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</si>
  <si>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</si>
  <si>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</si>
  <si>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</si>
  <si>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</si>
  <si>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</si>
  <si>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</si>
  <si>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</si>
  <si>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</si>
  <si>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</si>
  <si>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</si>
  <si>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</si>
  <si>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</si>
  <si>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</si>
  <si>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</si>
  <si>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</si>
  <si>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</si>
  <si>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</si>
  <si>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</si>
  <si>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</si>
  <si>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</si>
  <si>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</si>
  <si>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</si>
  <si>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</si>
  <si>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</si>
  <si>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</si>
  <si>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</si>
  <si>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</si>
  <si>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</si>
  <si>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</si>
  <si>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</si>
  <si>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</si>
  <si>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</si>
  <si>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</si>
  <si>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</si>
  <si>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</si>
  <si>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</si>
  <si>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</si>
  <si>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</si>
  <si>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</si>
  <si>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</si>
  <si>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</si>
  <si>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</si>
  <si>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</si>
  <si>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</si>
  <si>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</si>
  <si>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</si>
  <si>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</si>
  <si>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</si>
  <si>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</si>
  <si>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</si>
  <si>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</si>
  <si>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</si>
  <si>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</si>
  <si>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</si>
  <si>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</si>
  <si>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</si>
  <si>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</si>
  <si>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</si>
  <si>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</si>
  <si>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</si>
  <si>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</si>
  <si>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</si>
  <si>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</si>
  <si>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</si>
  <si>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</si>
  <si>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</si>
  <si>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</si>
  <si>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</si>
  <si>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</si>
  <si>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</si>
  <si>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</si>
  <si>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</si>
  <si>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</si>
  <si>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</si>
  <si>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</si>
  <si>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</si>
  <si>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</si>
  <si>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</si>
  <si>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</si>
  <si>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</si>
  <si>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</si>
  <si>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</si>
  <si>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</si>
  <si>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</si>
  <si>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</si>
  <si>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</si>
  <si>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</si>
  <si>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</si>
  <si>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</si>
  <si>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</si>
  <si>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</si>
  <si>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</si>
  <si>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</si>
  <si>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</si>
  <si>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</si>
  <si>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</si>
  <si>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</si>
  <si>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</si>
  <si>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</si>
  <si>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</si>
  <si>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</si>
  <si>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</si>
  <si>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</si>
  <si>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</si>
  <si>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</si>
  <si>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</si>
  <si>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</si>
  <si>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</si>
  <si>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</si>
  <si>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</si>
  <si>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</si>
  <si>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</si>
  <si>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</si>
  <si>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</si>
  <si>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</si>
  <si>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</si>
  <si>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</si>
  <si>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</si>
  <si>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</si>
  <si>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</si>
  <si>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</si>
  <si>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</si>
  <si>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</si>
  <si>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</si>
  <si>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</si>
  <si>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</si>
  <si>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</si>
  <si>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</si>
  <si>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</si>
  <si>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</si>
  <si>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</si>
  <si>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</si>
  <si>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</si>
  <si>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</si>
  <si>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</si>
  <si>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</si>
  <si>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</si>
  <si>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</si>
  <si>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</si>
  <si>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(Laminated)- 1.5 x 0.5 x 1.0</t>
  </si>
  <si>
    <t>(Wooden) Sqaure Hanging (3.5m x 3.5m)</t>
  </si>
  <si>
    <t>Hanging Plants</t>
  </si>
  <si>
    <t>Opt Nr:-  1</t>
  </si>
  <si>
    <t>Date:- 10-11-2025</t>
  </si>
  <si>
    <t>PACK'R</t>
  </si>
  <si>
    <t>INTERPACK 2026</t>
  </si>
  <si>
    <t>11M X 6.5M</t>
  </si>
  <si>
    <t>72 SQM</t>
  </si>
  <si>
    <t>4M</t>
  </si>
  <si>
    <t>07. - 13.05.2025</t>
  </si>
  <si>
    <t>DUSSELDORF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</si>
</sst>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142</xdr:row>
      <xdr:rowOff>0</xdr:rowOff>
    </xdr:from>
    <xdr:to>
      <xdr:col>1</xdr:col>
      <xdr:colOff>1047750</xdr:colOff>
      <xdr:row>267</xdr:row>
      <xdr:rowOff>183719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8EF6F-A13C-4B82-8BC1-53CD66379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783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64" sqref="D26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45</v>
      </c>
      <c r="D1" s="19" t="s">
        <v>130</v>
      </c>
      <c r="E1" s="20" t="s">
        <v>266</v>
      </c>
      <c r="F1" s="20" t="s">
        <v>44</v>
      </c>
      <c r="G1" s="20" t="s">
        <v>43</v>
      </c>
      <c r="H1" s="20" t="s">
        <v>42</v>
      </c>
      <c r="I1" s="20" t="s">
        <v>41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276</v>
      </c>
      <c r="C2" s="26" t="s">
        <v>150</v>
      </c>
      <c r="D2" s="27">
        <f>SUM(E3:E11)</f>
        <v>205.92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205.92</v>
      </c>
      <c r="F3" s="8"/>
      <c r="G3" s="8"/>
      <c r="H3" s="8"/>
      <c r="I3" s="9">
        <v>72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277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282</v>
      </c>
      <c r="C16" s="26" t="s">
        <v>183</v>
      </c>
      <c r="D16" s="27">
        <f>SUM(E17:E86)</f>
        <v>1850.26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39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40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37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36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35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34</v>
      </c>
      <c r="D26" s="7"/>
      <c r="E26" s="8">
        <f t="shared" si="1"/>
        <v>278.83999999999997</v>
      </c>
      <c r="F26" s="8">
        <v>1</v>
      </c>
      <c r="G26" s="8">
        <v>0.1</v>
      </c>
      <c r="H26" s="8">
        <v>3</v>
      </c>
      <c r="I26" s="9">
        <v>4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32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31</v>
      </c>
      <c r="D33" s="7"/>
      <c r="E33" s="8">
        <f t="shared" si="1"/>
        <v>1492.92</v>
      </c>
      <c r="F33" s="8">
        <v>1</v>
      </c>
      <c r="G33" s="8">
        <v>0.1</v>
      </c>
      <c r="H33" s="8">
        <v>4</v>
      </c>
      <c r="I33" s="9">
        <v>22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30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29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28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27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26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25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24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3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3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3:11" ht="15.95" hidden="1" customHeight="1" x14ac:dyDescent="0.25">
      <c r="C51" s="7" t="s">
        <v>39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3:11" ht="15.95" hidden="1" customHeight="1" x14ac:dyDescent="0.25">
      <c r="C52" s="7" t="s">
        <v>38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3:11" ht="15.95" hidden="1" customHeight="1" x14ac:dyDescent="0.25">
      <c r="C53" s="7" t="s">
        <v>37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3:11" ht="15.95" hidden="1" customHeight="1" x14ac:dyDescent="0.25">
      <c r="C54" s="7" t="s">
        <v>36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3:11" ht="15.95" hidden="1" customHeight="1" x14ac:dyDescent="0.25">
      <c r="C55" s="7" t="s">
        <v>35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3:11" ht="15.95" hidden="1" customHeight="1" x14ac:dyDescent="0.25">
      <c r="C56" s="7" t="s">
        <v>34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3:11" ht="15.95" hidden="1" customHeight="1" x14ac:dyDescent="0.25">
      <c r="C57" s="7" t="s">
        <v>33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3:11" ht="15.95" hidden="1" customHeight="1" x14ac:dyDescent="0.25">
      <c r="C58" s="7" t="s">
        <v>32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3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3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3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3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3:11" ht="15.95" hidden="1" customHeight="1" x14ac:dyDescent="0.25">
      <c r="C63" s="7" t="s">
        <v>31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3:11" ht="15.95" hidden="1" customHeight="1" x14ac:dyDescent="0.25">
      <c r="C64" s="7" t="s">
        <v>30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1:11" ht="15.95" hidden="1" customHeight="1" x14ac:dyDescent="0.25">
      <c r="C65" s="7" t="s">
        <v>29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28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27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26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25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24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78.5</v>
      </c>
      <c r="F79" s="24">
        <v>1</v>
      </c>
      <c r="G79" s="24"/>
      <c r="H79" s="24">
        <v>1</v>
      </c>
      <c r="I79" s="44">
        <v>10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4" t="s">
        <v>281</v>
      </c>
      <c r="C87" s="26" t="s">
        <v>194</v>
      </c>
      <c r="D87" s="27">
        <f>SUM(E88:E107)</f>
        <v>1206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7" si="4">I88*K88</f>
        <v>350</v>
      </c>
      <c r="F88" s="24"/>
      <c r="G88" s="24"/>
      <c r="H88" s="24"/>
      <c r="I88" s="24">
        <v>14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23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165</v>
      </c>
      <c r="K95" s="48">
        <v>714.29</v>
      </c>
    </row>
    <row r="96" spans="1:11" s="4" customFormat="1" ht="15.95" hidden="1" customHeight="1" x14ac:dyDescent="0.25">
      <c r="B96" s="42"/>
      <c r="C96" s="7" t="s">
        <v>272</v>
      </c>
      <c r="D96" s="7"/>
      <c r="E96" s="24">
        <f t="shared" si="4"/>
        <v>800</v>
      </c>
      <c r="F96" s="8">
        <v>3.5</v>
      </c>
      <c r="G96" s="8">
        <v>3.5</v>
      </c>
      <c r="H96" s="8">
        <v>1</v>
      </c>
      <c r="I96" s="8">
        <v>1</v>
      </c>
      <c r="J96" s="10" t="s">
        <v>165</v>
      </c>
      <c r="K96" s="48">
        <v>800</v>
      </c>
    </row>
    <row r="97" spans="1:11" s="4" customFormat="1" ht="15.95" hidden="1" customHeight="1" x14ac:dyDescent="0.25">
      <c r="B97" s="42"/>
      <c r="C97" s="7" t="s">
        <v>176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165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165</v>
      </c>
      <c r="K98" s="48">
        <v>1166.67</v>
      </c>
    </row>
    <row r="99" spans="1:11" s="4" customFormat="1" ht="15.95" hidden="1" customHeight="1" x14ac:dyDescent="0.25">
      <c r="B99" s="42"/>
      <c r="C99" s="7" t="s">
        <v>132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165</v>
      </c>
      <c r="K99" s="48">
        <v>35.71</v>
      </c>
    </row>
    <row r="100" spans="1:11" s="4" customFormat="1" ht="15.95" hidden="1" customHeight="1" x14ac:dyDescent="0.25">
      <c r="B100" s="29" t="s">
        <v>248</v>
      </c>
      <c r="C100" s="7" t="s">
        <v>113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110</v>
      </c>
      <c r="K100" s="48">
        <v>23.33</v>
      </c>
    </row>
    <row r="101" spans="1:11" s="4" customFormat="1" ht="15.95" hidden="1" customHeight="1" x14ac:dyDescent="0.25">
      <c r="B101" s="29" t="s">
        <v>248</v>
      </c>
      <c r="C101" s="7" t="s">
        <v>115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165</v>
      </c>
      <c r="K101" s="48">
        <v>12.86</v>
      </c>
    </row>
    <row r="102" spans="1:11" s="4" customFormat="1" ht="15.95" hidden="1" customHeight="1" x14ac:dyDescent="0.25">
      <c r="B102" s="29" t="s">
        <v>248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11.9</v>
      </c>
    </row>
    <row r="103" spans="1:11" s="4" customFormat="1" ht="15.95" hidden="1" customHeight="1" x14ac:dyDescent="0.25">
      <c r="B103" s="29" t="s">
        <v>248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9.52</v>
      </c>
    </row>
    <row r="104" spans="1:11" s="4" customFormat="1" ht="15.95" hidden="1" customHeight="1" x14ac:dyDescent="0.25">
      <c r="C104" s="7" t="s">
        <v>251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110</v>
      </c>
      <c r="K104" s="48">
        <v>15.48</v>
      </c>
    </row>
    <row r="105" spans="1:11" s="4" customFormat="1" ht="15.95" hidden="1" customHeight="1" x14ac:dyDescent="0.25">
      <c r="C105" s="7" t="s">
        <v>114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110</v>
      </c>
      <c r="K105" s="48">
        <v>16.07</v>
      </c>
    </row>
    <row r="106" spans="1:11" s="4" customFormat="1" ht="15.95" hidden="1" customHeight="1" x14ac:dyDescent="0.25">
      <c r="C106" s="7" t="s">
        <v>118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165</v>
      </c>
      <c r="K106" s="48">
        <v>2142.86</v>
      </c>
    </row>
    <row r="107" spans="1:11" s="4" customFormat="1" ht="15.95" hidden="1" customHeight="1" x14ac:dyDescent="0.25">
      <c r="C107" s="7" t="s">
        <v>133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165</v>
      </c>
      <c r="K107" s="48">
        <v>11.9</v>
      </c>
    </row>
    <row r="108" spans="1:11" s="4" customFormat="1" ht="15.95" customHeight="1" x14ac:dyDescent="0.25">
      <c r="A108" s="21" t="s">
        <v>140</v>
      </c>
      <c r="B108" s="4" t="s">
        <v>278</v>
      </c>
      <c r="C108" s="26" t="s">
        <v>195</v>
      </c>
      <c r="D108" s="27">
        <f>SUM(E109:E130)</f>
        <v>190.48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268</v>
      </c>
      <c r="D109" s="7"/>
      <c r="E109" s="8">
        <f t="shared" ref="E109:E130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165</v>
      </c>
      <c r="K109" s="30">
        <v>262.86</v>
      </c>
    </row>
    <row r="110" spans="1:11" s="4" customFormat="1" ht="15.95" hidden="1" customHeight="1" x14ac:dyDescent="0.25">
      <c r="C110" s="7" t="s">
        <v>253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564.6</v>
      </c>
    </row>
    <row r="111" spans="1:11" s="4" customFormat="1" ht="15.95" hidden="1" customHeight="1" x14ac:dyDescent="0.25">
      <c r="C111" s="7" t="s">
        <v>269</v>
      </c>
      <c r="D111" s="7"/>
      <c r="E111" s="8">
        <f t="shared" ref="E111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165</v>
      </c>
      <c r="K111" s="30">
        <v>358.69</v>
      </c>
    </row>
    <row r="112" spans="1:11" s="4" customFormat="1" ht="15.95" hidden="1" customHeight="1" x14ac:dyDescent="0.25">
      <c r="C112" s="7" t="s">
        <v>271</v>
      </c>
      <c r="D112" s="7"/>
      <c r="E112" s="8">
        <f t="shared" si="5"/>
        <v>190.48</v>
      </c>
      <c r="F112" s="8">
        <v>1.5</v>
      </c>
      <c r="G112" s="8">
        <v>0.5</v>
      </c>
      <c r="H112" s="8">
        <v>1</v>
      </c>
      <c r="I112" s="8">
        <v>1</v>
      </c>
      <c r="J112" s="10" t="s">
        <v>165</v>
      </c>
      <c r="K112" s="30">
        <v>190.48</v>
      </c>
    </row>
    <row r="113" spans="2:11" s="4" customFormat="1" ht="15.95" hidden="1" customHeight="1" x14ac:dyDescent="0.25">
      <c r="C113" s="7" t="s">
        <v>254</v>
      </c>
      <c r="D113" s="7"/>
      <c r="E113" s="8">
        <f t="shared" si="5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165</v>
      </c>
      <c r="K113" s="30">
        <v>302.29000000000002</v>
      </c>
    </row>
    <row r="114" spans="2:11" s="4" customFormat="1" ht="15.95" hidden="1" customHeight="1" x14ac:dyDescent="0.25">
      <c r="C114" s="7" t="s">
        <v>252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604.02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423.86</v>
      </c>
    </row>
    <row r="116" spans="2:11" s="4" customFormat="1" ht="15.95" hidden="1" customHeight="1" x14ac:dyDescent="0.25">
      <c r="C116" s="7" t="s">
        <v>156</v>
      </c>
      <c r="D116" s="7"/>
      <c r="E116" s="8">
        <f t="shared" si="5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165</v>
      </c>
      <c r="K116" s="30">
        <v>595.24</v>
      </c>
    </row>
    <row r="117" spans="2:11" s="4" customFormat="1" ht="15.95" hidden="1" customHeight="1" x14ac:dyDescent="0.25">
      <c r="C117" s="7" t="s">
        <v>196</v>
      </c>
      <c r="D117" s="7"/>
      <c r="E117" s="8">
        <f t="shared" si="5"/>
        <v>0</v>
      </c>
      <c r="F117" s="8">
        <v>1.5</v>
      </c>
      <c r="G117" s="8">
        <v>0.4</v>
      </c>
      <c r="H117" s="8">
        <v>1</v>
      </c>
      <c r="I117" s="8">
        <v>0</v>
      </c>
      <c r="J117" s="10" t="s">
        <v>165</v>
      </c>
      <c r="K117" s="30">
        <v>161.9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</v>
      </c>
      <c r="G118" s="8">
        <v>0.5</v>
      </c>
      <c r="H118" s="8">
        <v>0.9</v>
      </c>
      <c r="I118" s="8">
        <v>0</v>
      </c>
      <c r="J118" s="10" t="s">
        <v>165</v>
      </c>
      <c r="K118" s="30">
        <v>190.48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2.4</v>
      </c>
      <c r="G119" s="8">
        <v>0.4</v>
      </c>
      <c r="H119" s="8">
        <v>1</v>
      </c>
      <c r="I119" s="8">
        <v>0</v>
      </c>
      <c r="J119" s="10" t="s">
        <v>165</v>
      </c>
      <c r="K119" s="30">
        <v>216.67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1.2</v>
      </c>
      <c r="G120" s="8">
        <v>0.4</v>
      </c>
      <c r="H120" s="8">
        <v>1</v>
      </c>
      <c r="I120" s="8">
        <v>0</v>
      </c>
      <c r="J120" s="10" t="s">
        <v>165</v>
      </c>
      <c r="K120" s="30">
        <v>154.76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0.5</v>
      </c>
      <c r="G121" s="8">
        <v>0.5</v>
      </c>
      <c r="H121" s="8">
        <v>1</v>
      </c>
      <c r="I121" s="8">
        <v>0</v>
      </c>
      <c r="J121" s="10" t="s">
        <v>165</v>
      </c>
      <c r="K121" s="30">
        <v>177.98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260.12</v>
      </c>
    </row>
    <row r="123" spans="2:11" s="4" customFormat="1" ht="15.95" hidden="1" customHeight="1" x14ac:dyDescent="0.25">
      <c r="B123" s="29" t="s">
        <v>248</v>
      </c>
      <c r="C123" s="7" t="s">
        <v>119</v>
      </c>
      <c r="D123" s="7"/>
      <c r="E123" s="8">
        <f t="shared" si="5"/>
        <v>0</v>
      </c>
      <c r="F123" s="8">
        <v>0.5</v>
      </c>
      <c r="G123" s="8">
        <v>0.5</v>
      </c>
      <c r="H123" s="8">
        <v>2</v>
      </c>
      <c r="I123" s="8">
        <v>0</v>
      </c>
      <c r="J123" s="10" t="s">
        <v>165</v>
      </c>
      <c r="K123" s="30">
        <v>210</v>
      </c>
    </row>
    <row r="124" spans="2:11" s="4" customFormat="1" ht="15.95" hidden="1" customHeight="1" x14ac:dyDescent="0.25">
      <c r="C124" s="7" t="s">
        <v>124</v>
      </c>
      <c r="D124" s="7"/>
      <c r="E124" s="8">
        <f t="shared" si="5"/>
        <v>0</v>
      </c>
      <c r="F124" s="8">
        <v>2.1</v>
      </c>
      <c r="G124" s="8">
        <v>2</v>
      </c>
      <c r="H124" s="8">
        <v>0.9</v>
      </c>
      <c r="I124" s="8">
        <v>0</v>
      </c>
      <c r="J124" s="10" t="s">
        <v>165</v>
      </c>
      <c r="K124" s="30">
        <v>223.81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0.45</v>
      </c>
      <c r="G125" s="8">
        <v>0.45</v>
      </c>
      <c r="H125" s="8">
        <v>0.5</v>
      </c>
      <c r="I125" s="8">
        <v>0</v>
      </c>
      <c r="J125" s="10" t="s">
        <v>165</v>
      </c>
      <c r="K125" s="30">
        <v>65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1.1000000000000001</v>
      </c>
      <c r="G126" s="8">
        <v>0.35</v>
      </c>
      <c r="H126" s="8">
        <v>1.8</v>
      </c>
      <c r="I126" s="8">
        <v>0</v>
      </c>
      <c r="J126" s="10" t="s">
        <v>165</v>
      </c>
      <c r="K126" s="30">
        <v>35</v>
      </c>
    </row>
    <row r="127" spans="2:11" s="4" customFormat="1" ht="15.95" hidden="1" customHeight="1" x14ac:dyDescent="0.25">
      <c r="B127" s="29" t="s">
        <v>248</v>
      </c>
      <c r="C127" s="7" t="s">
        <v>54</v>
      </c>
      <c r="D127" s="7"/>
      <c r="E127" s="8">
        <f t="shared" si="5"/>
        <v>0</v>
      </c>
      <c r="F127" s="8"/>
      <c r="G127" s="8"/>
      <c r="H127" s="8"/>
      <c r="I127" s="8">
        <v>0</v>
      </c>
      <c r="J127" s="10" t="s">
        <v>165</v>
      </c>
      <c r="K127" s="30">
        <v>12</v>
      </c>
    </row>
    <row r="128" spans="2:11" s="4" customFormat="1" ht="15.95" hidden="1" customHeight="1" x14ac:dyDescent="0.25">
      <c r="C128" s="7" t="s">
        <v>129</v>
      </c>
      <c r="D128" s="7"/>
      <c r="E128" s="8">
        <f t="shared" si="5"/>
        <v>0</v>
      </c>
      <c r="F128" s="8">
        <v>1</v>
      </c>
      <c r="G128" s="8">
        <v>0.1</v>
      </c>
      <c r="H128" s="8">
        <v>1</v>
      </c>
      <c r="I128" s="8">
        <v>0</v>
      </c>
      <c r="J128" s="10" t="s">
        <v>110</v>
      </c>
      <c r="K128" s="30">
        <v>21.9</v>
      </c>
    </row>
    <row r="129" spans="1:11" s="4" customFormat="1" ht="15.95" hidden="1" customHeight="1" x14ac:dyDescent="0.25">
      <c r="C129" s="7" t="s">
        <v>202</v>
      </c>
      <c r="D129" s="7"/>
      <c r="E129" s="8">
        <f t="shared" si="5"/>
        <v>0</v>
      </c>
      <c r="F129" s="8">
        <v>0.5</v>
      </c>
      <c r="G129" s="8">
        <v>0.5</v>
      </c>
      <c r="H129" s="8">
        <v>0.5</v>
      </c>
      <c r="I129" s="8">
        <v>0</v>
      </c>
      <c r="J129" s="10" t="s">
        <v>165</v>
      </c>
      <c r="K129" s="30">
        <v>177.98</v>
      </c>
    </row>
    <row r="130" spans="1:11" s="4" customFormat="1" ht="15.95" hidden="1" customHeight="1" x14ac:dyDescent="0.25">
      <c r="C130" s="7" t="s">
        <v>177</v>
      </c>
      <c r="D130" s="7"/>
      <c r="E130" s="8">
        <f t="shared" si="5"/>
        <v>0</v>
      </c>
      <c r="F130" s="8">
        <v>0.84</v>
      </c>
      <c r="G130" s="8">
        <v>0.84</v>
      </c>
      <c r="H130" s="8">
        <v>2.1</v>
      </c>
      <c r="I130" s="8">
        <v>0</v>
      </c>
      <c r="J130" s="10" t="s">
        <v>165</v>
      </c>
      <c r="K130" s="30">
        <v>383.33</v>
      </c>
    </row>
    <row r="131" spans="1:11" s="4" customFormat="1" ht="15.95" customHeight="1" x14ac:dyDescent="0.25">
      <c r="A131" s="21" t="s">
        <v>142</v>
      </c>
      <c r="B131" s="4" t="s">
        <v>279</v>
      </c>
      <c r="C131" s="26" t="s">
        <v>203</v>
      </c>
      <c r="D131" s="27">
        <f>SUM(E132:E141)</f>
        <v>35</v>
      </c>
      <c r="E131" s="51"/>
      <c r="F131" s="27"/>
      <c r="G131" s="27"/>
      <c r="H131" s="27"/>
      <c r="I131" s="27"/>
      <c r="J131" s="28"/>
      <c r="K131" s="47"/>
    </row>
    <row r="132" spans="1:11" s="4" customFormat="1" ht="15.95" hidden="1" customHeight="1" x14ac:dyDescent="0.25">
      <c r="B132" s="29" t="s">
        <v>248</v>
      </c>
      <c r="C132" s="7" t="s">
        <v>48</v>
      </c>
      <c r="D132" s="7"/>
      <c r="E132" s="8">
        <f t="shared" ref="E132:E141" si="7">I132*K132</f>
        <v>35</v>
      </c>
      <c r="F132" s="12"/>
      <c r="G132" s="12"/>
      <c r="H132" s="12"/>
      <c r="I132" s="8">
        <v>1</v>
      </c>
      <c r="J132" s="10" t="s">
        <v>165</v>
      </c>
      <c r="K132" s="30">
        <v>35</v>
      </c>
    </row>
    <row r="133" spans="1:11" s="4" customFormat="1" ht="15.95" hidden="1" customHeight="1" x14ac:dyDescent="0.25">
      <c r="B133" s="29" t="s">
        <v>248</v>
      </c>
      <c r="C133" s="7" t="s">
        <v>49</v>
      </c>
      <c r="D133" s="7"/>
      <c r="E133" s="8">
        <f t="shared" si="7"/>
        <v>0</v>
      </c>
      <c r="F133" s="8"/>
      <c r="G133" s="8"/>
      <c r="H133" s="8"/>
      <c r="I133" s="8">
        <v>0</v>
      </c>
      <c r="J133" s="10" t="s">
        <v>165</v>
      </c>
      <c r="K133" s="30">
        <v>50</v>
      </c>
    </row>
    <row r="134" spans="1:11" s="4" customFormat="1" ht="15.95" hidden="1" customHeight="1" x14ac:dyDescent="0.25">
      <c r="B134" s="29" t="s">
        <v>248</v>
      </c>
      <c r="C134" s="7" t="s">
        <v>270</v>
      </c>
      <c r="D134" s="7"/>
      <c r="E134" s="8">
        <f t="shared" si="7"/>
        <v>0</v>
      </c>
      <c r="F134" s="8">
        <v>1</v>
      </c>
      <c r="G134" s="8">
        <v>0</v>
      </c>
      <c r="H134" s="8">
        <v>2</v>
      </c>
      <c r="I134" s="8">
        <v>0</v>
      </c>
      <c r="J134" s="10" t="s">
        <v>165</v>
      </c>
      <c r="K134" s="30">
        <v>119.05</v>
      </c>
    </row>
    <row r="135" spans="1:11" s="4" customFormat="1" ht="15.95" hidden="1" customHeight="1" x14ac:dyDescent="0.25">
      <c r="C135" s="7" t="s">
        <v>121</v>
      </c>
      <c r="D135" s="7"/>
      <c r="E135" s="8">
        <f t="shared" si="7"/>
        <v>0</v>
      </c>
      <c r="F135" s="8">
        <v>1</v>
      </c>
      <c r="G135" s="8">
        <v>1</v>
      </c>
      <c r="H135" s="8"/>
      <c r="I135" s="8">
        <v>0</v>
      </c>
      <c r="J135" s="10" t="s">
        <v>110</v>
      </c>
      <c r="K135" s="30">
        <v>28.57</v>
      </c>
    </row>
    <row r="136" spans="1:11" s="4" customFormat="1" ht="15.95" hidden="1" customHeight="1" x14ac:dyDescent="0.25">
      <c r="C136" s="7" t="s">
        <v>73</v>
      </c>
      <c r="D136" s="7"/>
      <c r="E136" s="8">
        <f t="shared" si="7"/>
        <v>0</v>
      </c>
      <c r="F136" s="8">
        <v>1</v>
      </c>
      <c r="G136" s="8">
        <v>0</v>
      </c>
      <c r="H136" s="8">
        <v>1</v>
      </c>
      <c r="I136" s="8">
        <v>0</v>
      </c>
      <c r="J136" s="10" t="s">
        <v>165</v>
      </c>
      <c r="K136" s="30">
        <v>11.9</v>
      </c>
    </row>
    <row r="137" spans="1:11" s="4" customFormat="1" ht="15.95" hidden="1" customHeight="1" x14ac:dyDescent="0.25">
      <c r="C137" s="7" t="s">
        <v>20</v>
      </c>
      <c r="D137" s="7"/>
      <c r="E137" s="8">
        <f t="shared" si="7"/>
        <v>0</v>
      </c>
      <c r="F137" s="8">
        <v>2</v>
      </c>
      <c r="G137" s="8">
        <v>0.2</v>
      </c>
      <c r="H137" s="8">
        <v>0.2</v>
      </c>
      <c r="I137" s="8">
        <v>0</v>
      </c>
      <c r="J137" s="10" t="s">
        <v>165</v>
      </c>
      <c r="K137" s="30">
        <v>136.9</v>
      </c>
    </row>
    <row r="138" spans="1:11" s="4" customFormat="1" ht="15.95" hidden="1" customHeight="1" x14ac:dyDescent="0.25">
      <c r="C138" s="7" t="s">
        <v>170</v>
      </c>
      <c r="D138" s="7"/>
      <c r="E138" s="8">
        <f t="shared" si="7"/>
        <v>0</v>
      </c>
      <c r="F138" s="8">
        <v>1</v>
      </c>
      <c r="G138" s="8">
        <v>1</v>
      </c>
      <c r="H138" s="8">
        <v>0</v>
      </c>
      <c r="I138" s="8">
        <v>0</v>
      </c>
      <c r="J138" s="10" t="s">
        <v>110</v>
      </c>
      <c r="K138" s="30">
        <v>22.62</v>
      </c>
    </row>
    <row r="139" spans="1:11" s="4" customFormat="1" ht="15.95" hidden="1" customHeight="1" x14ac:dyDescent="0.25">
      <c r="C139" s="7" t="s">
        <v>161</v>
      </c>
      <c r="D139" s="7"/>
      <c r="E139" s="8">
        <f t="shared" si="7"/>
        <v>0</v>
      </c>
      <c r="F139" s="8">
        <v>1</v>
      </c>
      <c r="G139" s="8">
        <v>0.1</v>
      </c>
      <c r="H139" s="8">
        <v>1</v>
      </c>
      <c r="I139" s="8">
        <v>0</v>
      </c>
      <c r="J139" s="10" t="s">
        <v>110</v>
      </c>
      <c r="K139" s="30">
        <v>83.33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32.14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38.1</v>
      </c>
    </row>
    <row r="142" spans="1:11" s="4" customFormat="1" ht="15.95" customHeight="1" x14ac:dyDescent="0.25">
      <c r="A142" s="21" t="s">
        <v>141</v>
      </c>
      <c r="B142" s="4" t="s">
        <v>280</v>
      </c>
      <c r="C142" s="26" t="s">
        <v>204</v>
      </c>
      <c r="D142" s="27">
        <f>SUM(E143:E150)</f>
        <v>180</v>
      </c>
      <c r="E142" s="51"/>
      <c r="F142" s="27"/>
      <c r="G142" s="27"/>
      <c r="H142" s="27"/>
      <c r="I142" s="27"/>
      <c r="J142" s="28"/>
      <c r="K142" s="47"/>
    </row>
    <row r="143" spans="1:11" s="4" customFormat="1" ht="15.95" hidden="1" customHeight="1" x14ac:dyDescent="0.25">
      <c r="C143" s="7" t="s">
        <v>267</v>
      </c>
      <c r="D143" s="7"/>
      <c r="E143" s="8">
        <f t="shared" ref="E143:E150" si="8">I143*K143</f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165</v>
      </c>
      <c r="K143" s="30">
        <v>109.52</v>
      </c>
    </row>
    <row r="144" spans="1:11" s="4" customFormat="1" ht="15.95" hidden="1" customHeight="1" x14ac:dyDescent="0.25">
      <c r="C144" s="7" t="s">
        <v>85</v>
      </c>
      <c r="D144" s="7"/>
      <c r="E144" s="8">
        <f t="shared" si="8"/>
        <v>0</v>
      </c>
      <c r="F144" s="8">
        <v>6</v>
      </c>
      <c r="G144" s="8">
        <v>0.2</v>
      </c>
      <c r="H144" s="8">
        <v>1</v>
      </c>
      <c r="I144" s="8">
        <v>0</v>
      </c>
      <c r="J144" s="10" t="s">
        <v>165</v>
      </c>
      <c r="K144" s="30">
        <v>219.05</v>
      </c>
    </row>
    <row r="145" spans="2:11" s="4" customFormat="1" ht="15.95" hidden="1" customHeight="1" x14ac:dyDescent="0.25">
      <c r="C145" s="7" t="s">
        <v>179</v>
      </c>
      <c r="D145" s="7"/>
      <c r="E145" s="8">
        <f t="shared" si="8"/>
        <v>0</v>
      </c>
      <c r="F145" s="8">
        <v>0</v>
      </c>
      <c r="G145" s="8">
        <v>0</v>
      </c>
      <c r="H145" s="8">
        <v>0</v>
      </c>
      <c r="I145" s="8">
        <v>0</v>
      </c>
      <c r="J145" s="10" t="s">
        <v>165</v>
      </c>
      <c r="K145" s="30">
        <v>3</v>
      </c>
    </row>
    <row r="146" spans="2:11" s="4" customFormat="1" ht="15.95" hidden="1" customHeight="1" x14ac:dyDescent="0.25">
      <c r="C146" s="7" t="s">
        <v>52</v>
      </c>
      <c r="D146" s="7"/>
      <c r="E146" s="8">
        <f t="shared" ref="E146" si="9">I146*K146</f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165</v>
      </c>
      <c r="K146" s="30">
        <v>25</v>
      </c>
    </row>
    <row r="147" spans="2:11" s="4" customFormat="1" ht="15.95" hidden="1" customHeight="1" x14ac:dyDescent="0.25">
      <c r="C147" s="7" t="s">
        <v>273</v>
      </c>
      <c r="D147" s="7"/>
      <c r="E147" s="8">
        <f t="shared" si="8"/>
        <v>100</v>
      </c>
      <c r="F147" s="8">
        <v>0</v>
      </c>
      <c r="G147" s="8">
        <v>0</v>
      </c>
      <c r="H147" s="8">
        <v>0</v>
      </c>
      <c r="I147" s="8">
        <v>4</v>
      </c>
      <c r="J147" s="10" t="s">
        <v>165</v>
      </c>
      <c r="K147" s="30">
        <v>25</v>
      </c>
    </row>
    <row r="148" spans="2:11" s="4" customFormat="1" ht="15.95" hidden="1" customHeight="1" x14ac:dyDescent="0.25">
      <c r="B148" s="29" t="s">
        <v>248</v>
      </c>
      <c r="C148" s="7" t="s">
        <v>71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110</v>
      </c>
      <c r="K148" s="30">
        <v>25</v>
      </c>
    </row>
    <row r="149" spans="2:11" s="4" customFormat="1" ht="15.95" hidden="1" customHeight="1" x14ac:dyDescent="0.25">
      <c r="C149" s="7" t="s">
        <v>90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165</v>
      </c>
      <c r="K149" s="30">
        <v>25</v>
      </c>
    </row>
    <row r="150" spans="2:11" s="4" customFormat="1" ht="15.95" hidden="1" customHeight="1" x14ac:dyDescent="0.25">
      <c r="C150" s="7" t="s">
        <v>247</v>
      </c>
      <c r="D150" s="7"/>
      <c r="E150" s="8">
        <f t="shared" si="8"/>
        <v>80</v>
      </c>
      <c r="F150" s="8"/>
      <c r="G150" s="8"/>
      <c r="H150" s="8"/>
      <c r="I150" s="8">
        <v>4</v>
      </c>
      <c r="J150" s="10" t="s">
        <v>165</v>
      </c>
      <c r="K150" s="30">
        <v>20</v>
      </c>
    </row>
    <row r="151" spans="2:11" s="4" customFormat="1" ht="15.95" customHeight="1" x14ac:dyDescent="0.25">
      <c r="C151" s="26" t="s">
        <v>131</v>
      </c>
      <c r="D151" s="27">
        <f>SUM(E152:E164)</f>
        <v>608.28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248</v>
      </c>
      <c r="C152" s="7" t="s">
        <v>19</v>
      </c>
      <c r="D152" s="7"/>
      <c r="E152" s="8">
        <f t="shared" ref="E152:E164" si="10">I152*K152</f>
        <v>119</v>
      </c>
      <c r="F152" s="8"/>
      <c r="G152" s="8"/>
      <c r="H152" s="8"/>
      <c r="I152" s="8">
        <v>10</v>
      </c>
      <c r="J152" s="10" t="s">
        <v>165</v>
      </c>
      <c r="K152" s="30">
        <v>11.9</v>
      </c>
    </row>
    <row r="153" spans="2:11" s="4" customFormat="1" ht="15.95" hidden="1" customHeight="1" x14ac:dyDescent="0.25">
      <c r="B153" s="29" t="s">
        <v>248</v>
      </c>
      <c r="C153" s="7" t="s">
        <v>61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165</v>
      </c>
      <c r="K153" s="30">
        <v>50</v>
      </c>
    </row>
    <row r="154" spans="2:11" s="4" customFormat="1" ht="15.95" hidden="1" customHeight="1" x14ac:dyDescent="0.25">
      <c r="B154" s="29" t="s">
        <v>248</v>
      </c>
      <c r="C154" s="7" t="s">
        <v>62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65</v>
      </c>
    </row>
    <row r="155" spans="2:11" s="4" customFormat="1" ht="15.95" hidden="1" customHeight="1" x14ac:dyDescent="0.25">
      <c r="C155" s="7" t="s">
        <v>81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23.81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14.29</v>
      </c>
    </row>
    <row r="157" spans="2:11" s="4" customFormat="1" ht="15.95" hidden="1" customHeight="1" x14ac:dyDescent="0.25">
      <c r="B157" s="29" t="s">
        <v>248</v>
      </c>
      <c r="C157" s="7" t="s">
        <v>63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10</v>
      </c>
    </row>
    <row r="158" spans="2:11" s="4" customFormat="1" ht="15.95" hidden="1" customHeight="1" x14ac:dyDescent="0.25">
      <c r="B158" s="29" t="s">
        <v>248</v>
      </c>
      <c r="C158" s="7" t="s">
        <v>18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C159" s="7" t="s">
        <v>50</v>
      </c>
      <c r="D159" s="7"/>
      <c r="E159" s="8">
        <f t="shared" si="10"/>
        <v>75</v>
      </c>
      <c r="F159" s="12"/>
      <c r="G159" s="12"/>
      <c r="H159" s="12"/>
      <c r="I159" s="8">
        <v>15</v>
      </c>
      <c r="J159" s="10" t="s">
        <v>165</v>
      </c>
      <c r="K159" s="30">
        <v>5</v>
      </c>
    </row>
    <row r="160" spans="2:11" s="4" customFormat="1" ht="15.95" hidden="1" customHeight="1" x14ac:dyDescent="0.25">
      <c r="B160" s="29" t="s">
        <v>248</v>
      </c>
      <c r="C160" s="7" t="s">
        <v>17</v>
      </c>
      <c r="D160" s="7"/>
      <c r="E160" s="8">
        <f t="shared" si="10"/>
        <v>142.80000000000001</v>
      </c>
      <c r="F160" s="8"/>
      <c r="G160" s="8"/>
      <c r="H160" s="8"/>
      <c r="I160" s="8">
        <v>12</v>
      </c>
      <c r="J160" s="10" t="s">
        <v>165</v>
      </c>
      <c r="K160" s="30">
        <v>11.9</v>
      </c>
    </row>
    <row r="161" spans="3:11" s="4" customFormat="1" ht="15.95" hidden="1" customHeight="1" x14ac:dyDescent="0.25">
      <c r="C161" s="7" t="s">
        <v>55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2.38</v>
      </c>
    </row>
    <row r="163" spans="3:11" ht="15.95" hidden="1" customHeight="1" x14ac:dyDescent="0.25">
      <c r="C163" s="7" t="s">
        <v>187</v>
      </c>
      <c r="D163" s="7"/>
      <c r="E163" s="8">
        <f t="shared" si="10"/>
        <v>81</v>
      </c>
      <c r="F163" s="8"/>
      <c r="G163" s="8"/>
      <c r="H163" s="8"/>
      <c r="I163" s="8">
        <v>20</v>
      </c>
      <c r="J163" s="10" t="s">
        <v>149</v>
      </c>
      <c r="K163" s="30">
        <v>4.05</v>
      </c>
    </row>
    <row r="164" spans="3:11" s="4" customFormat="1" ht="15.95" hidden="1" customHeight="1" x14ac:dyDescent="0.25">
      <c r="C164" s="7" t="s">
        <v>157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165</v>
      </c>
      <c r="K164" s="30">
        <v>190.48</v>
      </c>
    </row>
    <row r="165" spans="3:11" s="4" customFormat="1" ht="15.95" customHeight="1" x14ac:dyDescent="0.25">
      <c r="C165" s="26" t="s">
        <v>205</v>
      </c>
      <c r="D165" s="27">
        <f>SUM(E166:E207)</f>
        <v>395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30</v>
      </c>
      <c r="F166" s="12"/>
      <c r="G166" s="12"/>
      <c r="H166" s="12"/>
      <c r="I166" s="8">
        <v>2</v>
      </c>
      <c r="J166" s="10" t="s">
        <v>165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144</v>
      </c>
      <c r="F167" s="12"/>
      <c r="G167" s="12"/>
      <c r="H167" s="12"/>
      <c r="I167" s="8">
        <v>12</v>
      </c>
      <c r="J167" s="10" t="s">
        <v>165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60</v>
      </c>
      <c r="F168" s="12"/>
      <c r="G168" s="12"/>
      <c r="H168" s="12"/>
      <c r="I168" s="8">
        <v>3</v>
      </c>
      <c r="J168" s="10" t="s">
        <v>165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165</v>
      </c>
      <c r="K169" s="30">
        <v>15</v>
      </c>
    </row>
    <row r="170" spans="3:11" s="4" customFormat="1" ht="15.95" hidden="1" customHeight="1" x14ac:dyDescent="0.25">
      <c r="C170" s="7" t="s">
        <v>80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165</v>
      </c>
      <c r="K170" s="30">
        <v>15</v>
      </c>
    </row>
    <row r="171" spans="3:11" s="4" customFormat="1" ht="15.95" hidden="1" customHeight="1" x14ac:dyDescent="0.25">
      <c r="C171" s="7" t="s">
        <v>178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165</v>
      </c>
      <c r="K171" s="30">
        <v>385</v>
      </c>
    </row>
    <row r="172" spans="3:11" s="4" customFormat="1" ht="15.95" hidden="1" customHeight="1" x14ac:dyDescent="0.25">
      <c r="C172" s="7" t="s">
        <v>79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165</v>
      </c>
      <c r="K172" s="30">
        <v>130</v>
      </c>
    </row>
    <row r="173" spans="3:11" s="4" customFormat="1" ht="15.95" hidden="1" customHeight="1" x14ac:dyDescent="0.25">
      <c r="C173" s="7" t="s">
        <v>78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165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165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40</v>
      </c>
      <c r="F178" s="12"/>
      <c r="G178" s="12"/>
      <c r="H178" s="12"/>
      <c r="I178" s="8">
        <v>5</v>
      </c>
      <c r="J178" s="10" t="s">
        <v>165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165</v>
      </c>
      <c r="K179" s="30">
        <v>15</v>
      </c>
    </row>
    <row r="180" spans="3:11" s="4" customFormat="1" ht="15.95" hidden="1" customHeight="1" x14ac:dyDescent="0.25">
      <c r="C180" s="7" t="s">
        <v>189</v>
      </c>
      <c r="D180" s="7"/>
      <c r="E180" s="8">
        <f t="shared" si="11"/>
        <v>70</v>
      </c>
      <c r="F180" s="12"/>
      <c r="G180" s="12"/>
      <c r="H180" s="12"/>
      <c r="I180" s="8">
        <v>2</v>
      </c>
      <c r="J180" s="10" t="s">
        <v>165</v>
      </c>
      <c r="K180" s="30">
        <v>35</v>
      </c>
    </row>
    <row r="181" spans="3:11" s="4" customFormat="1" ht="15.95" hidden="1" customHeight="1" x14ac:dyDescent="0.25">
      <c r="C181" s="7" t="s">
        <v>60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165</v>
      </c>
      <c r="K181" s="30">
        <v>85</v>
      </c>
    </row>
    <row r="182" spans="3:11" s="4" customFormat="1" ht="15.95" hidden="1" customHeight="1" x14ac:dyDescent="0.25">
      <c r="C182" s="7" t="s">
        <v>57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165</v>
      </c>
      <c r="K182" s="30">
        <v>35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165</v>
      </c>
      <c r="K183" s="30">
        <v>25</v>
      </c>
    </row>
    <row r="184" spans="3:11" s="4" customFormat="1" ht="15.95" hidden="1" customHeight="1" x14ac:dyDescent="0.25">
      <c r="C184" s="7" t="s">
        <v>134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46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12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53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165</v>
      </c>
      <c r="K187" s="30">
        <v>150</v>
      </c>
    </row>
    <row r="188" spans="3:11" s="4" customFormat="1" ht="15.95" hidden="1" customHeight="1" x14ac:dyDescent="0.25">
      <c r="C188" s="7" t="s">
        <v>206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165</v>
      </c>
      <c r="K188" s="30">
        <v>15</v>
      </c>
    </row>
    <row r="189" spans="3:11" s="4" customFormat="1" ht="15.95" hidden="1" customHeight="1" x14ac:dyDescent="0.25">
      <c r="C189" s="7" t="s">
        <v>158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600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256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210</v>
      </c>
    </row>
    <row r="193" spans="2:11" s="4" customFormat="1" ht="15.95" hidden="1" customHeight="1" x14ac:dyDescent="0.25">
      <c r="C193" s="7" t="s">
        <v>86</v>
      </c>
      <c r="D193" s="7"/>
      <c r="E193" s="8">
        <f t="shared" si="11"/>
        <v>16</v>
      </c>
      <c r="F193" s="8"/>
      <c r="G193" s="8"/>
      <c r="H193" s="8"/>
      <c r="I193" s="8">
        <v>2</v>
      </c>
      <c r="J193" s="10" t="s">
        <v>165</v>
      </c>
      <c r="K193" s="30">
        <v>8</v>
      </c>
    </row>
    <row r="194" spans="2:11" s="4" customFormat="1" ht="15.95" hidden="1" customHeight="1" x14ac:dyDescent="0.25">
      <c r="C194" s="7" t="s">
        <v>72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83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B196" s="29" t="s">
        <v>248</v>
      </c>
      <c r="C196" s="7" t="s">
        <v>84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25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85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5</v>
      </c>
    </row>
    <row r="200" spans="2:11" s="4" customFormat="1" ht="15.95" hidden="1" customHeight="1" x14ac:dyDescent="0.25">
      <c r="C200" s="7" t="s">
        <v>91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12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20</v>
      </c>
    </row>
    <row r="203" spans="2:11" s="4" customFormat="1" ht="15.95" hidden="1" customHeight="1" x14ac:dyDescent="0.25">
      <c r="C203" s="7" t="s">
        <v>120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6</v>
      </c>
    </row>
    <row r="204" spans="2:11" s="4" customFormat="1" ht="15.95" hidden="1" customHeight="1" x14ac:dyDescent="0.25">
      <c r="C204" s="7" t="s">
        <v>122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3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35</v>
      </c>
    </row>
    <row r="206" spans="2:11" s="4" customFormat="1" ht="15.95" hidden="1" customHeight="1" x14ac:dyDescent="0.25">
      <c r="C206" s="7" t="s">
        <v>246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165</v>
      </c>
      <c r="K206" s="30">
        <v>20</v>
      </c>
    </row>
    <row r="207" spans="2:11" s="4" customFormat="1" ht="15.95" hidden="1" customHeight="1" x14ac:dyDescent="0.25">
      <c r="C207" s="7" t="s">
        <v>245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165</v>
      </c>
      <c r="K207" s="30">
        <v>85</v>
      </c>
    </row>
    <row r="208" spans="2:11" s="4" customFormat="1" ht="15.95" customHeight="1" x14ac:dyDescent="0.25">
      <c r="C208" s="26" t="s">
        <v>182</v>
      </c>
      <c r="D208" s="27">
        <f>SUM(E209:E219)</f>
        <v>1413.46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243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110</v>
      </c>
      <c r="K209" s="30">
        <v>10.71</v>
      </c>
    </row>
    <row r="210" spans="3:11" s="4" customFormat="1" ht="15.95" hidden="1" customHeight="1" x14ac:dyDescent="0.25">
      <c r="C210" s="7" t="s">
        <v>242</v>
      </c>
      <c r="D210" s="7"/>
      <c r="E210" s="8">
        <f t="shared" si="12"/>
        <v>1269.3600000000001</v>
      </c>
      <c r="F210" s="8">
        <v>1</v>
      </c>
      <c r="G210" s="8">
        <v>1</v>
      </c>
      <c r="H210" s="12"/>
      <c r="I210" s="8">
        <v>82</v>
      </c>
      <c r="J210" s="10" t="s">
        <v>110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190</v>
      </c>
      <c r="D212" s="7"/>
      <c r="E212" s="8">
        <f t="shared" si="12"/>
        <v>144.1</v>
      </c>
      <c r="F212" s="8">
        <v>1</v>
      </c>
      <c r="G212" s="8">
        <v>1</v>
      </c>
      <c r="H212" s="12"/>
      <c r="I212" s="8">
        <v>11</v>
      </c>
      <c r="J212" s="10" t="s">
        <v>110</v>
      </c>
      <c r="K212" s="30">
        <v>13.1</v>
      </c>
    </row>
    <row r="213" spans="3:11" s="4" customFormat="1" ht="15.95" hidden="1" customHeight="1" x14ac:dyDescent="0.25">
      <c r="C213" s="7" t="s">
        <v>257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110</v>
      </c>
      <c r="K213" s="30">
        <v>95.24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47.62</v>
      </c>
    </row>
    <row r="215" spans="3:11" s="4" customFormat="1" ht="15.95" hidden="1" customHeight="1" x14ac:dyDescent="0.25">
      <c r="C215" s="7" t="s">
        <v>70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35.71</v>
      </c>
    </row>
    <row r="216" spans="3:11" s="4" customFormat="1" ht="15.95" hidden="1" customHeight="1" x14ac:dyDescent="0.25">
      <c r="C216" s="7" t="s">
        <v>121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28.57</v>
      </c>
    </row>
    <row r="217" spans="3:11" s="4" customFormat="1" ht="15.95" hidden="1" customHeight="1" x14ac:dyDescent="0.25">
      <c r="C217" s="7" t="s">
        <v>51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244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10.71</v>
      </c>
    </row>
    <row r="220" spans="3:11" s="4" customFormat="1" ht="15.95" customHeight="1" x14ac:dyDescent="0.25">
      <c r="C220" s="26" t="s">
        <v>181</v>
      </c>
      <c r="D220" s="27">
        <f>SUM(E221:E259)</f>
        <v>250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165</v>
      </c>
      <c r="K221" s="30">
        <v>320</v>
      </c>
    </row>
    <row r="222" spans="3:11" s="4" customFormat="1" ht="15.95" hidden="1" customHeight="1" x14ac:dyDescent="0.25">
      <c r="C222" s="7" t="s">
        <v>212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165</v>
      </c>
      <c r="K222" s="30">
        <v>210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180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110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310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160</v>
      </c>
    </row>
    <row r="228" spans="3:11" s="4" customFormat="1" ht="15.95" hidden="1" customHeight="1" x14ac:dyDescent="0.25">
      <c r="C228" s="7" t="s">
        <v>58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165</v>
      </c>
      <c r="K228" s="30">
        <v>10</v>
      </c>
    </row>
    <row r="229" spans="3:11" s="4" customFormat="1" ht="15.95" hidden="1" customHeight="1" x14ac:dyDescent="0.25">
      <c r="C229" s="7" t="s">
        <v>221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220</v>
      </c>
    </row>
    <row r="233" spans="3:11" s="4" customFormat="1" ht="15.95" hidden="1" customHeight="1" x14ac:dyDescent="0.25">
      <c r="C233" s="7" t="s">
        <v>180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250</v>
      </c>
      <c r="F234" s="8"/>
      <c r="G234" s="8"/>
      <c r="H234" s="8"/>
      <c r="I234" s="8">
        <v>1</v>
      </c>
      <c r="J234" s="10" t="s">
        <v>165</v>
      </c>
      <c r="K234" s="30">
        <v>250</v>
      </c>
    </row>
    <row r="235" spans="3:11" s="4" customFormat="1" ht="15.95" hidden="1" customHeight="1" x14ac:dyDescent="0.25">
      <c r="C235" s="7" t="s">
        <v>209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165</v>
      </c>
      <c r="K235" s="30">
        <v>390</v>
      </c>
    </row>
    <row r="236" spans="3:11" s="4" customFormat="1" ht="15.95" hidden="1" customHeight="1" x14ac:dyDescent="0.25">
      <c r="C236" s="7" t="s">
        <v>235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460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850</v>
      </c>
    </row>
    <row r="238" spans="3:11" s="4" customFormat="1" ht="15.95" hidden="1" customHeight="1" x14ac:dyDescent="0.25">
      <c r="C238" s="7" t="s">
        <v>186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1400</v>
      </c>
    </row>
    <row r="239" spans="3:11" s="4" customFormat="1" ht="15.95" hidden="1" customHeight="1" x14ac:dyDescent="0.25">
      <c r="C239" s="7" t="s">
        <v>237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360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550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580</v>
      </c>
    </row>
    <row r="242" spans="3:11" s="4" customFormat="1" ht="15.95" hidden="1" customHeight="1" x14ac:dyDescent="0.25">
      <c r="C242" s="7" t="s">
        <v>233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680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750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340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160</v>
      </c>
    </row>
    <row r="246" spans="3:11" s="4" customFormat="1" ht="15.95" hidden="1" customHeight="1" x14ac:dyDescent="0.25">
      <c r="C246" s="7" t="s">
        <v>236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130</v>
      </c>
    </row>
    <row r="247" spans="3:11" s="4" customFormat="1" ht="15.95" hidden="1" customHeight="1" x14ac:dyDescent="0.25">
      <c r="C247" s="7" t="s">
        <v>226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222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400</v>
      </c>
    </row>
    <row r="249" spans="3:11" s="4" customFormat="1" ht="15.95" hidden="1" customHeight="1" x14ac:dyDescent="0.25">
      <c r="C249" s="7" t="s">
        <v>224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260</v>
      </c>
    </row>
    <row r="250" spans="3:11" s="4" customFormat="1" ht="15.95" hidden="1" customHeight="1" x14ac:dyDescent="0.25">
      <c r="C250" s="7" t="s">
        <v>230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180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120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220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230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228</v>
      </c>
      <c r="K254" s="30">
        <v>500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223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260</v>
      </c>
    </row>
    <row r="257" spans="3:11" s="4" customFormat="1" ht="15.95" hidden="1" customHeight="1" x14ac:dyDescent="0.25">
      <c r="C257" s="7" t="s">
        <v>218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6500</v>
      </c>
    </row>
    <row r="258" spans="3:11" s="4" customFormat="1" ht="15.95" hidden="1" customHeight="1" x14ac:dyDescent="0.25">
      <c r="C258" s="7" t="s">
        <v>220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8800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1050</v>
      </c>
    </row>
    <row r="260" spans="3:11" s="22" customFormat="1" ht="15.95" customHeight="1" x14ac:dyDescent="0.25">
      <c r="C260" s="32" t="s">
        <v>147</v>
      </c>
      <c r="D260" s="33">
        <f>SUM(E261)</f>
        <v>11800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11800</v>
      </c>
      <c r="F261" s="24"/>
      <c r="G261" s="24"/>
      <c r="H261" s="24"/>
      <c r="I261" s="24">
        <v>1</v>
      </c>
      <c r="J261" s="25" t="s">
        <v>165</v>
      </c>
      <c r="K261" s="48">
        <v>11800</v>
      </c>
    </row>
    <row r="262" spans="3:11" s="22" customFormat="1" ht="15.95" customHeight="1" x14ac:dyDescent="0.25">
      <c r="C262" s="32" t="s">
        <v>145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148</v>
      </c>
      <c r="K263" s="48">
        <v>1250</v>
      </c>
    </row>
    <row r="264" spans="3:11" s="22" customFormat="1" ht="15.95" customHeight="1" x14ac:dyDescent="0.25">
      <c r="C264" s="32" t="s">
        <v>146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165</v>
      </c>
      <c r="K265" s="48">
        <v>1500</v>
      </c>
    </row>
    <row r="266" spans="3:11" s="22" customFormat="1" ht="15.95" customHeight="1" x14ac:dyDescent="0.25">
      <c r="C266" s="32" t="s">
        <v>211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165</v>
      </c>
      <c r="K267" s="48">
        <v>1200</v>
      </c>
    </row>
    <row r="268" spans="3:11" s="22" customFormat="1" ht="15.95" customHeight="1" x14ac:dyDescent="0.25">
      <c r="C268" s="32" t="s">
        <v>263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262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165</v>
      </c>
      <c r="K269" s="48">
        <v>0</v>
      </c>
    </row>
    <row r="270" spans="3:11" ht="15.95" customHeight="1" thickBot="1" x14ac:dyDescent="0.3">
      <c r="C270" s="18" t="s">
        <v>56</v>
      </c>
      <c r="D270" s="14">
        <f>SUM(D2:D269)</f>
        <v>25099.4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2025-11-10T07:40:31Z</dcterms:modified>
</cp:coreProperties>
</file>