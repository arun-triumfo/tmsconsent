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Credo @ ESCMID Global 2026\Option-1\"/>
    </mc:Choice>
  </mc:AlternateContent>
  <xr:revisionPtr revIDLastSave="0" documentId="13_ncr:1_{E9A43B30-8BB4-472D-B401-0CA1614912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136" i="1" l="1"/>
  <c r="E269" i="1" l="1"/>
  <c r="D268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0" i="1" l="1"/>
</calcChain>
</file>

<file path=xl/sharedStrings.xml><?xml version="1.0" encoding="utf-8"?>
<sst xmlns="http://schemas.openxmlformats.org/spreadsheetml/2006/main" count="580" uniqueCount="283">
  <si>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</si>
  <si>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</si>
  <si>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</si>
  <si>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</si>
  <si>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</si>
  <si>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</si>
  <si>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</si>
  <si>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</si>
  <si>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</si>
  <si>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</si>
  <si>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</si>
  <si>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</si>
  <si>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</si>
  <si>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</si>
  <si>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</si>
  <si>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</si>
  <si>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</si>
  <si>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</si>
  <si>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</si>
  <si>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</si>
  <si>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</si>
  <si>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</si>
  <si>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</si>
  <si>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</si>
  <si>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</si>
  <si>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</si>
  <si>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</si>
  <si>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</si>
  <si>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</si>
  <si>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</si>
  <si>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</si>
  <si>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</si>
  <si>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</si>
  <si>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</si>
  <si>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</si>
  <si>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</si>
  <si>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</si>
  <si>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</si>
  <si>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</si>
  <si>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</si>
  <si>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</si>
  <si>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</si>
  <si>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</si>
  <si>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</si>
  <si>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</si>
  <si>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</si>
  <si>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</si>
  <si>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</si>
  <si>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</si>
  <si>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</si>
  <si>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</si>
  <si>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</si>
  <si>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</si>
  <si>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</si>
  <si>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</si>
  <si>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</si>
  <si>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</si>
  <si>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</si>
  <si>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</si>
  <si>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</si>
  <si>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</si>
  <si>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</si>
  <si>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</si>
  <si>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</si>
  <si>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</si>
  <si>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</si>
  <si>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</si>
  <si>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</si>
  <si>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</si>
  <si>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</si>
  <si>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</si>
  <si>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</si>
  <si>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</si>
  <si>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</si>
  <si>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</si>
  <si>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</si>
  <si>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</si>
  <si>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</si>
  <si>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</si>
  <si>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</si>
  <si>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</si>
  <si>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</si>
  <si>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</si>
  <si>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</si>
  <si>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</si>
  <si>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</si>
  <si>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</si>
  <si>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</si>
  <si>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</si>
  <si>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</si>
  <si>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</si>
  <si>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</si>
  <si>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</si>
  <si>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</si>
  <si>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</si>
  <si>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</si>
  <si>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</si>
  <si>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</si>
  <si>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</si>
  <si>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</si>
  <si>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</si>
  <si>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</si>
  <si>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</si>
  <si>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</si>
  <si>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</si>
  <si>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</si>
  <si>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</si>
  <si>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</si>
  <si>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</si>
  <si>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</si>
  <si>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</si>
  <si>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</si>
  <si>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</si>
  <si>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</si>
  <si>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</si>
  <si>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</si>
  <si>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</si>
  <si>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</si>
  <si>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</si>
  <si>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</si>
  <si>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</si>
  <si>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</si>
  <si>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</si>
  <si>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</si>
  <si>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</si>
  <si>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</si>
  <si>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</si>
  <si>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</si>
  <si>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</si>
  <si>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</si>
  <si>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</si>
  <si>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</si>
  <si>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</si>
  <si>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</si>
  <si>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</si>
  <si>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</si>
  <si>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</si>
  <si>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</si>
  <si>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</si>
  <si>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</si>
  <si>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</si>
  <si>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</si>
  <si>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</si>
  <si>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</si>
  <si>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</si>
  <si>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</si>
  <si>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</si>
  <si>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</si>
  <si>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</si>
  <si>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</si>
  <si>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</si>
  <si>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</si>
  <si>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</si>
  <si>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</si>
  <si>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</si>
  <si>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</si>
  <si>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</si>
  <si>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</si>
  <si>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</si>
  <si>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</si>
  <si>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</si>
  <si>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</si>
  <si>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</si>
  <si>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</si>
  <si>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</si>
  <si>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</si>
  <si>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</si>
  <si>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</si>
  <si>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</si>
  <si>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</si>
  <si>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</si>
  <si>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</si>
  <si>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</si>
  <si>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</si>
  <si>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</si>
  <si>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</si>
  <si>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</si>
  <si>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</si>
  <si>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</si>
  <si>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</si>
  <si>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</si>
  <si>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</si>
  <si>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</si>
  <si>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</si>
  <si>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</si>
  <si>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</si>
  <si>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</si>
  <si>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</si>
  <si>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</si>
  <si>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</si>
  <si>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</si>
  <si>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</si>
  <si>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</si>
  <si>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</si>
  <si>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</si>
  <si>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</si>
  <si>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</si>
  <si>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</si>
  <si>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</si>
  <si>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</si>
  <si>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</si>
  <si>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</si>
  <si>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</si>
  <si>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</si>
  <si>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</si>
  <si>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</si>
  <si>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</si>
  <si>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</si>
  <si>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</si>
  <si>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</si>
  <si>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</si>
  <si>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</si>
  <si>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</si>
  <si>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</si>
  <si>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</si>
  <si>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</si>
  <si>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</si>
  <si>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</si>
  <si>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</si>
  <si>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</si>
  <si>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</si>
  <si>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</si>
  <si>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</si>
  <si>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</si>
  <si>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</si>
  <si>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</si>
  <si>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</si>
  <si>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</si>
  <si>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</si>
  <si>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</si>
  <si>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</si>
  <si>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</si>
  <si>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</si>
  <si>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</si>
  <si>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</si>
  <si>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</si>
  <si>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</si>
  <si>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</si>
  <si>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</si>
  <si>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</si>
  <si>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</si>
  <si>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</si>
  <si>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</si>
  <si>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</si>
  <si>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</si>
  <si>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</si>
  <si>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</si>
  <si>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</si>
  <si>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</si>
  <si>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</si>
  <si>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</si>
  <si>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</si>
  <si>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</si>
  <si>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</si>
  <si>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</si>
  <si>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</si>
  <si>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</si>
  <si>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</si>
  <si>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</si>
  <si>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</si>
  <si>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</si>
  <si>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</si>
  <si>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</si>
  <si>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</si>
  <si>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</si>
  <si>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</si>
  <si>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</si>
  <si>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</si>
  <si>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</si>
  <si>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</si>
  <si>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</si>
  <si>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</si>
  <si>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(Laminated)- 1.5 x 0.5 x 1.0</t>
  </si>
  <si>
    <t>Podium (Laminated)- 1.5 x 0.5 x 1.0</t>
  </si>
  <si>
    <t>Opt Nr:-  1</t>
  </si>
  <si>
    <t>Date:- 17-11-2025</t>
  </si>
  <si>
    <t>CREDO</t>
  </si>
  <si>
    <t>ESCMID Global 2026</t>
  </si>
  <si>
    <t>6M X 5M</t>
  </si>
  <si>
    <t>30 SQM</t>
  </si>
  <si>
    <t>4M</t>
  </si>
  <si>
    <t>17 - 21 April 2026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</si>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</sst>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1047750</xdr:colOff>
      <xdr:row>267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807B44-F197-4394-8C57-35F62705A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673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I274" sqref="I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1233.3499999999999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457.28</v>
      </c>
      <c r="F5" s="8"/>
      <c r="G5" s="8"/>
      <c r="H5" s="8"/>
      <c r="I5" s="9">
        <v>32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731.52</v>
      </c>
      <c r="F8" s="8"/>
      <c r="G8" s="8"/>
      <c r="H8" s="8"/>
      <c r="I8" s="9">
        <v>32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44.55</v>
      </c>
      <c r="F9" s="8"/>
      <c r="G9" s="8"/>
      <c r="H9" s="8"/>
      <c r="I9" s="9">
        <v>11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1407.22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746.46</v>
      </c>
      <c r="F33" s="8">
        <v>1</v>
      </c>
      <c r="G33" s="8">
        <v>0.1</v>
      </c>
      <c r="H33" s="8">
        <v>4</v>
      </c>
      <c r="I33" s="9">
        <v>11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370.28</v>
      </c>
      <c r="F34" s="8">
        <v>1</v>
      </c>
      <c r="G34" s="8">
        <v>0.1</v>
      </c>
      <c r="H34" s="8">
        <v>4</v>
      </c>
      <c r="I34" s="9">
        <v>4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/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290.48</v>
      </c>
      <c r="F72" s="8">
        <v>1</v>
      </c>
      <c r="G72" s="8">
        <v>0.2</v>
      </c>
      <c r="H72" s="8">
        <v>5</v>
      </c>
      <c r="I72" s="9">
        <v>2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278</v>
      </c>
      <c r="C108" s="26" t="s">
        <v>196</v>
      </c>
      <c r="D108" s="27">
        <f>SUM(E109:E131)</f>
        <v>571.43999999999994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190.48</v>
      </c>
      <c r="F112" s="8">
        <v>1.5</v>
      </c>
      <c r="G112" s="8">
        <v>0.5</v>
      </c>
      <c r="H112" s="8">
        <v>1</v>
      </c>
      <c r="I112" s="8">
        <v>1</v>
      </c>
      <c r="J112" s="10" t="s">
        <v>166</v>
      </c>
      <c r="K112" s="30">
        <v>190.48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5"/>
        <v>380.96</v>
      </c>
      <c r="F113" s="8">
        <v>1.5</v>
      </c>
      <c r="G113" s="8">
        <v>0.5</v>
      </c>
      <c r="H113" s="8">
        <v>1</v>
      </c>
      <c r="I113" s="8">
        <v>2</v>
      </c>
      <c r="J113" s="10" t="s">
        <v>166</v>
      </c>
      <c r="K113" s="30">
        <v>190.48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271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159.51999999999998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8">I144*K144</f>
        <v>109.52</v>
      </c>
      <c r="F144" s="8">
        <v>0.5</v>
      </c>
      <c r="G144" s="8">
        <v>0.2</v>
      </c>
      <c r="H144" s="8">
        <v>0.5</v>
      </c>
      <c r="I144" s="8">
        <v>1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8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8"/>
        <v>50</v>
      </c>
      <c r="F147" s="8">
        <v>0</v>
      </c>
      <c r="G147" s="8">
        <v>0</v>
      </c>
      <c r="H147" s="8">
        <v>0</v>
      </c>
      <c r="I147" s="8">
        <v>2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447.17999999999995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9">I152*K152</f>
        <v>95.2</v>
      </c>
      <c r="F152" s="8"/>
      <c r="G152" s="8"/>
      <c r="H152" s="8"/>
      <c r="I152" s="8">
        <v>8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9"/>
        <v>40</v>
      </c>
      <c r="F159" s="12"/>
      <c r="G159" s="12"/>
      <c r="H159" s="12"/>
      <c r="I159" s="8">
        <v>8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9"/>
        <v>121.5</v>
      </c>
      <c r="F163" s="8"/>
      <c r="G163" s="8"/>
      <c r="H163" s="8"/>
      <c r="I163" s="8">
        <v>30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432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15</v>
      </c>
      <c r="F166" s="12"/>
      <c r="G166" s="12"/>
      <c r="H166" s="12"/>
      <c r="I166" s="8">
        <v>1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192</v>
      </c>
      <c r="F167" s="12"/>
      <c r="G167" s="12"/>
      <c r="H167" s="12"/>
      <c r="I167" s="8">
        <v>16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80</v>
      </c>
      <c r="F168" s="12"/>
      <c r="G168" s="12"/>
      <c r="H168" s="12"/>
      <c r="I168" s="8">
        <v>4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0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997.78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1"/>
        <v>603.72</v>
      </c>
      <c r="F210" s="8">
        <v>1</v>
      </c>
      <c r="G210" s="8">
        <v>1</v>
      </c>
      <c r="H210" s="12"/>
      <c r="I210" s="8">
        <v>39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1"/>
        <v>13.1</v>
      </c>
      <c r="F212" s="8">
        <v>1</v>
      </c>
      <c r="G212" s="8">
        <v>1</v>
      </c>
      <c r="H212" s="12"/>
      <c r="I212" s="8">
        <v>1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1"/>
        <v>380.96</v>
      </c>
      <c r="F213" s="8">
        <v>1</v>
      </c>
      <c r="G213" s="8">
        <v>1</v>
      </c>
      <c r="H213" s="12"/>
      <c r="I213" s="8">
        <v>4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8500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8500</v>
      </c>
      <c r="F261" s="24"/>
      <c r="G261" s="24"/>
      <c r="H261" s="24"/>
      <c r="I261" s="24">
        <v>1</v>
      </c>
      <c r="J261" s="25" t="s">
        <v>166</v>
      </c>
      <c r="K261" s="48">
        <v>8500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264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263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20483.489999999998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2025-11-17T07:12:39Z</dcterms:modified>
</cp:coreProperties>
</file>