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5\WTH Thieme @ Fakuma 2026\"/>
    </mc:Choice>
  </mc:AlternateContent>
  <xr:revisionPtr revIDLastSave="0" documentId="13_ncr:1_{F735B569-C929-423F-9F85-9493B689DB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6" i="1" l="1"/>
  <c r="E117" i="1"/>
  <c r="E34" i="1"/>
  <c r="E137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6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1" i="1" l="1"/>
  <c r="E133" i="1"/>
  <c r="E167" i="1"/>
  <c r="D166" i="1" s="1"/>
  <c r="D210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2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3" i="1"/>
  <c r="D222" i="1" s="1"/>
  <c r="D16" i="1" l="1"/>
  <c r="D152" i="1"/>
  <c r="D132" i="1"/>
  <c r="D144" i="1"/>
  <c r="D109" i="1"/>
  <c r="D272" i="1" l="1"/>
</calcChain>
</file>

<file path=xl/sharedStrings.xml><?xml version="1.0" encoding="utf-8"?>
<sst xmlns="http://schemas.openxmlformats.org/spreadsheetml/2006/main" count="585" uniqueCount="283">
  <si>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</si>
  <si>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</si>
  <si>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</si>
  <si>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</si>
  <si>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</si>
  <si>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</si>
  <si>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</si>
  <si>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</si>
  <si>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</si>
  <si>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</si>
  <si>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</si>
  <si>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</si>
  <si>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</si>
  <si>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</si>
  <si>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</si>
  <si>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</si>
  <si>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</si>
  <si>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</si>
  <si>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</si>
  <si>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</si>
  <si>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</si>
  <si>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</si>
  <si>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</si>
  <si>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</si>
  <si>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</si>
  <si>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</si>
  <si>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</si>
  <si>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</si>
  <si>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</si>
  <si>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</si>
  <si>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</si>
  <si>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</si>
  <si>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</si>
  <si>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</si>
  <si>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</si>
  <si>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</si>
  <si>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</si>
  <si>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</si>
  <si>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</si>
  <si>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</si>
  <si>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</si>
  <si>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</si>
  <si>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</si>
  <si>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</si>
  <si>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</si>
  <si>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</si>
  <si>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</si>
  <si>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</si>
  <si>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</si>
  <si>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</si>
  <si>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</si>
  <si>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</si>
  <si>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</si>
  <si>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</si>
  <si>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</si>
  <si>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</si>
  <si>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</si>
  <si>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</si>
  <si>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</si>
  <si>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</si>
  <si>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</si>
  <si>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</si>
  <si>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</si>
  <si>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</si>
  <si>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</si>
  <si>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</si>
  <si>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</si>
  <si>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</si>
  <si>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</si>
  <si>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</si>
  <si>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</si>
  <si>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</si>
  <si>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</si>
  <si>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</si>
  <si>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</si>
  <si>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</si>
  <si>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</si>
  <si>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</si>
  <si>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</si>
  <si>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</si>
  <si>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</si>
  <si>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</si>
  <si>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</si>
  <si>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</si>
  <si>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</si>
  <si>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</si>
  <si>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</si>
  <si>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</si>
  <si>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</si>
  <si>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</si>
  <si>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</si>
  <si>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</si>
  <si>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</si>
  <si>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</si>
  <si>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</si>
  <si>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</si>
  <si>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</si>
  <si>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</si>
  <si>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</si>
  <si>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</si>
  <si>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</si>
  <si>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</si>
  <si>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</si>
  <si>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</si>
  <si>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</si>
  <si>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</si>
  <si>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</si>
  <si>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</si>
  <si>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</si>
  <si>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</si>
  <si>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</si>
  <si>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</si>
  <si>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</si>
  <si>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</si>
  <si>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</si>
  <si>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</si>
  <si>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</si>
  <si>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</si>
  <si>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</si>
  <si>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</si>
  <si>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</si>
  <si>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</si>
  <si>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</si>
  <si>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</si>
  <si>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</si>
  <si>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</si>
  <si>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</si>
  <si>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</si>
  <si>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</si>
  <si>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</si>
  <si>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</si>
  <si>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</si>
  <si>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</si>
  <si>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</si>
  <si>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</si>
  <si>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</si>
  <si>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</si>
  <si>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</si>
  <si>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</si>
  <si>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</si>
  <si>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</si>
  <si>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</si>
  <si>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</si>
  <si>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</si>
  <si>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</si>
  <si>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</si>
  <si>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</si>
  <si>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</si>
  <si>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</si>
  <si>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</si>
  <si>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</si>
  <si>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</si>
  <si>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</si>
  <si>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</si>
  <si>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</si>
  <si>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</si>
  <si>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</si>
  <si>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</si>
  <si>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</si>
  <si>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</si>
  <si>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</si>
  <si>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</si>
  <si>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</si>
  <si>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</si>
  <si>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</si>
  <si>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</si>
  <si>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</si>
  <si>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</si>
  <si>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</si>
  <si>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</si>
  <si>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</si>
  <si>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</si>
  <si>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</si>
  <si>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</si>
  <si>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</si>
  <si>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</si>
  <si>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</si>
  <si>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</si>
  <si>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</si>
  <si>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</si>
  <si>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</si>
  <si>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</si>
  <si>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</si>
  <si>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</si>
  <si>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</si>
  <si>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</si>
  <si>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</si>
  <si>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</si>
  <si>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</si>
  <si>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</si>
  <si>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</si>
  <si>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</si>
  <si>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</si>
  <si>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</si>
  <si>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</si>
  <si>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</si>
  <si>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</si>
  <si>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</si>
  <si>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</si>
  <si>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</si>
  <si>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</si>
  <si>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</si>
  <si>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</si>
  <si>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</si>
  <si>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</si>
  <si>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</si>
  <si>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</si>
  <si>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</si>
  <si>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</si>
  <si>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</si>
  <si>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</si>
  <si>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</si>
  <si>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</si>
  <si>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</si>
  <si>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</si>
  <si>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</si>
  <si>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</si>
  <si>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</si>
  <si>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</si>
  <si>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</si>
  <si>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</si>
  <si>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</si>
  <si>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</si>
  <si>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</si>
  <si>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</si>
  <si>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</si>
  <si>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</si>
  <si>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</si>
  <si>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</si>
  <si>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</si>
  <si>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</si>
  <si>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</si>
  <si>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</si>
  <si>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</si>
  <si>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</si>
  <si>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</si>
  <si>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</si>
  <si>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</si>
  <si>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</si>
  <si>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</si>
  <si>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</si>
  <si>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</si>
  <si>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</si>
  <si>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</si>
  <si>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</si>
  <si>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</si>
  <si>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</si>
  <si>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</si>
  <si>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</si>
  <si>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</si>
  <si>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</si>
  <si>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</si>
  <si>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</si>
  <si>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</si>
  <si>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</si>
  <si>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</si>
  <si>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</si>
  <si>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</si>
  <si>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</si>
  <si>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</si>
  <si>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</si>
  <si>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</si>
  <si>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</si>
  <si>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</si>
  <si>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</si>
  <si>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</si>
  <si>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</si>
  <si>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</si>
  <si>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</si>
  <si>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</si>
  <si>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</si>
  <si>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4m( Double  Side)  (Fascia)</t>
  </si>
  <si>
    <t>Info Counter (Laminated)  5.0 x 0.5 x 1.0</t>
  </si>
  <si>
    <t>DISHWASHER</t>
  </si>
  <si>
    <t>Opt Nr:-  1</t>
  </si>
  <si>
    <t>Date:- 05-06-2025</t>
  </si>
  <si>
    <t>WTH Thieme</t>
  </si>
  <si>
    <t>7M X 4M</t>
  </si>
  <si>
    <t>28 SQM</t>
  </si>
  <si>
    <t>5M</t>
  </si>
  <si>
    <t>12. – 16.10.2026</t>
  </si>
  <si>
    <t>Friedrichshafen</t>
  </si>
  <si>
    <t>FAKUMA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</si>
</sst>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1038225</xdr:colOff>
      <xdr:row>269</xdr:row>
      <xdr:rowOff>90693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73606-D162-42B3-9D6A-2058F4CC3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690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47</v>
      </c>
      <c r="D1" s="19" t="s">
        <v>133</v>
      </c>
      <c r="E1" s="20" t="s">
        <v>270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157</v>
      </c>
      <c r="K1" s="46" t="s">
        <v>270</v>
      </c>
    </row>
    <row r="2" spans="1:11" s="4" customFormat="1" ht="15.95" customHeight="1" x14ac:dyDescent="0.25">
      <c r="A2" s="21" t="s">
        <v>142</v>
      </c>
      <c r="B2" s="4" t="s">
        <v>276</v>
      </c>
      <c r="C2" s="26" t="s">
        <v>153</v>
      </c>
      <c r="D2" s="27">
        <f>SUM(E3:E11)</f>
        <v>983.56999999999994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162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167</v>
      </c>
      <c r="K3" s="30">
        <v>2.86</v>
      </c>
    </row>
    <row r="4" spans="1:11" ht="15.95" hidden="1" customHeight="1" x14ac:dyDescent="0.25">
      <c r="C4" s="7" t="s">
        <v>170</v>
      </c>
      <c r="D4" s="7"/>
      <c r="E4" s="8">
        <f t="shared" si="0"/>
        <v>276.08</v>
      </c>
      <c r="F4" s="8"/>
      <c r="G4" s="8"/>
      <c r="H4" s="8"/>
      <c r="I4" s="9">
        <v>29</v>
      </c>
      <c r="J4" s="10" t="s">
        <v>167</v>
      </c>
      <c r="K4" s="30">
        <v>9.52</v>
      </c>
    </row>
    <row r="5" spans="1:11" ht="15.95" hidden="1" customHeight="1" x14ac:dyDescent="0.25">
      <c r="C5" s="7" t="s">
        <v>174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167</v>
      </c>
      <c r="K5" s="30">
        <v>14.29</v>
      </c>
    </row>
    <row r="6" spans="1:11" ht="15.95" hidden="1" customHeight="1" x14ac:dyDescent="0.25">
      <c r="C6" s="7" t="s">
        <v>163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167</v>
      </c>
      <c r="K6" s="30">
        <v>28.1</v>
      </c>
    </row>
    <row r="7" spans="1:11" ht="15.95" hidden="1" customHeight="1" x14ac:dyDescent="0.25">
      <c r="B7" s="29" t="s">
        <v>251</v>
      </c>
      <c r="C7" s="7" t="s">
        <v>154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167</v>
      </c>
      <c r="K7" s="30">
        <v>10</v>
      </c>
    </row>
    <row r="8" spans="1:11" ht="15.95" hidden="1" customHeight="1" x14ac:dyDescent="0.25">
      <c r="B8" s="29" t="s">
        <v>251</v>
      </c>
      <c r="C8" s="7" t="s">
        <v>169</v>
      </c>
      <c r="D8" s="7"/>
      <c r="E8" s="8">
        <f t="shared" si="0"/>
        <v>662.93999999999994</v>
      </c>
      <c r="F8" s="8"/>
      <c r="G8" s="8"/>
      <c r="H8" s="8"/>
      <c r="I8" s="9">
        <v>29</v>
      </c>
      <c r="J8" s="10" t="s">
        <v>167</v>
      </c>
      <c r="K8" s="30">
        <v>22.86</v>
      </c>
    </row>
    <row r="9" spans="1:11" ht="15.95" hidden="1" customHeight="1" x14ac:dyDescent="0.25">
      <c r="C9" s="7" t="s">
        <v>155</v>
      </c>
      <c r="D9" s="7"/>
      <c r="E9" s="8">
        <f t="shared" si="0"/>
        <v>44.55</v>
      </c>
      <c r="F9" s="8"/>
      <c r="G9" s="8"/>
      <c r="H9" s="8"/>
      <c r="I9" s="9">
        <v>11</v>
      </c>
      <c r="J9" s="10" t="s">
        <v>152</v>
      </c>
      <c r="K9" s="30">
        <v>4.05</v>
      </c>
    </row>
    <row r="10" spans="1:11" ht="15.95" hidden="1" customHeight="1" x14ac:dyDescent="0.25">
      <c r="C10" s="7" t="s">
        <v>114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167</v>
      </c>
      <c r="K10" s="30">
        <v>28.57</v>
      </c>
    </row>
    <row r="11" spans="1:11" ht="15.95" hidden="1" customHeight="1" x14ac:dyDescent="0.25">
      <c r="C11" s="7" t="s">
        <v>115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167</v>
      </c>
      <c r="K11" s="30">
        <v>22.62</v>
      </c>
    </row>
    <row r="12" spans="1:11" s="4" customFormat="1" ht="15.95" customHeight="1" x14ac:dyDescent="0.25">
      <c r="A12" s="21" t="s">
        <v>141</v>
      </c>
      <c r="B12" s="4" t="s">
        <v>282</v>
      </c>
      <c r="C12" s="26" t="s">
        <v>196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187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168</v>
      </c>
      <c r="K13" s="30">
        <v>265</v>
      </c>
    </row>
    <row r="14" spans="1:11" ht="15.95" hidden="1" customHeight="1" x14ac:dyDescent="0.25">
      <c r="B14" s="13"/>
      <c r="C14" s="16" t="s">
        <v>188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168</v>
      </c>
      <c r="K14" s="30">
        <v>365</v>
      </c>
    </row>
    <row r="15" spans="1:11" ht="15.95" hidden="1" customHeight="1" x14ac:dyDescent="0.25">
      <c r="B15" s="13"/>
      <c r="C15" s="16" t="s">
        <v>191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168</v>
      </c>
      <c r="K15" s="30">
        <v>810</v>
      </c>
    </row>
    <row r="16" spans="1:11" s="4" customFormat="1" ht="15.95" customHeight="1" x14ac:dyDescent="0.25">
      <c r="A16" s="21" t="s">
        <v>146</v>
      </c>
      <c r="B16" s="4" t="s">
        <v>281</v>
      </c>
      <c r="C16" s="26" t="s">
        <v>186</v>
      </c>
      <c r="D16" s="27">
        <f>SUM(E17:E87)</f>
        <v>1982.4399999999998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251</v>
      </c>
      <c r="C17" s="7" t="s">
        <v>41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156</v>
      </c>
      <c r="K17" s="30">
        <v>52.86</v>
      </c>
    </row>
    <row r="18" spans="2:11" ht="15.95" hidden="1" customHeight="1" x14ac:dyDescent="0.25">
      <c r="B18" s="29" t="s">
        <v>251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156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156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156</v>
      </c>
      <c r="K20" s="30">
        <v>97.71</v>
      </c>
    </row>
    <row r="21" spans="2:11" ht="15.95" hidden="1" customHeight="1" x14ac:dyDescent="0.25">
      <c r="C21" s="7" t="s">
        <v>138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156</v>
      </c>
      <c r="K21" s="30">
        <v>214.29</v>
      </c>
    </row>
    <row r="22" spans="2:11" ht="15.95" hidden="1" customHeight="1" x14ac:dyDescent="0.25">
      <c r="C22" s="7" t="s">
        <v>139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156</v>
      </c>
      <c r="K22" s="30">
        <v>333.33</v>
      </c>
    </row>
    <row r="23" spans="2:11" ht="15.95" hidden="1" customHeight="1" x14ac:dyDescent="0.25">
      <c r="C23" s="7" t="s">
        <v>130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156</v>
      </c>
      <c r="K23" s="30">
        <v>99.52</v>
      </c>
    </row>
    <row r="24" spans="2:11" ht="15.95" hidden="1" customHeight="1" x14ac:dyDescent="0.25">
      <c r="C24" s="7" t="s">
        <v>131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156</v>
      </c>
      <c r="K24" s="30">
        <v>199.05</v>
      </c>
    </row>
    <row r="25" spans="2:11" ht="15.95" hidden="1" customHeight="1" x14ac:dyDescent="0.25">
      <c r="B25" s="29" t="s">
        <v>251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156</v>
      </c>
      <c r="K25" s="30">
        <v>62.86</v>
      </c>
    </row>
    <row r="26" spans="2:11" ht="15.95" hidden="1" customHeight="1" x14ac:dyDescent="0.25">
      <c r="B26" s="29" t="s">
        <v>251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156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156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156</v>
      </c>
      <c r="K28" s="30">
        <v>104.86</v>
      </c>
    </row>
    <row r="29" spans="2:11" ht="15.95" hidden="1" customHeight="1" x14ac:dyDescent="0.25">
      <c r="B29" s="29" t="s">
        <v>251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156</v>
      </c>
      <c r="K29" s="30">
        <v>71.430000000000007</v>
      </c>
    </row>
    <row r="30" spans="2:11" ht="15.95" hidden="1" customHeight="1" x14ac:dyDescent="0.25">
      <c r="B30" s="29" t="s">
        <v>251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156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156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156</v>
      </c>
      <c r="K32" s="30">
        <v>123.81</v>
      </c>
    </row>
    <row r="33" spans="2:11" ht="15.95" hidden="1" customHeight="1" x14ac:dyDescent="0.25">
      <c r="B33" s="29" t="s">
        <v>251</v>
      </c>
      <c r="C33" s="7" t="s">
        <v>33</v>
      </c>
      <c r="D33" s="7"/>
      <c r="E33" s="8">
        <f t="shared" si="1"/>
        <v>746.46</v>
      </c>
      <c r="F33" s="8">
        <v>1</v>
      </c>
      <c r="G33" s="8">
        <v>0.1</v>
      </c>
      <c r="H33" s="8">
        <v>4</v>
      </c>
      <c r="I33" s="9">
        <v>11</v>
      </c>
      <c r="J33" s="10" t="s">
        <v>156</v>
      </c>
      <c r="K33" s="30">
        <v>67.86</v>
      </c>
    </row>
    <row r="34" spans="2:11" ht="15.95" hidden="1" customHeight="1" x14ac:dyDescent="0.25">
      <c r="B34" s="29" t="s">
        <v>251</v>
      </c>
      <c r="C34" s="7" t="s">
        <v>32</v>
      </c>
      <c r="D34" s="7"/>
      <c r="E34" s="8">
        <f t="shared" ref="E34" si="2">I34*K34</f>
        <v>370.28</v>
      </c>
      <c r="F34" s="8">
        <v>1</v>
      </c>
      <c r="G34" s="8">
        <v>0.1</v>
      </c>
      <c r="H34" s="8">
        <v>4</v>
      </c>
      <c r="I34" s="9">
        <v>4</v>
      </c>
      <c r="J34" s="10" t="s">
        <v>156</v>
      </c>
      <c r="K34" s="30">
        <v>92.57</v>
      </c>
    </row>
    <row r="35" spans="2:11" ht="15.95" hidden="1" customHeight="1" x14ac:dyDescent="0.25">
      <c r="B35" s="29"/>
      <c r="C35" s="7" t="s">
        <v>271</v>
      </c>
      <c r="D35" s="7"/>
      <c r="E35" s="8">
        <f t="shared" si="1"/>
        <v>462.84999999999997</v>
      </c>
      <c r="F35" s="8">
        <v>1</v>
      </c>
      <c r="G35" s="8">
        <v>0.1</v>
      </c>
      <c r="H35" s="8">
        <v>4</v>
      </c>
      <c r="I35" s="9">
        <v>5</v>
      </c>
      <c r="J35" s="10" t="s">
        <v>156</v>
      </c>
      <c r="K35" s="30">
        <v>92.57</v>
      </c>
    </row>
    <row r="36" spans="2:11" ht="15.95" hidden="1" customHeight="1" x14ac:dyDescent="0.25">
      <c r="C36" s="7" t="s">
        <v>31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156</v>
      </c>
      <c r="K36" s="30">
        <v>103.43</v>
      </c>
    </row>
    <row r="37" spans="2:11" ht="15.95" hidden="1" customHeight="1" x14ac:dyDescent="0.25">
      <c r="C37" s="7" t="s">
        <v>30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156</v>
      </c>
      <c r="K37" s="30">
        <v>146.29</v>
      </c>
    </row>
    <row r="38" spans="2:11" ht="15.95" hidden="1" customHeight="1" x14ac:dyDescent="0.25">
      <c r="C38" s="7" t="s">
        <v>77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156</v>
      </c>
      <c r="K38" s="30">
        <v>76.19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156</v>
      </c>
      <c r="K39" s="30">
        <v>104.76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156</v>
      </c>
      <c r="K40" s="30">
        <v>115.24</v>
      </c>
    </row>
    <row r="41" spans="2:11" ht="15.95" hidden="1" customHeight="1" x14ac:dyDescent="0.25">
      <c r="C41" s="7" t="s">
        <v>104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156</v>
      </c>
      <c r="K41" s="30">
        <v>160.47999999999999</v>
      </c>
    </row>
    <row r="42" spans="2:11" ht="15.95" hidden="1" customHeight="1" x14ac:dyDescent="0.25">
      <c r="B42" s="29" t="s">
        <v>251</v>
      </c>
      <c r="C42" s="7" t="s">
        <v>78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156</v>
      </c>
      <c r="K42" s="30">
        <v>77.38</v>
      </c>
    </row>
    <row r="43" spans="2:11" ht="15.95" hidden="1" customHeight="1" x14ac:dyDescent="0.25">
      <c r="B43" s="29" t="s">
        <v>251</v>
      </c>
      <c r="C43" s="7" t="s">
        <v>105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156</v>
      </c>
      <c r="K43" s="30">
        <v>110.71</v>
      </c>
    </row>
    <row r="44" spans="2:11" ht="15.95" hidden="1" customHeight="1" x14ac:dyDescent="0.25">
      <c r="C44" s="7" t="s">
        <v>79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156</v>
      </c>
      <c r="K44" s="30">
        <v>128.57</v>
      </c>
    </row>
    <row r="45" spans="2:11" ht="15.95" hidden="1" customHeight="1" x14ac:dyDescent="0.25">
      <c r="C45" s="7" t="s">
        <v>106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156</v>
      </c>
      <c r="K45" s="30">
        <v>169.05</v>
      </c>
    </row>
    <row r="46" spans="2:11" ht="15.95" hidden="1" customHeight="1" x14ac:dyDescent="0.25">
      <c r="C46" s="7" t="s">
        <v>29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156</v>
      </c>
      <c r="K46" s="30">
        <v>79.14</v>
      </c>
    </row>
    <row r="47" spans="2:11" ht="15.95" hidden="1" customHeight="1" x14ac:dyDescent="0.25">
      <c r="C47" s="7" t="s">
        <v>28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156</v>
      </c>
      <c r="K47" s="30">
        <v>115.14</v>
      </c>
    </row>
    <row r="48" spans="2:11" ht="15.95" hidden="1" customHeight="1" x14ac:dyDescent="0.25">
      <c r="C48" s="7" t="s">
        <v>27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156</v>
      </c>
      <c r="K48" s="30">
        <v>136</v>
      </c>
    </row>
    <row r="49" spans="3:11" ht="15.95" hidden="1" customHeight="1" x14ac:dyDescent="0.25">
      <c r="C49" s="7" t="s">
        <v>26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156</v>
      </c>
      <c r="K49" s="30">
        <v>193.14</v>
      </c>
    </row>
    <row r="50" spans="3:11" ht="15.95" hidden="1" customHeight="1" x14ac:dyDescent="0.25">
      <c r="C50" s="7" t="s">
        <v>97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156</v>
      </c>
      <c r="K50" s="30">
        <v>41.67</v>
      </c>
    </row>
    <row r="51" spans="3:11" ht="15.95" hidden="1" customHeight="1" x14ac:dyDescent="0.25">
      <c r="C51" s="7" t="s">
        <v>98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156</v>
      </c>
      <c r="K51" s="30">
        <v>83.33</v>
      </c>
    </row>
    <row r="52" spans="3:11" ht="15.95" hidden="1" customHeight="1" x14ac:dyDescent="0.25">
      <c r="C52" s="7" t="s">
        <v>41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158</v>
      </c>
      <c r="K52" s="30">
        <v>62.29</v>
      </c>
    </row>
    <row r="53" spans="3:11" ht="15.95" hidden="1" customHeight="1" x14ac:dyDescent="0.25">
      <c r="C53" s="7" t="s">
        <v>40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158</v>
      </c>
      <c r="K53" s="30">
        <v>77.14</v>
      </c>
    </row>
    <row r="54" spans="3:11" ht="15.95" hidden="1" customHeight="1" x14ac:dyDescent="0.25">
      <c r="C54" s="7" t="s">
        <v>39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158</v>
      </c>
      <c r="K54" s="30">
        <v>79.14</v>
      </c>
    </row>
    <row r="55" spans="3:11" ht="15.95" hidden="1" customHeight="1" x14ac:dyDescent="0.25">
      <c r="C55" s="7" t="s">
        <v>38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158</v>
      </c>
      <c r="K55" s="30">
        <v>100</v>
      </c>
    </row>
    <row r="56" spans="3:11" ht="15.95" hidden="1" customHeight="1" x14ac:dyDescent="0.25">
      <c r="C56" s="7" t="s">
        <v>37</v>
      </c>
      <c r="D56" s="7"/>
      <c r="E56" s="8">
        <f t="shared" si="3"/>
        <v>402.84999999999997</v>
      </c>
      <c r="F56" s="8">
        <v>1</v>
      </c>
      <c r="G56" s="8">
        <v>0.2</v>
      </c>
      <c r="H56" s="8">
        <v>3</v>
      </c>
      <c r="I56" s="9">
        <v>5</v>
      </c>
      <c r="J56" s="10" t="s">
        <v>158</v>
      </c>
      <c r="K56" s="30">
        <v>80.569999999999993</v>
      </c>
    </row>
    <row r="57" spans="3:11" ht="15.95" hidden="1" customHeight="1" x14ac:dyDescent="0.25">
      <c r="C57" s="7" t="s">
        <v>36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158</v>
      </c>
      <c r="K57" s="30">
        <v>97.43</v>
      </c>
    </row>
    <row r="58" spans="3:11" ht="15.95" hidden="1" customHeight="1" x14ac:dyDescent="0.25">
      <c r="C58" s="7" t="s">
        <v>35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158</v>
      </c>
      <c r="K58" s="30">
        <v>112.57</v>
      </c>
    </row>
    <row r="59" spans="3:11" ht="15.95" hidden="1" customHeight="1" x14ac:dyDescent="0.25">
      <c r="C59" s="7" t="s">
        <v>34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158</v>
      </c>
      <c r="K59" s="30">
        <v>132.57</v>
      </c>
    </row>
    <row r="60" spans="3:11" ht="15.95" hidden="1" customHeight="1" x14ac:dyDescent="0.25">
      <c r="C60" s="7" t="s">
        <v>107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158</v>
      </c>
      <c r="K60" s="30">
        <v>95.24</v>
      </c>
    </row>
    <row r="61" spans="3:11" ht="15.95" hidden="1" customHeight="1" x14ac:dyDescent="0.25">
      <c r="C61" s="7" t="s">
        <v>108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158</v>
      </c>
      <c r="K61" s="30">
        <v>102.38</v>
      </c>
    </row>
    <row r="62" spans="3:11" ht="15.95" hidden="1" customHeight="1" x14ac:dyDescent="0.25">
      <c r="C62" s="7" t="s">
        <v>109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158</v>
      </c>
      <c r="K62" s="30">
        <v>117.14</v>
      </c>
    </row>
    <row r="63" spans="3:11" ht="15.95" hidden="1" customHeight="1" x14ac:dyDescent="0.25">
      <c r="C63" s="7" t="s">
        <v>80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158</v>
      </c>
      <c r="K63" s="30">
        <v>142.86000000000001</v>
      </c>
    </row>
    <row r="64" spans="3:11" ht="15.95" hidden="1" customHeight="1" x14ac:dyDescent="0.25">
      <c r="C64" s="7" t="s">
        <v>33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158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158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158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158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158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158</v>
      </c>
      <c r="K69" s="30">
        <v>130.94999999999999</v>
      </c>
    </row>
    <row r="70" spans="1:11" ht="15.95" hidden="1" customHeight="1" x14ac:dyDescent="0.25">
      <c r="C70" s="7" t="s">
        <v>110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158</v>
      </c>
      <c r="K70" s="30">
        <v>140.47999999999999</v>
      </c>
    </row>
    <row r="71" spans="1:11" ht="15.95" hidden="1" customHeight="1" x14ac:dyDescent="0.25">
      <c r="C71" s="7" t="s">
        <v>140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158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158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158</v>
      </c>
      <c r="K73" s="30">
        <v>145.24</v>
      </c>
    </row>
    <row r="74" spans="1:11" ht="15.95" hidden="1" customHeight="1" x14ac:dyDescent="0.25">
      <c r="C74" s="7" t="s">
        <v>111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158</v>
      </c>
      <c r="K74" s="30">
        <v>167.86</v>
      </c>
    </row>
    <row r="75" spans="1:11" ht="15.95" hidden="1" customHeight="1" x14ac:dyDescent="0.25">
      <c r="C75" s="7" t="s">
        <v>112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158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158</v>
      </c>
      <c r="K76" s="30">
        <v>116.29</v>
      </c>
    </row>
    <row r="77" spans="1:11" ht="15.95" hidden="1" customHeight="1" x14ac:dyDescent="0.25">
      <c r="C77" s="7" t="s">
        <v>28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158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158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158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263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264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265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264</v>
      </c>
      <c r="K81" s="30">
        <v>15.7</v>
      </c>
    </row>
    <row r="82" spans="1:11" ht="15.95" hidden="1" customHeight="1" x14ac:dyDescent="0.25">
      <c r="C82" s="7" t="s">
        <v>97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158</v>
      </c>
      <c r="K82" s="30">
        <v>41.67</v>
      </c>
    </row>
    <row r="83" spans="1:11" ht="15.95" hidden="1" customHeight="1" x14ac:dyDescent="0.25">
      <c r="C83" s="7" t="s">
        <v>98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158</v>
      </c>
      <c r="K83" s="30">
        <v>83.33</v>
      </c>
    </row>
    <row r="84" spans="1:11" ht="15.95" hidden="1" customHeight="1" x14ac:dyDescent="0.25">
      <c r="B84" s="29" t="s">
        <v>251</v>
      </c>
      <c r="C84" s="7" t="s">
        <v>175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113</v>
      </c>
      <c r="K84" s="30">
        <v>47.62</v>
      </c>
    </row>
    <row r="85" spans="1:11" ht="15.95" hidden="1" customHeight="1" x14ac:dyDescent="0.25">
      <c r="B85" s="29" t="s">
        <v>251</v>
      </c>
      <c r="C85" s="7" t="s">
        <v>176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171</v>
      </c>
      <c r="K85" s="30">
        <v>190.48</v>
      </c>
    </row>
    <row r="86" spans="1:11" ht="15.95" hidden="1" customHeight="1" x14ac:dyDescent="0.25">
      <c r="B86" s="29" t="s">
        <v>251</v>
      </c>
      <c r="C86" s="7" t="s">
        <v>177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171</v>
      </c>
      <c r="K86" s="30">
        <v>190.48</v>
      </c>
    </row>
    <row r="87" spans="1:11" ht="15.95" hidden="1" customHeight="1" x14ac:dyDescent="0.25">
      <c r="C87" s="7" t="s">
        <v>178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113</v>
      </c>
      <c r="K87" s="30">
        <v>32.14</v>
      </c>
    </row>
    <row r="88" spans="1:11" s="4" customFormat="1" ht="15.95" customHeight="1" x14ac:dyDescent="0.25">
      <c r="A88" s="21" t="s">
        <v>147</v>
      </c>
      <c r="B88" s="4" t="s">
        <v>280</v>
      </c>
      <c r="C88" s="26" t="s">
        <v>197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251</v>
      </c>
      <c r="C89" s="23" t="s">
        <v>172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168</v>
      </c>
      <c r="K89" s="48">
        <v>25</v>
      </c>
    </row>
    <row r="90" spans="1:11" s="22" customFormat="1" ht="15.95" hidden="1" customHeight="1" x14ac:dyDescent="0.25">
      <c r="B90" s="29" t="s">
        <v>251</v>
      </c>
      <c r="C90" s="23" t="s">
        <v>194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168</v>
      </c>
      <c r="K90" s="48">
        <v>10</v>
      </c>
    </row>
    <row r="91" spans="1:11" s="22" customFormat="1" ht="15.95" hidden="1" customHeight="1" x14ac:dyDescent="0.25">
      <c r="B91" s="29" t="s">
        <v>251</v>
      </c>
      <c r="C91" s="23" t="s">
        <v>195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168</v>
      </c>
      <c r="K91" s="48">
        <v>2</v>
      </c>
    </row>
    <row r="92" spans="1:11" s="4" customFormat="1" ht="15.95" hidden="1" customHeight="1" x14ac:dyDescent="0.25">
      <c r="B92" s="29" t="s">
        <v>251</v>
      </c>
      <c r="C92" s="7" t="s">
        <v>252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168</v>
      </c>
      <c r="K92" s="48">
        <v>800</v>
      </c>
    </row>
    <row r="93" spans="1:11" s="4" customFormat="1" ht="15.95" hidden="1" customHeight="1" x14ac:dyDescent="0.25">
      <c r="B93" s="29" t="s">
        <v>251</v>
      </c>
      <c r="C93" s="7" t="s">
        <v>253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168</v>
      </c>
      <c r="K93" s="48">
        <v>1210</v>
      </c>
    </row>
    <row r="94" spans="1:11" s="4" customFormat="1" ht="15.95" hidden="1" customHeight="1" x14ac:dyDescent="0.25">
      <c r="B94" s="29" t="s">
        <v>251</v>
      </c>
      <c r="C94" s="7" t="s">
        <v>268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168</v>
      </c>
      <c r="K94" s="48">
        <v>1820</v>
      </c>
    </row>
    <row r="95" spans="1:11" s="4" customFormat="1" ht="15.95" hidden="1" customHeight="1" x14ac:dyDescent="0.25">
      <c r="B95" s="29" t="s">
        <v>251</v>
      </c>
      <c r="C95" s="7" t="s">
        <v>269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168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168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168</v>
      </c>
      <c r="K97" s="48">
        <v>1000</v>
      </c>
    </row>
    <row r="98" spans="1:11" s="4" customFormat="1" ht="15.95" hidden="1" customHeight="1" x14ac:dyDescent="0.25">
      <c r="B98" s="42"/>
      <c r="C98" s="7" t="s">
        <v>179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168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168</v>
      </c>
      <c r="K99" s="48">
        <v>1166.67</v>
      </c>
    </row>
    <row r="100" spans="1:11" s="4" customFormat="1" ht="15.95" hidden="1" customHeight="1" x14ac:dyDescent="0.25">
      <c r="B100" s="42"/>
      <c r="C100" s="7" t="s">
        <v>135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168</v>
      </c>
      <c r="K100" s="48">
        <v>35.71</v>
      </c>
    </row>
    <row r="101" spans="1:11" s="4" customFormat="1" ht="15.95" hidden="1" customHeight="1" x14ac:dyDescent="0.25">
      <c r="B101" s="29" t="s">
        <v>251</v>
      </c>
      <c r="C101" s="7" t="s">
        <v>116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113</v>
      </c>
      <c r="K101" s="48">
        <v>23.33</v>
      </c>
    </row>
    <row r="102" spans="1:11" s="4" customFormat="1" ht="15.95" hidden="1" customHeight="1" x14ac:dyDescent="0.25">
      <c r="B102" s="29" t="s">
        <v>251</v>
      </c>
      <c r="C102" s="7" t="s">
        <v>118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168</v>
      </c>
      <c r="K102" s="48">
        <v>12.86</v>
      </c>
    </row>
    <row r="103" spans="1:11" s="4" customFormat="1" ht="15.95" hidden="1" customHeight="1" x14ac:dyDescent="0.25">
      <c r="B103" s="29" t="s">
        <v>251</v>
      </c>
      <c r="C103" s="7" t="s">
        <v>119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168</v>
      </c>
      <c r="K103" s="48">
        <v>11.9</v>
      </c>
    </row>
    <row r="104" spans="1:11" s="4" customFormat="1" ht="15.95" hidden="1" customHeight="1" x14ac:dyDescent="0.25">
      <c r="B104" s="29" t="s">
        <v>251</v>
      </c>
      <c r="C104" s="7" t="s">
        <v>120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168</v>
      </c>
      <c r="K104" s="48">
        <v>9.52</v>
      </c>
    </row>
    <row r="105" spans="1:11" s="4" customFormat="1" ht="15.95" hidden="1" customHeight="1" x14ac:dyDescent="0.25">
      <c r="C105" s="7" t="s">
        <v>254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113</v>
      </c>
      <c r="K105" s="48">
        <v>15.48</v>
      </c>
    </row>
    <row r="106" spans="1:11" s="4" customFormat="1" ht="15.95" hidden="1" customHeight="1" x14ac:dyDescent="0.25">
      <c r="C106" s="7" t="s">
        <v>117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113</v>
      </c>
      <c r="K106" s="48">
        <v>16.07</v>
      </c>
    </row>
    <row r="107" spans="1:11" s="4" customFormat="1" ht="15.95" hidden="1" customHeight="1" x14ac:dyDescent="0.25">
      <c r="C107" s="7" t="s">
        <v>121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168</v>
      </c>
      <c r="K107" s="48">
        <v>2142.86</v>
      </c>
    </row>
    <row r="108" spans="1:11" s="4" customFormat="1" ht="15.95" hidden="1" customHeight="1" x14ac:dyDescent="0.25">
      <c r="C108" s="7" t="s">
        <v>136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168</v>
      </c>
      <c r="K108" s="48">
        <v>11.9</v>
      </c>
    </row>
    <row r="109" spans="1:11" s="4" customFormat="1" ht="15.95" customHeight="1" x14ac:dyDescent="0.25">
      <c r="A109" s="21" t="s">
        <v>143</v>
      </c>
      <c r="B109" s="4" t="s">
        <v>277</v>
      </c>
      <c r="C109" s="26" t="s">
        <v>198</v>
      </c>
      <c r="D109" s="27">
        <f>SUM(E110:E131)</f>
        <v>578.62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258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168</v>
      </c>
      <c r="K110" s="30">
        <v>262.86</v>
      </c>
    </row>
    <row r="111" spans="1:11" s="4" customFormat="1" ht="15.95" hidden="1" customHeight="1" x14ac:dyDescent="0.25">
      <c r="C111" s="7" t="s">
        <v>257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168</v>
      </c>
      <c r="K111" s="30">
        <v>564.6</v>
      </c>
    </row>
    <row r="112" spans="1:11" s="4" customFormat="1" ht="15.95" hidden="1" customHeight="1" x14ac:dyDescent="0.25">
      <c r="C112" s="7" t="s">
        <v>256</v>
      </c>
      <c r="D112" s="7"/>
      <c r="E112" s="8">
        <f t="shared" si="6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168</v>
      </c>
      <c r="K112" s="30">
        <v>358.69</v>
      </c>
    </row>
    <row r="113" spans="2:11" s="4" customFormat="1" ht="15.95" hidden="1" customHeight="1" x14ac:dyDescent="0.25">
      <c r="C113" s="7" t="s">
        <v>259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168</v>
      </c>
      <c r="K113" s="30">
        <v>302.29000000000002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168</v>
      </c>
      <c r="K114" s="30">
        <v>604.02</v>
      </c>
    </row>
    <row r="115" spans="2:11" s="4" customFormat="1" ht="15.95" hidden="1" customHeight="1" x14ac:dyDescent="0.25">
      <c r="C115" s="7" t="s">
        <v>272</v>
      </c>
      <c r="D115" s="7"/>
      <c r="E115" s="8">
        <f t="shared" si="6"/>
        <v>423.86</v>
      </c>
      <c r="F115" s="8">
        <v>5</v>
      </c>
      <c r="G115" s="8">
        <v>0.5</v>
      </c>
      <c r="H115" s="8">
        <v>1</v>
      </c>
      <c r="I115" s="8">
        <v>1</v>
      </c>
      <c r="J115" s="10" t="s">
        <v>168</v>
      </c>
      <c r="K115" s="30">
        <v>423.86</v>
      </c>
    </row>
    <row r="116" spans="2:11" s="4" customFormat="1" ht="15.95" hidden="1" customHeight="1" x14ac:dyDescent="0.25">
      <c r="C116" s="7" t="s">
        <v>159</v>
      </c>
      <c r="D116" s="7"/>
      <c r="E116" s="8">
        <f t="shared" si="6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168</v>
      </c>
      <c r="K116" s="30">
        <v>595.24</v>
      </c>
    </row>
    <row r="117" spans="2:11" s="4" customFormat="1" ht="15.95" hidden="1" customHeight="1" x14ac:dyDescent="0.25">
      <c r="C117" s="7" t="s">
        <v>81</v>
      </c>
      <c r="D117" s="7"/>
      <c r="E117" s="8">
        <f t="shared" si="6"/>
        <v>154.76</v>
      </c>
      <c r="F117" s="12">
        <v>1.5</v>
      </c>
      <c r="G117" s="12">
        <v>0.8</v>
      </c>
      <c r="H117" s="12">
        <v>1</v>
      </c>
      <c r="I117" s="8">
        <v>1</v>
      </c>
      <c r="J117" s="10" t="s">
        <v>168</v>
      </c>
      <c r="K117" s="30">
        <v>154.76</v>
      </c>
    </row>
    <row r="118" spans="2:11" s="4" customFormat="1" ht="15.95" hidden="1" customHeight="1" x14ac:dyDescent="0.25">
      <c r="C118" s="7" t="s">
        <v>199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168</v>
      </c>
      <c r="K118" s="30">
        <v>161.9</v>
      </c>
    </row>
    <row r="119" spans="2:11" s="4" customFormat="1" ht="15.95" hidden="1" customHeight="1" x14ac:dyDescent="0.25">
      <c r="C119" s="7" t="s">
        <v>200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168</v>
      </c>
      <c r="K119" s="30">
        <v>190.48</v>
      </c>
    </row>
    <row r="120" spans="2:11" s="4" customFormat="1" ht="15.95" hidden="1" customHeight="1" x14ac:dyDescent="0.25">
      <c r="C120" s="7" t="s">
        <v>201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168</v>
      </c>
      <c r="K120" s="30">
        <v>216.67</v>
      </c>
    </row>
    <row r="121" spans="2:11" s="4" customFormat="1" ht="15.95" hidden="1" customHeight="1" x14ac:dyDescent="0.25">
      <c r="C121" s="7" t="s">
        <v>202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168</v>
      </c>
      <c r="K121" s="30">
        <v>154.76</v>
      </c>
    </row>
    <row r="122" spans="2:11" s="4" customFormat="1" ht="15.95" hidden="1" customHeight="1" x14ac:dyDescent="0.25">
      <c r="C122" s="7" t="s">
        <v>203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168</v>
      </c>
      <c r="K122" s="30">
        <v>177.98</v>
      </c>
    </row>
    <row r="123" spans="2:11" s="4" customFormat="1" ht="15.95" hidden="1" customHeight="1" x14ac:dyDescent="0.25">
      <c r="C123" s="7" t="s">
        <v>204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168</v>
      </c>
      <c r="K123" s="30">
        <v>260.12</v>
      </c>
    </row>
    <row r="124" spans="2:11" s="4" customFormat="1" ht="15.95" hidden="1" customHeight="1" x14ac:dyDescent="0.25">
      <c r="B124" s="29" t="s">
        <v>251</v>
      </c>
      <c r="C124" s="7" t="s">
        <v>122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168</v>
      </c>
      <c r="K124" s="30">
        <v>210</v>
      </c>
    </row>
    <row r="125" spans="2:11" s="4" customFormat="1" ht="15.95" hidden="1" customHeight="1" x14ac:dyDescent="0.25">
      <c r="C125" s="7" t="s">
        <v>127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168</v>
      </c>
      <c r="K125" s="30">
        <v>223.81</v>
      </c>
    </row>
    <row r="126" spans="2:11" s="4" customFormat="1" ht="15.95" hidden="1" customHeight="1" x14ac:dyDescent="0.25">
      <c r="C126" s="7" t="s">
        <v>128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168</v>
      </c>
      <c r="K126" s="30">
        <v>65</v>
      </c>
    </row>
    <row r="127" spans="2:11" s="4" customFormat="1" ht="15.95" hidden="1" customHeight="1" x14ac:dyDescent="0.25">
      <c r="C127" s="7" t="s">
        <v>129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168</v>
      </c>
      <c r="K127" s="30">
        <v>35</v>
      </c>
    </row>
    <row r="128" spans="2:11" s="4" customFormat="1" ht="15.95" hidden="1" customHeight="1" x14ac:dyDescent="0.25">
      <c r="B128" s="29" t="s">
        <v>251</v>
      </c>
      <c r="C128" s="7" t="s">
        <v>56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168</v>
      </c>
      <c r="K128" s="30">
        <v>12</v>
      </c>
    </row>
    <row r="129" spans="1:11" s="4" customFormat="1" ht="15.95" hidden="1" customHeight="1" x14ac:dyDescent="0.25">
      <c r="C129" s="7" t="s">
        <v>132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113</v>
      </c>
      <c r="K129" s="30">
        <v>21.9</v>
      </c>
    </row>
    <row r="130" spans="1:11" s="4" customFormat="1" ht="15.95" hidden="1" customHeight="1" x14ac:dyDescent="0.25">
      <c r="C130" s="7" t="s">
        <v>205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168</v>
      </c>
      <c r="K130" s="30">
        <v>177.98</v>
      </c>
    </row>
    <row r="131" spans="1:11" s="4" customFormat="1" ht="15.95" hidden="1" customHeight="1" x14ac:dyDescent="0.25">
      <c r="C131" s="7" t="s">
        <v>180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168</v>
      </c>
      <c r="K131" s="30">
        <v>383.33</v>
      </c>
    </row>
    <row r="132" spans="1:11" s="4" customFormat="1" ht="15.95" customHeight="1" x14ac:dyDescent="0.25">
      <c r="A132" s="21" t="s">
        <v>145</v>
      </c>
      <c r="B132" s="4" t="s">
        <v>278</v>
      </c>
      <c r="C132" s="26" t="s">
        <v>206</v>
      </c>
      <c r="D132" s="27">
        <f>SUM(E133:E143)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251</v>
      </c>
      <c r="C133" s="7" t="s">
        <v>50</v>
      </c>
      <c r="D133" s="7"/>
      <c r="E133" s="8">
        <f t="shared" ref="E133:E143" si="7">I133*K133</f>
        <v>35</v>
      </c>
      <c r="F133" s="12"/>
      <c r="G133" s="12"/>
      <c r="H133" s="12"/>
      <c r="I133" s="8">
        <v>1</v>
      </c>
      <c r="J133" s="10" t="s">
        <v>168</v>
      </c>
      <c r="K133" s="30">
        <v>35</v>
      </c>
    </row>
    <row r="134" spans="1:11" s="4" customFormat="1" ht="15.95" hidden="1" customHeight="1" x14ac:dyDescent="0.25">
      <c r="B134" s="29" t="s">
        <v>251</v>
      </c>
      <c r="C134" s="7" t="s">
        <v>51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168</v>
      </c>
      <c r="K134" s="30">
        <v>50</v>
      </c>
    </row>
    <row r="135" spans="1:11" s="4" customFormat="1" ht="15.95" hidden="1" customHeight="1" x14ac:dyDescent="0.25">
      <c r="B135" s="29" t="s">
        <v>251</v>
      </c>
      <c r="C135" s="7" t="s">
        <v>73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168</v>
      </c>
      <c r="K135" s="30">
        <v>119.05</v>
      </c>
    </row>
    <row r="136" spans="1:11" s="4" customFormat="1" ht="15.95" hidden="1" customHeight="1" x14ac:dyDescent="0.25">
      <c r="C136" s="7" t="s">
        <v>53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113</v>
      </c>
      <c r="K136" s="30">
        <v>13.1</v>
      </c>
    </row>
    <row r="137" spans="1:11" s="4" customFormat="1" ht="15.95" hidden="1" customHeight="1" x14ac:dyDescent="0.25">
      <c r="C137" s="7" t="s">
        <v>124</v>
      </c>
      <c r="D137" s="7"/>
      <c r="E137" s="8">
        <f t="shared" si="7"/>
        <v>0</v>
      </c>
      <c r="F137" s="8">
        <v>1</v>
      </c>
      <c r="G137" s="8">
        <v>1</v>
      </c>
      <c r="H137" s="8"/>
      <c r="I137" s="8">
        <v>0</v>
      </c>
      <c r="J137" s="10" t="s">
        <v>113</v>
      </c>
      <c r="K137" s="30">
        <v>28.57</v>
      </c>
    </row>
    <row r="138" spans="1:11" s="4" customFormat="1" ht="15.95" hidden="1" customHeight="1" x14ac:dyDescent="0.25">
      <c r="C138" s="7" t="s">
        <v>76</v>
      </c>
      <c r="D138" s="7"/>
      <c r="E138" s="8">
        <f t="shared" si="7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168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7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168</v>
      </c>
      <c r="K139" s="30">
        <v>136.9</v>
      </c>
    </row>
    <row r="140" spans="1:11" s="4" customFormat="1" ht="15.95" hidden="1" customHeight="1" x14ac:dyDescent="0.25">
      <c r="C140" s="7" t="s">
        <v>173</v>
      </c>
      <c r="D140" s="7"/>
      <c r="E140" s="8">
        <f t="shared" si="7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113</v>
      </c>
      <c r="K140" s="30">
        <v>22.62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113</v>
      </c>
      <c r="K141" s="30">
        <v>83.33</v>
      </c>
    </row>
    <row r="142" spans="1:11" s="4" customFormat="1" ht="15.95" hidden="1" customHeight="1" x14ac:dyDescent="0.25">
      <c r="C142" s="7" t="s">
        <v>165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113</v>
      </c>
      <c r="K142" s="30">
        <v>32.14</v>
      </c>
    </row>
    <row r="143" spans="1:11" s="4" customFormat="1" ht="15.95" hidden="1" customHeight="1" x14ac:dyDescent="0.25">
      <c r="C143" s="7" t="s">
        <v>166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113</v>
      </c>
      <c r="K143" s="30">
        <v>38.1</v>
      </c>
    </row>
    <row r="144" spans="1:11" s="4" customFormat="1" ht="15.95" customHeight="1" x14ac:dyDescent="0.25">
      <c r="A144" s="21" t="s">
        <v>144</v>
      </c>
      <c r="B144" s="4" t="s">
        <v>279</v>
      </c>
      <c r="C144" s="26" t="s">
        <v>207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21</v>
      </c>
      <c r="D145" s="7"/>
      <c r="E145" s="8">
        <f t="shared" ref="E145:E151" si="8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168</v>
      </c>
      <c r="K145" s="30">
        <v>109.52</v>
      </c>
    </row>
    <row r="146" spans="2:11" s="4" customFormat="1" ht="15.95" hidden="1" customHeight="1" x14ac:dyDescent="0.25">
      <c r="C146" s="7" t="s">
        <v>88</v>
      </c>
      <c r="D146" s="7"/>
      <c r="E146" s="8">
        <f t="shared" si="8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168</v>
      </c>
      <c r="K146" s="30">
        <v>219.05</v>
      </c>
    </row>
    <row r="147" spans="2:11" s="4" customFormat="1" ht="15.95" hidden="1" customHeight="1" x14ac:dyDescent="0.25">
      <c r="C147" s="7" t="s">
        <v>182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168</v>
      </c>
      <c r="K147" s="30">
        <v>3</v>
      </c>
    </row>
    <row r="148" spans="2:11" s="4" customFormat="1" ht="15.95" hidden="1" customHeight="1" x14ac:dyDescent="0.25">
      <c r="C148" s="7" t="s">
        <v>54</v>
      </c>
      <c r="D148" s="7"/>
      <c r="E148" s="8">
        <f t="shared" si="8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168</v>
      </c>
      <c r="K148" s="30">
        <v>25</v>
      </c>
    </row>
    <row r="149" spans="2:11" s="4" customFormat="1" ht="15.95" hidden="1" customHeight="1" x14ac:dyDescent="0.25">
      <c r="B149" s="29" t="s">
        <v>251</v>
      </c>
      <c r="C149" s="7" t="s">
        <v>74</v>
      </c>
      <c r="D149" s="7"/>
      <c r="E149" s="8">
        <f t="shared" si="8"/>
        <v>0</v>
      </c>
      <c r="F149" s="8">
        <v>0.5</v>
      </c>
      <c r="G149" s="8">
        <v>0.5</v>
      </c>
      <c r="H149" s="8"/>
      <c r="I149" s="8">
        <v>0</v>
      </c>
      <c r="J149" s="10" t="s">
        <v>113</v>
      </c>
      <c r="K149" s="30">
        <v>25</v>
      </c>
    </row>
    <row r="150" spans="2:11" s="4" customFormat="1" ht="15.95" hidden="1" customHeight="1" x14ac:dyDescent="0.25">
      <c r="C150" s="7" t="s">
        <v>93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168</v>
      </c>
      <c r="K150" s="30">
        <v>25</v>
      </c>
    </row>
    <row r="151" spans="2:11" s="4" customFormat="1" ht="15.95" hidden="1" customHeight="1" x14ac:dyDescent="0.25">
      <c r="C151" s="7" t="s">
        <v>250</v>
      </c>
      <c r="D151" s="7"/>
      <c r="E151" s="8">
        <f t="shared" si="8"/>
        <v>0</v>
      </c>
      <c r="F151" s="8"/>
      <c r="G151" s="8"/>
      <c r="H151" s="8"/>
      <c r="I151" s="8">
        <v>0</v>
      </c>
      <c r="J151" s="10" t="s">
        <v>168</v>
      </c>
      <c r="K151" s="30">
        <v>20</v>
      </c>
    </row>
    <row r="152" spans="2:11" s="4" customFormat="1" ht="15.95" customHeight="1" x14ac:dyDescent="0.25">
      <c r="C152" s="26" t="s">
        <v>134</v>
      </c>
      <c r="D152" s="27">
        <f>SUM(E153:E165)</f>
        <v>463.88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251</v>
      </c>
      <c r="C153" s="7" t="s">
        <v>19</v>
      </c>
      <c r="D153" s="7"/>
      <c r="E153" s="8">
        <f t="shared" ref="E153:E165" si="9">I153*K153</f>
        <v>0</v>
      </c>
      <c r="F153" s="8"/>
      <c r="G153" s="8"/>
      <c r="H153" s="8"/>
      <c r="I153" s="8">
        <v>0</v>
      </c>
      <c r="J153" s="10" t="s">
        <v>168</v>
      </c>
      <c r="K153" s="30">
        <v>11.9</v>
      </c>
    </row>
    <row r="154" spans="2:11" s="4" customFormat="1" ht="15.95" hidden="1" customHeight="1" x14ac:dyDescent="0.25">
      <c r="B154" s="29" t="s">
        <v>251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168</v>
      </c>
      <c r="K154" s="30">
        <v>50</v>
      </c>
    </row>
    <row r="155" spans="2:11" s="4" customFormat="1" ht="15.95" hidden="1" customHeight="1" x14ac:dyDescent="0.25">
      <c r="B155" s="29" t="s">
        <v>251</v>
      </c>
      <c r="C155" s="7" t="s">
        <v>64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168</v>
      </c>
      <c r="K155" s="30">
        <v>65</v>
      </c>
    </row>
    <row r="156" spans="2:11" s="4" customFormat="1" ht="15.95" hidden="1" customHeight="1" x14ac:dyDescent="0.25">
      <c r="C156" s="7" t="s">
        <v>84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168</v>
      </c>
      <c r="K156" s="30">
        <v>23.81</v>
      </c>
    </row>
    <row r="157" spans="2:11" s="4" customFormat="1" ht="15.95" hidden="1" customHeight="1" x14ac:dyDescent="0.25">
      <c r="C157" s="7" t="s">
        <v>85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168</v>
      </c>
      <c r="K157" s="30">
        <v>14.29</v>
      </c>
    </row>
    <row r="158" spans="2:11" s="4" customFormat="1" ht="15.95" hidden="1" customHeight="1" x14ac:dyDescent="0.25">
      <c r="B158" s="29" t="s">
        <v>251</v>
      </c>
      <c r="C158" s="7" t="s">
        <v>65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168</v>
      </c>
      <c r="K158" s="30">
        <v>10</v>
      </c>
    </row>
    <row r="159" spans="2:11" s="4" customFormat="1" ht="15.95" hidden="1" customHeight="1" x14ac:dyDescent="0.25">
      <c r="B159" s="29" t="s">
        <v>251</v>
      </c>
      <c r="C159" s="7" t="s">
        <v>18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168</v>
      </c>
      <c r="K159" s="30">
        <v>10</v>
      </c>
    </row>
    <row r="160" spans="2:11" s="4" customFormat="1" ht="15.95" hidden="1" customHeight="1" x14ac:dyDescent="0.25">
      <c r="C160" s="7" t="s">
        <v>52</v>
      </c>
      <c r="D160" s="7"/>
      <c r="E160" s="8">
        <f t="shared" si="9"/>
        <v>40</v>
      </c>
      <c r="F160" s="12"/>
      <c r="G160" s="12"/>
      <c r="H160" s="12"/>
      <c r="I160" s="8">
        <v>8</v>
      </c>
      <c r="J160" s="10" t="s">
        <v>168</v>
      </c>
      <c r="K160" s="30">
        <v>5</v>
      </c>
    </row>
    <row r="161" spans="2:11" s="4" customFormat="1" ht="15.95" hidden="1" customHeight="1" x14ac:dyDescent="0.25">
      <c r="B161" s="29" t="s">
        <v>251</v>
      </c>
      <c r="C161" s="7" t="s">
        <v>17</v>
      </c>
      <c r="D161" s="7"/>
      <c r="E161" s="8">
        <f t="shared" si="9"/>
        <v>71.400000000000006</v>
      </c>
      <c r="F161" s="8"/>
      <c r="G161" s="8"/>
      <c r="H161" s="8"/>
      <c r="I161" s="8">
        <v>6</v>
      </c>
      <c r="J161" s="10" t="s">
        <v>168</v>
      </c>
      <c r="K161" s="30">
        <v>11.9</v>
      </c>
    </row>
    <row r="162" spans="2:11" s="4" customFormat="1" ht="15.95" hidden="1" customHeight="1" x14ac:dyDescent="0.25">
      <c r="C162" s="7" t="s">
        <v>57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168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168</v>
      </c>
      <c r="K163" s="30">
        <v>2.38</v>
      </c>
    </row>
    <row r="164" spans="2:11" ht="15.95" hidden="1" customHeight="1" x14ac:dyDescent="0.25">
      <c r="C164" s="7" t="s">
        <v>190</v>
      </c>
      <c r="D164" s="7"/>
      <c r="E164" s="8">
        <f t="shared" si="9"/>
        <v>162</v>
      </c>
      <c r="F164" s="8"/>
      <c r="G164" s="8"/>
      <c r="H164" s="8"/>
      <c r="I164" s="8">
        <v>40</v>
      </c>
      <c r="J164" s="10" t="s">
        <v>152</v>
      </c>
      <c r="K164" s="30">
        <v>4.05</v>
      </c>
    </row>
    <row r="165" spans="2:11" s="4" customFormat="1" ht="15.95" hidden="1" customHeight="1" x14ac:dyDescent="0.25">
      <c r="C165" s="7" t="s">
        <v>160</v>
      </c>
      <c r="D165" s="7"/>
      <c r="E165" s="8">
        <f t="shared" si="9"/>
        <v>190.48</v>
      </c>
      <c r="F165" s="8"/>
      <c r="G165" s="8"/>
      <c r="H165" s="8"/>
      <c r="I165" s="8">
        <v>1</v>
      </c>
      <c r="J165" s="10" t="s">
        <v>168</v>
      </c>
      <c r="K165" s="30">
        <v>190.48</v>
      </c>
    </row>
    <row r="166" spans="2:11" s="4" customFormat="1" ht="15.95" customHeight="1" x14ac:dyDescent="0.25">
      <c r="C166" s="26" t="s">
        <v>208</v>
      </c>
      <c r="D166" s="27">
        <f>SUM(E167:E209)</f>
        <v>539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9" si="10">I167*K167</f>
        <v>180</v>
      </c>
      <c r="F167" s="12"/>
      <c r="G167" s="12"/>
      <c r="H167" s="12"/>
      <c r="I167" s="8">
        <v>12</v>
      </c>
      <c r="J167" s="10" t="s">
        <v>168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168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168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0"/>
        <v>30</v>
      </c>
      <c r="F170" s="12"/>
      <c r="G170" s="12"/>
      <c r="H170" s="12"/>
      <c r="I170" s="8">
        <v>2</v>
      </c>
      <c r="J170" s="10" t="s">
        <v>168</v>
      </c>
      <c r="K170" s="30">
        <v>15</v>
      </c>
    </row>
    <row r="171" spans="2:11" s="4" customFormat="1" ht="15.95" hidden="1" customHeight="1" x14ac:dyDescent="0.25">
      <c r="C171" s="7" t="s">
        <v>83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168</v>
      </c>
      <c r="K171" s="30">
        <v>15</v>
      </c>
    </row>
    <row r="172" spans="2:11" s="4" customFormat="1" ht="15.95" hidden="1" customHeight="1" x14ac:dyDescent="0.25">
      <c r="C172" s="7" t="s">
        <v>181</v>
      </c>
      <c r="D172" s="7"/>
      <c r="E172" s="8">
        <f t="shared" si="10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168</v>
      </c>
      <c r="K172" s="30">
        <v>385</v>
      </c>
    </row>
    <row r="173" spans="2:11" s="4" customFormat="1" ht="15.95" hidden="1" customHeight="1" x14ac:dyDescent="0.25">
      <c r="C173" s="7" t="s">
        <v>82</v>
      </c>
      <c r="D173" s="7"/>
      <c r="E173" s="8">
        <f t="shared" si="10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168</v>
      </c>
      <c r="K173" s="30">
        <v>130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0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168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168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168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168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168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0"/>
        <v>24</v>
      </c>
      <c r="F179" s="12"/>
      <c r="G179" s="12"/>
      <c r="H179" s="12"/>
      <c r="I179" s="8">
        <v>3</v>
      </c>
      <c r="J179" s="10" t="s">
        <v>168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168</v>
      </c>
      <c r="K180" s="30">
        <v>15</v>
      </c>
    </row>
    <row r="181" spans="3:11" s="4" customFormat="1" ht="15.95" hidden="1" customHeight="1" x14ac:dyDescent="0.25">
      <c r="C181" s="7" t="s">
        <v>192</v>
      </c>
      <c r="D181" s="7"/>
      <c r="E181" s="8">
        <f t="shared" si="10"/>
        <v>70</v>
      </c>
      <c r="F181" s="12"/>
      <c r="G181" s="12"/>
      <c r="H181" s="12"/>
      <c r="I181" s="8">
        <v>2</v>
      </c>
      <c r="J181" s="10" t="s">
        <v>168</v>
      </c>
      <c r="K181" s="30">
        <v>35</v>
      </c>
    </row>
    <row r="182" spans="3:11" s="4" customFormat="1" ht="15.95" hidden="1" customHeight="1" x14ac:dyDescent="0.25">
      <c r="C182" s="7" t="s">
        <v>62</v>
      </c>
      <c r="D182" s="7"/>
      <c r="E182" s="8">
        <f t="shared" si="10"/>
        <v>0</v>
      </c>
      <c r="F182" s="12"/>
      <c r="G182" s="12"/>
      <c r="H182" s="12"/>
      <c r="I182" s="8">
        <v>0</v>
      </c>
      <c r="J182" s="10" t="s">
        <v>168</v>
      </c>
      <c r="K182" s="30">
        <v>85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0"/>
        <v>35</v>
      </c>
      <c r="F183" s="12"/>
      <c r="G183" s="12"/>
      <c r="H183" s="12"/>
      <c r="I183" s="8">
        <v>1</v>
      </c>
      <c r="J183" s="10" t="s">
        <v>168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168</v>
      </c>
      <c r="K184" s="30">
        <v>25</v>
      </c>
    </row>
    <row r="185" spans="3:11" s="4" customFormat="1" ht="15.95" hidden="1" customHeight="1" x14ac:dyDescent="0.25">
      <c r="C185" s="7" t="s">
        <v>137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168</v>
      </c>
      <c r="K185" s="30">
        <v>35</v>
      </c>
    </row>
    <row r="186" spans="3:11" s="4" customFormat="1" ht="15.95" hidden="1" customHeight="1" x14ac:dyDescent="0.25">
      <c r="C186" s="7" t="s">
        <v>48</v>
      </c>
      <c r="D186" s="7"/>
      <c r="E186" s="8">
        <f t="shared" ref="E186" si="11">I186*K186</f>
        <v>12</v>
      </c>
      <c r="F186" s="12"/>
      <c r="G186" s="12"/>
      <c r="H186" s="12"/>
      <c r="I186" s="8">
        <v>1</v>
      </c>
      <c r="J186" s="10" t="s">
        <v>168</v>
      </c>
      <c r="K186" s="30">
        <v>12</v>
      </c>
    </row>
    <row r="187" spans="3:11" s="4" customFormat="1" ht="15.95" hidden="1" customHeight="1" x14ac:dyDescent="0.25">
      <c r="C187" s="7" t="s">
        <v>273</v>
      </c>
      <c r="D187" s="7"/>
      <c r="E187" s="8">
        <f t="shared" si="10"/>
        <v>95</v>
      </c>
      <c r="F187" s="12"/>
      <c r="G187" s="12"/>
      <c r="H187" s="12"/>
      <c r="I187" s="8">
        <v>1</v>
      </c>
      <c r="J187" s="10" t="s">
        <v>168</v>
      </c>
      <c r="K187" s="30">
        <v>95</v>
      </c>
    </row>
    <row r="188" spans="3:11" s="4" customFormat="1" ht="15.95" hidden="1" customHeight="1" x14ac:dyDescent="0.25">
      <c r="C188" s="7" t="s">
        <v>49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168</v>
      </c>
      <c r="K188" s="30">
        <v>25</v>
      </c>
    </row>
    <row r="189" spans="3:11" s="4" customFormat="1" ht="15.95" hidden="1" customHeight="1" x14ac:dyDescent="0.25">
      <c r="C189" s="7" t="s">
        <v>55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168</v>
      </c>
      <c r="K189" s="30">
        <v>150</v>
      </c>
    </row>
    <row r="190" spans="3:11" s="4" customFormat="1" ht="15.95" hidden="1" customHeight="1" x14ac:dyDescent="0.25">
      <c r="C190" s="7" t="s">
        <v>209</v>
      </c>
      <c r="D190" s="7"/>
      <c r="E190" s="8">
        <f t="shared" si="10"/>
        <v>0</v>
      </c>
      <c r="F190" s="8"/>
      <c r="G190" s="8"/>
      <c r="H190" s="8"/>
      <c r="I190" s="8">
        <v>0</v>
      </c>
      <c r="J190" s="10" t="s">
        <v>168</v>
      </c>
      <c r="K190" s="30">
        <v>15</v>
      </c>
    </row>
    <row r="191" spans="3:11" s="4" customFormat="1" ht="15.95" hidden="1" customHeight="1" x14ac:dyDescent="0.25">
      <c r="C191" s="7" t="s">
        <v>161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168</v>
      </c>
      <c r="K191" s="30">
        <v>15</v>
      </c>
    </row>
    <row r="192" spans="3:11" s="4" customFormat="1" ht="15.95" hidden="1" customHeight="1" x14ac:dyDescent="0.25">
      <c r="C192" s="7" t="s">
        <v>210</v>
      </c>
      <c r="D192" s="7"/>
      <c r="E192" s="8">
        <f t="shared" si="10"/>
        <v>0</v>
      </c>
      <c r="F192" s="12"/>
      <c r="G192" s="12"/>
      <c r="H192" s="12"/>
      <c r="I192" s="8">
        <v>0</v>
      </c>
      <c r="J192" s="10" t="s">
        <v>168</v>
      </c>
      <c r="K192" s="30">
        <v>600</v>
      </c>
    </row>
    <row r="193" spans="2:11" s="4" customFormat="1" ht="15.95" hidden="1" customHeight="1" x14ac:dyDescent="0.25">
      <c r="C193" s="7" t="s">
        <v>211</v>
      </c>
      <c r="D193" s="7"/>
      <c r="E193" s="8">
        <f t="shared" si="10"/>
        <v>85</v>
      </c>
      <c r="F193" s="8"/>
      <c r="G193" s="8"/>
      <c r="H193" s="8"/>
      <c r="I193" s="8">
        <v>1</v>
      </c>
      <c r="J193" s="10" t="s">
        <v>168</v>
      </c>
      <c r="K193" s="30">
        <v>85</v>
      </c>
    </row>
    <row r="194" spans="2:11" s="4" customFormat="1" ht="15.95" hidden="1" customHeight="1" x14ac:dyDescent="0.25">
      <c r="C194" s="7" t="s">
        <v>260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168</v>
      </c>
      <c r="K194" s="30">
        <v>210</v>
      </c>
    </row>
    <row r="195" spans="2:11" s="4" customFormat="1" ht="15.95" hidden="1" customHeight="1" x14ac:dyDescent="0.25">
      <c r="C195" s="7" t="s">
        <v>89</v>
      </c>
      <c r="D195" s="7"/>
      <c r="E195" s="8">
        <f t="shared" si="10"/>
        <v>8</v>
      </c>
      <c r="F195" s="8"/>
      <c r="G195" s="8"/>
      <c r="H195" s="8"/>
      <c r="I195" s="8">
        <v>1</v>
      </c>
      <c r="J195" s="10" t="s">
        <v>168</v>
      </c>
      <c r="K195" s="30">
        <v>8</v>
      </c>
    </row>
    <row r="196" spans="2:11" s="4" customFormat="1" ht="15.95" hidden="1" customHeight="1" x14ac:dyDescent="0.25">
      <c r="C196" s="7" t="s">
        <v>75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168</v>
      </c>
      <c r="K196" s="30">
        <v>15</v>
      </c>
    </row>
    <row r="197" spans="2:11" s="4" customFormat="1" ht="15.95" hidden="1" customHeight="1" x14ac:dyDescent="0.25">
      <c r="C197" s="7" t="s">
        <v>86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168</v>
      </c>
      <c r="K197" s="30">
        <v>15</v>
      </c>
    </row>
    <row r="198" spans="2:11" s="4" customFormat="1" ht="15.95" hidden="1" customHeight="1" x14ac:dyDescent="0.25">
      <c r="B198" s="29" t="s">
        <v>251</v>
      </c>
      <c r="C198" s="7" t="s">
        <v>87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168</v>
      </c>
      <c r="K198" s="30">
        <v>25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168</v>
      </c>
      <c r="K199" s="30">
        <v>85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168</v>
      </c>
      <c r="K200" s="30">
        <v>15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168</v>
      </c>
      <c r="K201" s="30">
        <v>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168</v>
      </c>
      <c r="K202" s="30">
        <v>12</v>
      </c>
    </row>
    <row r="203" spans="2:11" s="4" customFormat="1" ht="15.95" hidden="1" customHeight="1" x14ac:dyDescent="0.25">
      <c r="C203" s="7" t="s">
        <v>95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168</v>
      </c>
      <c r="K203" s="30">
        <v>25</v>
      </c>
    </row>
    <row r="204" spans="2:11" s="4" customFormat="1" ht="15.95" hidden="1" customHeight="1" x14ac:dyDescent="0.25">
      <c r="C204" s="7" t="s">
        <v>96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168</v>
      </c>
      <c r="K204" s="30">
        <v>20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168</v>
      </c>
      <c r="K205" s="30">
        <v>6</v>
      </c>
    </row>
    <row r="206" spans="2:11" s="4" customFormat="1" ht="15.95" hidden="1" customHeight="1" x14ac:dyDescent="0.25">
      <c r="C206" s="7" t="s">
        <v>125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168</v>
      </c>
      <c r="K206" s="30">
        <v>3</v>
      </c>
    </row>
    <row r="207" spans="2:11" s="4" customFormat="1" ht="15.95" hidden="1" customHeight="1" x14ac:dyDescent="0.25">
      <c r="C207" s="7" t="s">
        <v>126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168</v>
      </c>
      <c r="K207" s="30">
        <v>35</v>
      </c>
    </row>
    <row r="208" spans="2:11" s="4" customFormat="1" ht="15.95" hidden="1" customHeight="1" x14ac:dyDescent="0.25">
      <c r="C208" s="7" t="s">
        <v>249</v>
      </c>
      <c r="D208" s="7"/>
      <c r="E208" s="8">
        <f t="shared" si="10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168</v>
      </c>
      <c r="K208" s="30">
        <v>20</v>
      </c>
    </row>
    <row r="209" spans="3:11" s="4" customFormat="1" ht="15.95" hidden="1" customHeight="1" x14ac:dyDescent="0.25">
      <c r="C209" s="7" t="s">
        <v>248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168</v>
      </c>
      <c r="K209" s="30">
        <v>85</v>
      </c>
    </row>
    <row r="210" spans="3:11" s="4" customFormat="1" ht="15.95" customHeight="1" x14ac:dyDescent="0.25">
      <c r="C210" s="26" t="s">
        <v>185</v>
      </c>
      <c r="D210" s="27">
        <f>SUM(E211:E221)</f>
        <v>475.1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246</v>
      </c>
      <c r="D211" s="7"/>
      <c r="E211" s="8">
        <f t="shared" ref="E211:E221" si="12">I211*K211</f>
        <v>0</v>
      </c>
      <c r="F211" s="8">
        <v>1</v>
      </c>
      <c r="G211" s="8">
        <v>1</v>
      </c>
      <c r="H211" s="12"/>
      <c r="I211" s="8">
        <v>0</v>
      </c>
      <c r="J211" s="10" t="s">
        <v>113</v>
      </c>
      <c r="K211" s="30">
        <v>10.71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2"/>
        <v>123.84</v>
      </c>
      <c r="F212" s="8">
        <v>1</v>
      </c>
      <c r="G212" s="8">
        <v>1</v>
      </c>
      <c r="H212" s="12"/>
      <c r="I212" s="8">
        <v>8</v>
      </c>
      <c r="J212" s="10" t="s">
        <v>113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2"/>
        <v>216.72</v>
      </c>
      <c r="F213" s="8">
        <v>1</v>
      </c>
      <c r="G213" s="8">
        <v>1</v>
      </c>
      <c r="H213" s="12"/>
      <c r="I213" s="8">
        <v>14</v>
      </c>
      <c r="J213" s="10" t="s">
        <v>113</v>
      </c>
      <c r="K213" s="30">
        <v>15.48</v>
      </c>
    </row>
    <row r="214" spans="3:11" s="4" customFormat="1" ht="15.95" hidden="1" customHeight="1" x14ac:dyDescent="0.25">
      <c r="C214" s="7" t="s">
        <v>193</v>
      </c>
      <c r="D214" s="7"/>
      <c r="E214" s="8">
        <f t="shared" si="12"/>
        <v>39.299999999999997</v>
      </c>
      <c r="F214" s="8">
        <v>1</v>
      </c>
      <c r="G214" s="8">
        <v>1</v>
      </c>
      <c r="H214" s="12"/>
      <c r="I214" s="8">
        <v>3</v>
      </c>
      <c r="J214" s="10" t="s">
        <v>113</v>
      </c>
      <c r="K214" s="30">
        <v>13.1</v>
      </c>
    </row>
    <row r="215" spans="3:11" s="4" customFormat="1" ht="15.95" hidden="1" customHeight="1" x14ac:dyDescent="0.25">
      <c r="C215" s="7" t="s">
        <v>261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113</v>
      </c>
      <c r="K215" s="30">
        <v>95.24</v>
      </c>
    </row>
    <row r="216" spans="3:11" s="4" customFormat="1" ht="15.95" hidden="1" customHeight="1" x14ac:dyDescent="0.25">
      <c r="C216" s="7" t="s">
        <v>262</v>
      </c>
      <c r="D216" s="7"/>
      <c r="E216" s="8">
        <f t="shared" si="12"/>
        <v>95.24</v>
      </c>
      <c r="F216" s="8">
        <v>1</v>
      </c>
      <c r="G216" s="8">
        <v>1</v>
      </c>
      <c r="H216" s="12"/>
      <c r="I216" s="8">
        <v>2</v>
      </c>
      <c r="J216" s="10" t="s">
        <v>113</v>
      </c>
      <c r="K216" s="30">
        <v>47.62</v>
      </c>
    </row>
    <row r="217" spans="3:11" s="4" customFormat="1" ht="15.95" hidden="1" customHeight="1" x14ac:dyDescent="0.25">
      <c r="C217" s="7" t="s">
        <v>72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113</v>
      </c>
      <c r="K217" s="30">
        <v>35.71</v>
      </c>
    </row>
    <row r="218" spans="3:11" s="4" customFormat="1" ht="15.95" hidden="1" customHeight="1" x14ac:dyDescent="0.25">
      <c r="C218" s="7" t="s">
        <v>124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113</v>
      </c>
      <c r="K218" s="30">
        <v>28.57</v>
      </c>
    </row>
    <row r="219" spans="3:11" s="4" customFormat="1" ht="15.95" hidden="1" customHeight="1" x14ac:dyDescent="0.25">
      <c r="C219" s="7" t="s">
        <v>53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113</v>
      </c>
      <c r="K219" s="30">
        <v>13.1</v>
      </c>
    </row>
    <row r="220" spans="3:11" s="4" customFormat="1" ht="15.95" hidden="1" customHeight="1" x14ac:dyDescent="0.25">
      <c r="C220" s="7" t="s">
        <v>247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113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113</v>
      </c>
      <c r="K221" s="30">
        <v>10.71</v>
      </c>
    </row>
    <row r="222" spans="3:11" s="4" customFormat="1" ht="15.95" customHeight="1" x14ac:dyDescent="0.25">
      <c r="C222" s="26" t="s">
        <v>184</v>
      </c>
      <c r="D222" s="27">
        <f>SUM(E223:E261)</f>
        <v>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22</v>
      </c>
      <c r="D223" s="7"/>
      <c r="E223" s="8">
        <f t="shared" ref="E223:E261" si="13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168</v>
      </c>
      <c r="K223" s="30">
        <v>320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168</v>
      </c>
      <c r="K224" s="30">
        <v>210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168</v>
      </c>
      <c r="K225" s="30">
        <v>180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168</v>
      </c>
      <c r="K226" s="30">
        <v>180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168</v>
      </c>
      <c r="K227" s="30">
        <v>110</v>
      </c>
    </row>
    <row r="228" spans="3:11" s="4" customFormat="1" ht="15.95" hidden="1" customHeight="1" x14ac:dyDescent="0.25">
      <c r="C228" s="7" t="s">
        <v>219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168</v>
      </c>
      <c r="K228" s="30">
        <v>310</v>
      </c>
    </row>
    <row r="229" spans="3:11" s="4" customFormat="1" ht="15.95" hidden="1" customHeight="1" x14ac:dyDescent="0.25">
      <c r="C229" s="7" t="s">
        <v>220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168</v>
      </c>
      <c r="K229" s="30">
        <v>160</v>
      </c>
    </row>
    <row r="230" spans="3:11" s="4" customFormat="1" ht="15.95" hidden="1" customHeight="1" x14ac:dyDescent="0.25">
      <c r="C230" s="7" t="s">
        <v>60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168</v>
      </c>
      <c r="K230" s="30">
        <v>10</v>
      </c>
    </row>
    <row r="231" spans="3:11" s="4" customFormat="1" ht="15.95" hidden="1" customHeight="1" x14ac:dyDescent="0.25">
      <c r="C231" s="7" t="s">
        <v>224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168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168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168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168</v>
      </c>
      <c r="K234" s="30">
        <v>220</v>
      </c>
    </row>
    <row r="235" spans="3:11" s="4" customFormat="1" ht="15.95" hidden="1" customHeight="1" x14ac:dyDescent="0.25">
      <c r="C235" s="7" t="s">
        <v>183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168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168</v>
      </c>
      <c r="K236" s="30">
        <v>250</v>
      </c>
    </row>
    <row r="237" spans="3:11" s="4" customFormat="1" ht="15.95" hidden="1" customHeight="1" x14ac:dyDescent="0.25">
      <c r="C237" s="7" t="s">
        <v>212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168</v>
      </c>
      <c r="K237" s="30">
        <v>390</v>
      </c>
    </row>
    <row r="238" spans="3:11" s="4" customFormat="1" ht="15.95" hidden="1" customHeight="1" x14ac:dyDescent="0.25">
      <c r="C238" s="7" t="s">
        <v>238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168</v>
      </c>
      <c r="K238" s="30">
        <v>460</v>
      </c>
    </row>
    <row r="239" spans="3:11" s="4" customFormat="1" ht="15.95" hidden="1" customHeight="1" x14ac:dyDescent="0.25">
      <c r="C239" s="7" t="s">
        <v>213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168</v>
      </c>
      <c r="K239" s="30">
        <v>850</v>
      </c>
    </row>
    <row r="240" spans="3:11" s="4" customFormat="1" ht="15.95" hidden="1" customHeight="1" x14ac:dyDescent="0.25">
      <c r="C240" s="7" t="s">
        <v>189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168</v>
      </c>
      <c r="K240" s="30">
        <v>1400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168</v>
      </c>
      <c r="K241" s="30">
        <v>360</v>
      </c>
    </row>
    <row r="242" spans="3:11" s="4" customFormat="1" ht="15.95" hidden="1" customHeight="1" x14ac:dyDescent="0.25">
      <c r="C242" s="7" t="s">
        <v>243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168</v>
      </c>
      <c r="K242" s="30">
        <v>550</v>
      </c>
    </row>
    <row r="243" spans="3:11" s="4" customFormat="1" ht="15.95" hidden="1" customHeight="1" x14ac:dyDescent="0.25">
      <c r="C243" s="7" t="s">
        <v>244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168</v>
      </c>
      <c r="K243" s="30">
        <v>580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168</v>
      </c>
      <c r="K244" s="30">
        <v>680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168</v>
      </c>
      <c r="K245" s="30">
        <v>750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168</v>
      </c>
      <c r="K246" s="30">
        <v>340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168</v>
      </c>
      <c r="K247" s="30">
        <v>160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168</v>
      </c>
      <c r="K248" s="30">
        <v>130</v>
      </c>
    </row>
    <row r="249" spans="3:11" s="4" customFormat="1" ht="15.95" hidden="1" customHeight="1" x14ac:dyDescent="0.25">
      <c r="C249" s="7" t="s">
        <v>229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168</v>
      </c>
      <c r="K249" s="30">
        <v>130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168</v>
      </c>
      <c r="K250" s="30">
        <v>400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168</v>
      </c>
      <c r="K251" s="30">
        <v>260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168</v>
      </c>
      <c r="K252" s="30">
        <v>180</v>
      </c>
    </row>
    <row r="253" spans="3:11" s="4" customFormat="1" ht="15.95" hidden="1" customHeight="1" x14ac:dyDescent="0.25">
      <c r="C253" s="7" t="s">
        <v>234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168</v>
      </c>
      <c r="K253" s="30">
        <v>120</v>
      </c>
    </row>
    <row r="254" spans="3:11" s="4" customFormat="1" ht="15.95" hidden="1" customHeight="1" x14ac:dyDescent="0.25">
      <c r="C254" s="7" t="s">
        <v>235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168</v>
      </c>
      <c r="K254" s="30">
        <v>220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168</v>
      </c>
      <c r="K255" s="30">
        <v>230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231</v>
      </c>
      <c r="K256" s="30">
        <v>500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168</v>
      </c>
      <c r="K257" s="30">
        <v>180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168</v>
      </c>
      <c r="K258" s="30">
        <v>260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168</v>
      </c>
      <c r="K259" s="30">
        <v>6500</v>
      </c>
    </row>
    <row r="260" spans="3:11" s="4" customFormat="1" ht="15.95" hidden="1" customHeight="1" x14ac:dyDescent="0.25">
      <c r="C260" s="7" t="s">
        <v>223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168</v>
      </c>
      <c r="K260" s="30">
        <v>8800</v>
      </c>
    </row>
    <row r="261" spans="3:11" s="4" customFormat="1" ht="15.95" hidden="1" customHeight="1" x14ac:dyDescent="0.25">
      <c r="C261" s="7" t="s">
        <v>222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168</v>
      </c>
      <c r="K261" s="30">
        <v>1050</v>
      </c>
    </row>
    <row r="262" spans="3:11" s="22" customFormat="1" ht="15.95" customHeight="1" x14ac:dyDescent="0.25">
      <c r="C262" s="32" t="s">
        <v>150</v>
      </c>
      <c r="D262" s="33">
        <f>SUM(E263)</f>
        <v>8500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8500</v>
      </c>
      <c r="F263" s="24"/>
      <c r="G263" s="24"/>
      <c r="H263" s="24"/>
      <c r="I263" s="24">
        <v>1</v>
      </c>
      <c r="J263" s="25" t="s">
        <v>168</v>
      </c>
      <c r="K263" s="48">
        <v>8500</v>
      </c>
    </row>
    <row r="264" spans="3:11" s="22" customFormat="1" ht="15.95" customHeight="1" x14ac:dyDescent="0.25">
      <c r="C264" s="32" t="s">
        <v>148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151</v>
      </c>
      <c r="K265" s="48">
        <v>1250</v>
      </c>
    </row>
    <row r="266" spans="3:11" s="22" customFormat="1" ht="15.95" customHeight="1" x14ac:dyDescent="0.25">
      <c r="C266" s="32" t="s">
        <v>149</v>
      </c>
      <c r="D266" s="33">
        <f>SUM(E267)</f>
        <v>1500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1500</v>
      </c>
      <c r="F267" s="41"/>
      <c r="G267" s="41"/>
      <c r="H267" s="41"/>
      <c r="I267" s="24">
        <v>1</v>
      </c>
      <c r="J267" s="25" t="s">
        <v>168</v>
      </c>
      <c r="K267" s="48">
        <v>1500</v>
      </c>
    </row>
    <row r="268" spans="3:11" s="22" customFormat="1" ht="15.95" customHeight="1" x14ac:dyDescent="0.25">
      <c r="C268" s="32" t="s">
        <v>214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168</v>
      </c>
      <c r="K269" s="48">
        <v>1200</v>
      </c>
    </row>
    <row r="270" spans="3:11" s="22" customFormat="1" ht="15.95" customHeight="1" x14ac:dyDescent="0.25">
      <c r="C270" s="32" t="s">
        <v>267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266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168</v>
      </c>
      <c r="K271" s="48">
        <v>0</v>
      </c>
    </row>
    <row r="272" spans="3:11" ht="15.95" customHeight="1" thickBot="1" x14ac:dyDescent="0.3">
      <c r="C272" s="18" t="s">
        <v>58</v>
      </c>
      <c r="D272" s="14">
        <f>SUM(D2:D271)</f>
        <v>19122.61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2025-06-05T14:00:35Z</dcterms:modified>
</cp:coreProperties>
</file>