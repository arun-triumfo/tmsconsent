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CJR Renewables @ Intersolar 2026\2026-04-18\Standard Cost\"/>
    </mc:Choice>
  </mc:AlternateContent>
  <xr:revisionPtr revIDLastSave="0" documentId="13_ncr:1_{4132930D-051F-4545-B45D-481AED6188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Europe!$C$1:$K$274</definedName>
    <definedName name="_xlnm.Print_Area" localSheetId="0">Europe!$A$1:$H$274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2" i="1" l="1"/>
  <c r="E43" i="1"/>
  <c r="E113" i="1" l="1"/>
  <c r="E112" i="1"/>
  <c r="E26" i="1"/>
  <c r="E267" i="1" l="1"/>
  <c r="D266" i="1" s="1"/>
  <c r="E137" i="1" l="1"/>
  <c r="E273" i="1" l="1"/>
  <c r="D272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71" i="1" l="1"/>
  <c r="D270" i="1" s="1"/>
  <c r="E269" i="1"/>
  <c r="D268" i="1" s="1"/>
  <c r="E265" i="1"/>
  <c r="D264" i="1" s="1"/>
  <c r="E263" i="1"/>
  <c r="D262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4" i="1" l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5" i="1" l="1"/>
  <c r="E68" i="1" l="1"/>
  <c r="E69" i="1"/>
  <c r="E72" i="1"/>
  <c r="E75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3" i="1"/>
  <c r="D222" i="1" s="1"/>
  <c r="D16" i="1" l="1"/>
  <c r="D152" i="1"/>
  <c r="D133" i="1"/>
  <c r="D144" i="1"/>
  <c r="D109" i="1"/>
  <c r="D274" i="1" l="1"/>
</calcChain>
</file>

<file path=xl/sharedStrings.xml><?xml version="1.0" encoding="utf-8"?>
<sst xmlns="http://schemas.openxmlformats.org/spreadsheetml/2006/main" count="589" uniqueCount="285">
  <si>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</si>
  <si>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</si>
  <si>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</si>
  <si>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</si>
  <si>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</si>
  <si>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</si>
  <si>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</si>
  <si>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</si>
  <si>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</si>
  <si>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</si>
  <si>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</si>
  <si>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</si>
  <si>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</si>
  <si>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</si>
  <si>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</si>
  <si>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</si>
  <si>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</si>
  <si>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</si>
  <si>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</si>
  <si>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</si>
  <si>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</si>
  <si>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</si>
  <si>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</si>
  <si>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</si>
  <si>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</si>
  <si>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</si>
  <si>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</si>
  <si>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</si>
  <si>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</si>
  <si>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</si>
  <si>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</si>
  <si>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</si>
  <si>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</si>
  <si>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</si>
  <si>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</si>
  <si>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</si>
  <si>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</si>
  <si>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</si>
  <si>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</si>
  <si>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</si>
  <si>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</si>
  <si>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</si>
  <si>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</si>
  <si>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</si>
  <si>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</si>
  <si>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</si>
  <si>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</si>
  <si>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</si>
  <si>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</si>
  <si>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</si>
  <si>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</si>
  <si>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</si>
  <si>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</si>
  <si>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</si>
  <si>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</si>
  <si>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</si>
  <si>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</si>
  <si>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</si>
  <si>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</si>
  <si>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</si>
  <si>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</si>
  <si>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</si>
  <si>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</si>
  <si>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</si>
  <si>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</si>
  <si>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</si>
  <si>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</si>
  <si>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</si>
  <si>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</si>
  <si>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</si>
  <si>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</si>
  <si>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</si>
  <si>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</si>
  <si>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</si>
  <si>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</si>
  <si>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</si>
  <si>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</si>
  <si>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</si>
  <si>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</si>
  <si>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</si>
  <si>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</si>
  <si>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</si>
  <si>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</si>
  <si>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</si>
  <si>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</si>
  <si>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</si>
  <si>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</si>
  <si>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</si>
  <si>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</si>
  <si>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</si>
  <si>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</si>
  <si>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</si>
  <si>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</si>
  <si>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</si>
  <si>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</si>
  <si>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</si>
  <si>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</si>
  <si>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</si>
  <si>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</si>
  <si>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</si>
  <si>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</si>
  <si>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</si>
  <si>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</si>
  <si>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</si>
  <si>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</si>
  <si>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</si>
  <si>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</si>
  <si>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</si>
  <si>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</si>
  <si>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</si>
  <si>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</si>
  <si>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</si>
  <si>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</si>
  <si>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</si>
  <si>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</si>
  <si>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</si>
  <si>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</si>
  <si>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</si>
  <si>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</si>
  <si>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</si>
  <si>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</si>
  <si>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</si>
  <si>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</si>
  <si>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</si>
  <si>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</si>
  <si>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</si>
  <si>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</si>
  <si>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</si>
  <si>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</si>
  <si>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</si>
  <si>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</si>
  <si>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</si>
  <si>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</si>
  <si>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</si>
  <si>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</si>
  <si>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</si>
  <si>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</si>
  <si>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</si>
  <si>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</si>
  <si>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</si>
  <si>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</si>
  <si>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</si>
  <si>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</si>
  <si>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</si>
  <si>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</si>
  <si>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</si>
  <si>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</si>
  <si>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</si>
  <si>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</si>
  <si>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</si>
  <si>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</si>
  <si>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</si>
  <si>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</si>
  <si>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</si>
  <si>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</si>
  <si>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</si>
  <si>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</si>
  <si>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</si>
  <si>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</si>
  <si>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</si>
  <si>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</si>
  <si>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</si>
  <si>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</si>
  <si>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</si>
  <si>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</si>
  <si>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</si>
  <si>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</si>
  <si>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</si>
  <si>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</si>
  <si>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</si>
  <si>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</si>
  <si>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</si>
  <si>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</si>
  <si>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</si>
  <si>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</si>
  <si>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</si>
  <si>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</si>
  <si>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</si>
  <si>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</si>
  <si>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</si>
  <si>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</si>
  <si>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</si>
  <si>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</si>
  <si>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</si>
  <si>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</si>
  <si>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</si>
  <si>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</si>
  <si>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</si>
  <si>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</si>
  <si>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</si>
  <si>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</si>
  <si>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</si>
  <si>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</si>
  <si>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</si>
  <si>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</si>
  <si>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</si>
  <si>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</si>
  <si>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</si>
  <si>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</si>
  <si>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</si>
  <si>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</si>
  <si>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</si>
  <si>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</si>
  <si>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</si>
  <si>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</si>
  <si>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</si>
  <si>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</si>
  <si>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</si>
  <si>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</si>
  <si>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</si>
  <si>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</si>
  <si>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</si>
  <si>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</si>
  <si>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</si>
  <si>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</si>
  <si>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</si>
  <si>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</si>
  <si>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</si>
  <si>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</si>
  <si>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</si>
  <si>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</si>
  <si>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</si>
  <si>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</si>
  <si>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</si>
  <si>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</si>
  <si>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</si>
  <si>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</si>
  <si>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</si>
  <si>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</si>
  <si>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</si>
  <si>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</si>
  <si>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</si>
  <si>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</si>
  <si>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</si>
  <si>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</si>
  <si>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</si>
  <si>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</si>
  <si>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</si>
  <si>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</si>
  <si>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</si>
  <si>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</si>
  <si>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</si>
  <si>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</si>
  <si>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</si>
  <si>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</si>
  <si>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</si>
  <si>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</si>
  <si>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</si>
  <si>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</si>
  <si>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</si>
  <si>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</si>
  <si>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</si>
  <si>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</si>
  <si>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</si>
  <si>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</si>
  <si>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</si>
  <si>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</si>
  <si>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</si>
  <si>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</si>
  <si>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</si>
  <si>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</si>
  <si>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</si>
  <si>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</si>
  <si>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</si>
  <si>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</si>
  <si>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</si>
  <si>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</si>
  <si>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</si>
  <si>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</si>
  <si>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</si>
  <si>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</si>
  <si>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(Laminated)- 3.0 x 0.5 x 1.0</t>
  </si>
  <si>
    <t>Opt Nr:-  1</t>
  </si>
  <si>
    <t>CJR Renewables</t>
  </si>
  <si>
    <t>INTERSOLAR 2026</t>
  </si>
  <si>
    <t>8M X 5M</t>
  </si>
  <si>
    <t>40 SQM</t>
  </si>
  <si>
    <t>23. – 25.06.2026</t>
  </si>
  <si>
    <t>MUNICH</t>
  </si>
  <si>
    <t xml:space="preserve">1 GENIE LIFT </t>
  </si>
  <si>
    <t>Date:- 18-04-2026</t>
  </si>
  <si>
    <t>Bar Counter (Laminated)- 2.0 x 0.5 x 1.0</t>
  </si>
  <si>
    <t>GREEN WALL</t>
  </si>
  <si>
    <t>FABRIC</t>
  </si>
  <si>
    <t>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</si>
</sst>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1039108</xdr:colOff>
      <xdr:row>271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37745-759E-4C1B-B2D5-C71C6EED6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096383" cy="1819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5"/>
  <sheetViews>
    <sheetView tabSelected="1" zoomScaleNormal="100" zoomScaleSheetLayoutView="85" workbookViewId="0">
      <pane ySplit="1" topLeftCell="A2" activePane="bottomLeft" state="frozen"/>
      <selection pane="bottomLeft" activeCell="D276" sqref="D27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272</v>
      </c>
      <c r="B1" s="31" t="s">
        <v>280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273</v>
      </c>
      <c r="C2" s="26" t="s">
        <v>150</v>
      </c>
      <c r="D2" s="27">
        <f>SUM(E3:E11)</f>
        <v>1612.95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600.17999999999995</v>
      </c>
      <c r="F5" s="8"/>
      <c r="G5" s="8"/>
      <c r="H5" s="8"/>
      <c r="I5" s="9">
        <v>42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960.12</v>
      </c>
      <c r="F8" s="8"/>
      <c r="G8" s="8"/>
      <c r="H8" s="8"/>
      <c r="I8" s="9">
        <v>42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52.65</v>
      </c>
      <c r="F9" s="8"/>
      <c r="G9" s="8"/>
      <c r="H9" s="8"/>
      <c r="I9" s="9">
        <v>13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274</v>
      </c>
      <c r="C12" s="26" t="s">
        <v>193</v>
      </c>
      <c r="D12" s="52">
        <f>SUM(E13:E15)</f>
        <v>365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278</v>
      </c>
      <c r="C16" s="26" t="s">
        <v>183</v>
      </c>
      <c r="D16" s="27">
        <f>SUM(E17:E87)</f>
        <v>2894.99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ref="E26" si="2">I26*K26</f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69.709999999999994</v>
      </c>
    </row>
    <row r="28" spans="2:11" ht="15.95" hidden="1" customHeight="1" x14ac:dyDescent="0.25">
      <c r="C28" s="7" t="s">
        <v>98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104.86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2:11" ht="15.95" hidden="1" customHeight="1" x14ac:dyDescent="0.25">
      <c r="B31" s="29" t="s">
        <v>248</v>
      </c>
      <c r="C31" s="7" t="s">
        <v>66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83.81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ref="E43" si="3">I43*K43</f>
        <v>774.96999999999991</v>
      </c>
      <c r="F43" s="8">
        <v>1</v>
      </c>
      <c r="G43" s="8">
        <v>0.1</v>
      </c>
      <c r="H43" s="8">
        <v>5</v>
      </c>
      <c r="I43" s="9">
        <v>7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2:11" ht="15.95" hidden="1" customHeight="1" x14ac:dyDescent="0.25">
      <c r="C50" s="7" t="s">
        <v>94</v>
      </c>
      <c r="D50" s="7"/>
      <c r="E50" s="8">
        <f t="shared" ref="E50:E81" si="4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2:11" ht="15.95" hidden="1" customHeight="1" x14ac:dyDescent="0.25">
      <c r="C51" s="7" t="s">
        <v>95</v>
      </c>
      <c r="D51" s="7"/>
      <c r="E51" s="8">
        <f t="shared" si="4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4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4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4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4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2:11" ht="15.95" hidden="1" customHeight="1" x14ac:dyDescent="0.25">
      <c r="B56" s="29" t="s">
        <v>248</v>
      </c>
      <c r="C56" s="7" t="s">
        <v>36</v>
      </c>
      <c r="D56" s="7"/>
      <c r="E56" s="8">
        <f t="shared" si="4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4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4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4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4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C61" s="7" t="s">
        <v>105</v>
      </c>
      <c r="D61" s="7"/>
      <c r="E61" s="8">
        <f t="shared" si="4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4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4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4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4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4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4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4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4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4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4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B72" s="29" t="s">
        <v>248</v>
      </c>
      <c r="C72" s="7" t="s">
        <v>67</v>
      </c>
      <c r="D72" s="7"/>
      <c r="E72" s="8">
        <f t="shared" si="4"/>
        <v>1448.5900000000001</v>
      </c>
      <c r="F72" s="8">
        <v>1</v>
      </c>
      <c r="G72" s="8">
        <v>0.2</v>
      </c>
      <c r="H72" s="8">
        <v>5</v>
      </c>
      <c r="I72" s="9">
        <v>13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4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4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4"/>
        <v>671.43000000000006</v>
      </c>
      <c r="F75" s="8">
        <v>1</v>
      </c>
      <c r="G75" s="8">
        <v>0.2</v>
      </c>
      <c r="H75" s="8">
        <v>5</v>
      </c>
      <c r="I75" s="9">
        <v>3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4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4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4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4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4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4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5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5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5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5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277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6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6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6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6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6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6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6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6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6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6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6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6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6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6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6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275</v>
      </c>
      <c r="C109" s="26" t="s">
        <v>195</v>
      </c>
      <c r="D109" s="27">
        <f>SUM(E110:E132)</f>
        <v>685.71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2" si="7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7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ref="E112:E113" si="8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8"/>
        <v>400</v>
      </c>
      <c r="F113" s="8">
        <v>3</v>
      </c>
      <c r="G113" s="8">
        <v>0.5</v>
      </c>
      <c r="H113" s="8">
        <v>1</v>
      </c>
      <c r="I113" s="8">
        <v>1</v>
      </c>
      <c r="J113" s="10" t="s">
        <v>165</v>
      </c>
      <c r="K113" s="30">
        <v>400</v>
      </c>
    </row>
    <row r="114" spans="2:11" s="4" customFormat="1" ht="15.95" hidden="1" customHeight="1" x14ac:dyDescent="0.25">
      <c r="C114" s="7" t="s">
        <v>281</v>
      </c>
      <c r="D114" s="7"/>
      <c r="E114" s="8">
        <f t="shared" si="7"/>
        <v>285.70999999999998</v>
      </c>
      <c r="F114" s="8">
        <v>2</v>
      </c>
      <c r="G114" s="8">
        <v>0.5</v>
      </c>
      <c r="H114" s="8">
        <v>1</v>
      </c>
      <c r="I114" s="8">
        <v>1</v>
      </c>
      <c r="J114" s="10" t="s">
        <v>165</v>
      </c>
      <c r="K114" s="30">
        <v>285.70999999999998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7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7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7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7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7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7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7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7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7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55</v>
      </c>
      <c r="D129" s="7"/>
      <c r="E129" s="8">
        <f t="shared" si="7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7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7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7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276</v>
      </c>
      <c r="C133" s="26" t="s">
        <v>203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49</v>
      </c>
      <c r="D134" s="7"/>
      <c r="E134" s="8">
        <f t="shared" ref="E134:E143" si="9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50</v>
      </c>
      <c r="D135" s="7"/>
      <c r="E135" s="8">
        <f t="shared" si="9"/>
        <v>0</v>
      </c>
      <c r="F135" s="8"/>
      <c r="G135" s="8"/>
      <c r="H135" s="8"/>
      <c r="I135" s="8">
        <v>0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269</v>
      </c>
      <c r="D136" s="7"/>
      <c r="E136" s="8">
        <f t="shared" si="9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9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9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284</v>
      </c>
      <c r="C144" s="26" t="s">
        <v>204</v>
      </c>
      <c r="D144" s="27">
        <f>SUM(E145:E151)</f>
        <v>1324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266</v>
      </c>
      <c r="D145" s="7"/>
      <c r="E145" s="8">
        <f t="shared" ref="E145:E151" si="10">I145*K145</f>
        <v>250</v>
      </c>
      <c r="F145" s="8">
        <v>2</v>
      </c>
      <c r="G145" s="8">
        <v>0.2</v>
      </c>
      <c r="H145" s="8">
        <v>0.6</v>
      </c>
      <c r="I145" s="8">
        <v>1</v>
      </c>
      <c r="J145" s="10" t="s">
        <v>165</v>
      </c>
      <c r="K145" s="30">
        <v>250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10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10"/>
        <v>24</v>
      </c>
      <c r="F147" s="8">
        <v>0</v>
      </c>
      <c r="G147" s="8">
        <v>0</v>
      </c>
      <c r="H147" s="8">
        <v>0</v>
      </c>
      <c r="I147" s="8">
        <v>8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10"/>
        <v>50</v>
      </c>
      <c r="F148" s="8">
        <v>0</v>
      </c>
      <c r="G148" s="8">
        <v>0</v>
      </c>
      <c r="H148" s="8">
        <v>0</v>
      </c>
      <c r="I148" s="8">
        <v>2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282</v>
      </c>
      <c r="D149" s="7"/>
      <c r="E149" s="8">
        <f t="shared" si="10"/>
        <v>1000</v>
      </c>
      <c r="F149" s="8">
        <v>0.5</v>
      </c>
      <c r="G149" s="8">
        <v>0.5</v>
      </c>
      <c r="H149" s="8"/>
      <c r="I149" s="8">
        <v>1</v>
      </c>
      <c r="J149" s="10" t="s">
        <v>165</v>
      </c>
      <c r="K149" s="30">
        <v>1000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10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681.48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1">I153*K153</f>
        <v>71.400000000000006</v>
      </c>
      <c r="F153" s="8"/>
      <c r="G153" s="8"/>
      <c r="H153" s="8"/>
      <c r="I153" s="8">
        <v>6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62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63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1"/>
        <v>150</v>
      </c>
      <c r="F159" s="8"/>
      <c r="G159" s="8"/>
      <c r="H159" s="8"/>
      <c r="I159" s="8">
        <v>15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1"/>
        <v>60</v>
      </c>
      <c r="F160" s="12"/>
      <c r="G160" s="12"/>
      <c r="H160" s="12"/>
      <c r="I160" s="8">
        <v>12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1"/>
        <v>47.6</v>
      </c>
      <c r="F161" s="8"/>
      <c r="G161" s="8"/>
      <c r="H161" s="8"/>
      <c r="I161" s="8">
        <v>4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1"/>
        <v>162</v>
      </c>
      <c r="F164" s="8"/>
      <c r="G164" s="8"/>
      <c r="H164" s="8"/>
      <c r="I164" s="8">
        <v>40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701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255</v>
      </c>
      <c r="F167" s="12"/>
      <c r="G167" s="12"/>
      <c r="H167" s="12"/>
      <c r="I167" s="8">
        <v>17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60</v>
      </c>
      <c r="F168" s="12"/>
      <c r="G168" s="12"/>
      <c r="H168" s="12"/>
      <c r="I168" s="8">
        <v>5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20</v>
      </c>
      <c r="F169" s="12"/>
      <c r="G169" s="12"/>
      <c r="H169" s="12"/>
      <c r="I169" s="8">
        <v>1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45</v>
      </c>
      <c r="F170" s="12"/>
      <c r="G170" s="12"/>
      <c r="H170" s="12"/>
      <c r="I170" s="8">
        <v>3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85</v>
      </c>
      <c r="F176" s="12"/>
      <c r="G176" s="12"/>
      <c r="H176" s="12"/>
      <c r="I176" s="8">
        <v>1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32</v>
      </c>
      <c r="F179" s="12"/>
      <c r="G179" s="12"/>
      <c r="H179" s="12"/>
      <c r="I179" s="8">
        <v>4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30</v>
      </c>
      <c r="F180" s="12"/>
      <c r="G180" s="12"/>
      <c r="H180" s="12"/>
      <c r="I180" s="8">
        <v>2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2"/>
        <v>70</v>
      </c>
      <c r="F181" s="12"/>
      <c r="G181" s="12"/>
      <c r="H181" s="12"/>
      <c r="I181" s="8">
        <v>2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2"/>
        <v>25</v>
      </c>
      <c r="F187" s="12"/>
      <c r="G187" s="12"/>
      <c r="H187" s="12"/>
      <c r="I187" s="8">
        <v>1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2"/>
        <v>8</v>
      </c>
      <c r="F194" s="8"/>
      <c r="G194" s="8"/>
      <c r="H194" s="8"/>
      <c r="I194" s="8">
        <v>1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2"/>
        <v>36</v>
      </c>
      <c r="F204" s="8"/>
      <c r="G204" s="8"/>
      <c r="H204" s="8"/>
      <c r="I204" s="8">
        <v>6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SUM(E210:E221)</f>
        <v>603.66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1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3"/>
        <v>185.76</v>
      </c>
      <c r="F211" s="8">
        <v>1</v>
      </c>
      <c r="G211" s="8">
        <v>1</v>
      </c>
      <c r="H211" s="12"/>
      <c r="I211" s="8">
        <v>12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ref="E212" si="14">I212*K212</f>
        <v>46.44</v>
      </c>
      <c r="F212" s="8">
        <v>1</v>
      </c>
      <c r="G212" s="8">
        <v>1</v>
      </c>
      <c r="H212" s="12"/>
      <c r="I212" s="8">
        <v>3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283</v>
      </c>
      <c r="D213" s="7"/>
      <c r="E213" s="8">
        <f t="shared" si="13"/>
        <v>46.44</v>
      </c>
      <c r="F213" s="8">
        <v>1</v>
      </c>
      <c r="G213" s="8">
        <v>1</v>
      </c>
      <c r="H213" s="12"/>
      <c r="I213" s="8">
        <v>3</v>
      </c>
      <c r="J213" s="10" t="s">
        <v>110</v>
      </c>
      <c r="K213" s="30">
        <v>15.48</v>
      </c>
    </row>
    <row r="214" spans="3:11" s="4" customFormat="1" ht="15.95" hidden="1" customHeight="1" x14ac:dyDescent="0.25">
      <c r="C214" s="7" t="s">
        <v>190</v>
      </c>
      <c r="D214" s="7"/>
      <c r="E214" s="8">
        <f t="shared" si="13"/>
        <v>39.299999999999997</v>
      </c>
      <c r="F214" s="8">
        <v>1</v>
      </c>
      <c r="G214" s="8">
        <v>1</v>
      </c>
      <c r="H214" s="12"/>
      <c r="I214" s="8">
        <v>3</v>
      </c>
      <c r="J214" s="10" t="s">
        <v>110</v>
      </c>
      <c r="K214" s="30">
        <v>13.1</v>
      </c>
    </row>
    <row r="215" spans="3:11" s="4" customFormat="1" ht="15.95" hidden="1" customHeight="1" x14ac:dyDescent="0.25">
      <c r="C215" s="7" t="s">
        <v>257</v>
      </c>
      <c r="D215" s="7"/>
      <c r="E215" s="8">
        <f t="shared" si="13"/>
        <v>285.71999999999997</v>
      </c>
      <c r="F215" s="8">
        <v>1</v>
      </c>
      <c r="G215" s="8">
        <v>1</v>
      </c>
      <c r="H215" s="12"/>
      <c r="I215" s="8">
        <v>3</v>
      </c>
      <c r="J215" s="10" t="s">
        <v>110</v>
      </c>
      <c r="K215" s="30">
        <v>95.24</v>
      </c>
    </row>
    <row r="216" spans="3:11" s="4" customFormat="1" ht="15.95" hidden="1" customHeight="1" x14ac:dyDescent="0.25">
      <c r="C216" s="7" t="s">
        <v>258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35.71</v>
      </c>
    </row>
    <row r="218" spans="3:11" s="4" customFormat="1" ht="15.95" hidden="1" customHeight="1" x14ac:dyDescent="0.25">
      <c r="C218" s="7" t="s">
        <v>121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13.1</v>
      </c>
    </row>
    <row r="220" spans="3:11" s="4" customFormat="1" ht="15.95" hidden="1" customHeight="1" x14ac:dyDescent="0.25">
      <c r="C220" s="7" t="s">
        <v>244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10.71</v>
      </c>
    </row>
    <row r="222" spans="3:11" s="4" customFormat="1" ht="15.95" customHeight="1" x14ac:dyDescent="0.25">
      <c r="C222" s="26" t="s">
        <v>181</v>
      </c>
      <c r="D222" s="27">
        <f>SUM(E223:E261)</f>
        <v>5390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5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165</v>
      </c>
      <c r="K223" s="30">
        <v>320</v>
      </c>
    </row>
    <row r="224" spans="3:11" s="4" customFormat="1" ht="15.95" hidden="1" customHeight="1" x14ac:dyDescent="0.25">
      <c r="C224" s="7" t="s">
        <v>212</v>
      </c>
      <c r="D224" s="7"/>
      <c r="E224" s="8">
        <f t="shared" si="15"/>
        <v>0</v>
      </c>
      <c r="F224" s="8"/>
      <c r="G224" s="8"/>
      <c r="H224" s="8"/>
      <c r="I224" s="8">
        <v>0</v>
      </c>
      <c r="J224" s="10" t="s">
        <v>165</v>
      </c>
      <c r="K224" s="30">
        <v>210</v>
      </c>
    </row>
    <row r="225" spans="3:11" s="4" customFormat="1" ht="15.95" hidden="1" customHeight="1" x14ac:dyDescent="0.25">
      <c r="C225" s="7" t="s">
        <v>213</v>
      </c>
      <c r="D225" s="7"/>
      <c r="E225" s="8">
        <f t="shared" si="15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214</v>
      </c>
      <c r="D226" s="7"/>
      <c r="E226" s="8">
        <f t="shared" si="15"/>
        <v>0</v>
      </c>
      <c r="F226" s="8"/>
      <c r="G226" s="8"/>
      <c r="H226" s="8"/>
      <c r="I226" s="8">
        <v>0</v>
      </c>
      <c r="J226" s="10" t="s">
        <v>165</v>
      </c>
      <c r="K226" s="30">
        <v>180</v>
      </c>
    </row>
    <row r="227" spans="3:11" s="4" customFormat="1" ht="15.95" hidden="1" customHeight="1" x14ac:dyDescent="0.25">
      <c r="C227" s="7" t="s">
        <v>215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165</v>
      </c>
      <c r="K227" s="30">
        <v>110</v>
      </c>
    </row>
    <row r="228" spans="3:11" s="4" customFormat="1" ht="15.95" hidden="1" customHeight="1" x14ac:dyDescent="0.25">
      <c r="C228" s="7" t="s">
        <v>216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165</v>
      </c>
      <c r="K228" s="30">
        <v>310</v>
      </c>
    </row>
    <row r="229" spans="3:11" s="4" customFormat="1" ht="15.95" hidden="1" customHeight="1" x14ac:dyDescent="0.25">
      <c r="C229" s="7" t="s">
        <v>217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165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5"/>
        <v>0</v>
      </c>
      <c r="F230" s="12"/>
      <c r="G230" s="12"/>
      <c r="H230" s="12"/>
      <c r="I230" s="8">
        <v>0</v>
      </c>
      <c r="J230" s="10" t="s">
        <v>165</v>
      </c>
      <c r="K230" s="30">
        <v>10</v>
      </c>
    </row>
    <row r="231" spans="3:11" s="4" customFormat="1" ht="15.95" hidden="1" customHeight="1" x14ac:dyDescent="0.25">
      <c r="C231" s="7" t="s">
        <v>221</v>
      </c>
      <c r="D231" s="7"/>
      <c r="E231" s="8">
        <f t="shared" si="15"/>
        <v>0</v>
      </c>
      <c r="F231" s="12"/>
      <c r="G231" s="12"/>
      <c r="H231" s="12"/>
      <c r="I231" s="8">
        <v>0</v>
      </c>
      <c r="J231" s="10" t="s">
        <v>165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165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165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180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165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165</v>
      </c>
      <c r="K236" s="30">
        <v>250</v>
      </c>
    </row>
    <row r="237" spans="3:11" s="4" customFormat="1" ht="15.95" hidden="1" customHeight="1" x14ac:dyDescent="0.25">
      <c r="C237" s="7" t="s">
        <v>209</v>
      </c>
      <c r="D237" s="7"/>
      <c r="E237" s="8">
        <f t="shared" si="15"/>
        <v>390</v>
      </c>
      <c r="F237" s="8"/>
      <c r="G237" s="8"/>
      <c r="H237" s="8"/>
      <c r="I237" s="8">
        <v>1</v>
      </c>
      <c r="J237" s="10" t="s">
        <v>165</v>
      </c>
      <c r="K237" s="30">
        <v>390</v>
      </c>
    </row>
    <row r="238" spans="3:11" s="4" customFormat="1" ht="15.95" hidden="1" customHeight="1" x14ac:dyDescent="0.25">
      <c r="C238" s="7" t="s">
        <v>235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165</v>
      </c>
      <c r="K238" s="30">
        <v>460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165</v>
      </c>
      <c r="K239" s="30">
        <v>850</v>
      </c>
    </row>
    <row r="240" spans="3:11" s="4" customFormat="1" ht="15.95" hidden="1" customHeight="1" x14ac:dyDescent="0.25">
      <c r="C240" s="7" t="s">
        <v>186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165</v>
      </c>
      <c r="K240" s="30">
        <v>1400</v>
      </c>
    </row>
    <row r="241" spans="3:11" s="4" customFormat="1" ht="15.95" hidden="1" customHeight="1" x14ac:dyDescent="0.25">
      <c r="C241" s="7" t="s">
        <v>237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165</v>
      </c>
      <c r="K241" s="30">
        <v>360</v>
      </c>
    </row>
    <row r="242" spans="3:11" s="4" customFormat="1" ht="15.95" hidden="1" customHeight="1" x14ac:dyDescent="0.25">
      <c r="C242" s="7" t="s">
        <v>240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165</v>
      </c>
      <c r="K242" s="30">
        <v>550</v>
      </c>
    </row>
    <row r="243" spans="3:11" s="4" customFormat="1" ht="15.95" hidden="1" customHeight="1" x14ac:dyDescent="0.25">
      <c r="C243" s="7" t="s">
        <v>241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165</v>
      </c>
      <c r="K243" s="30">
        <v>580</v>
      </c>
    </row>
    <row r="244" spans="3:11" s="4" customFormat="1" ht="15.95" hidden="1" customHeight="1" x14ac:dyDescent="0.25">
      <c r="C244" s="7" t="s">
        <v>233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165</v>
      </c>
      <c r="K244" s="30">
        <v>680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165</v>
      </c>
      <c r="K245" s="30">
        <v>750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165</v>
      </c>
      <c r="K246" s="30">
        <v>340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165</v>
      </c>
      <c r="K247" s="30">
        <v>160</v>
      </c>
    </row>
    <row r="248" spans="3:11" s="4" customFormat="1" ht="15.95" hidden="1" customHeight="1" x14ac:dyDescent="0.25">
      <c r="C248" s="7" t="s">
        <v>236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226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165</v>
      </c>
      <c r="K249" s="30">
        <v>130</v>
      </c>
    </row>
    <row r="250" spans="3:11" s="4" customFormat="1" ht="15.95" hidden="1" customHeight="1" x14ac:dyDescent="0.25">
      <c r="C250" s="7" t="s">
        <v>222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165</v>
      </c>
      <c r="K250" s="30">
        <v>400</v>
      </c>
    </row>
    <row r="251" spans="3:11" s="4" customFormat="1" ht="15.95" hidden="1" customHeight="1" x14ac:dyDescent="0.25">
      <c r="C251" s="7" t="s">
        <v>224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165</v>
      </c>
      <c r="K251" s="30">
        <v>260</v>
      </c>
    </row>
    <row r="252" spans="3:11" s="4" customFormat="1" ht="15.95" hidden="1" customHeight="1" x14ac:dyDescent="0.25">
      <c r="C252" s="7" t="s">
        <v>230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165</v>
      </c>
      <c r="K252" s="30">
        <v>180</v>
      </c>
    </row>
    <row r="253" spans="3:11" s="4" customFormat="1" ht="15.95" hidden="1" customHeight="1" x14ac:dyDescent="0.25">
      <c r="C253" s="7" t="s">
        <v>231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165</v>
      </c>
      <c r="K253" s="30">
        <v>120</v>
      </c>
    </row>
    <row r="254" spans="3:11" s="4" customFormat="1" ht="15.95" hidden="1" customHeight="1" x14ac:dyDescent="0.25">
      <c r="C254" s="7" t="s">
        <v>232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165</v>
      </c>
      <c r="K254" s="30">
        <v>220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165</v>
      </c>
      <c r="K255" s="30">
        <v>230</v>
      </c>
    </row>
    <row r="256" spans="3:11" s="4" customFormat="1" ht="15.95" hidden="1" customHeight="1" x14ac:dyDescent="0.25">
      <c r="C256" s="7" t="s">
        <v>227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228</v>
      </c>
      <c r="K256" s="30">
        <v>500</v>
      </c>
    </row>
    <row r="257" spans="3:11" s="4" customFormat="1" ht="15.95" hidden="1" customHeight="1" x14ac:dyDescent="0.25">
      <c r="C257" s="7" t="s">
        <v>229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165</v>
      </c>
      <c r="K257" s="30">
        <v>180</v>
      </c>
    </row>
    <row r="258" spans="3:11" s="4" customFormat="1" ht="15.95" hidden="1" customHeight="1" x14ac:dyDescent="0.25">
      <c r="C258" s="7" t="s">
        <v>223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165</v>
      </c>
      <c r="K258" s="30">
        <v>260</v>
      </c>
    </row>
    <row r="259" spans="3:11" s="4" customFormat="1" ht="15.95" hidden="1" customHeight="1" x14ac:dyDescent="0.25">
      <c r="C259" s="7" t="s">
        <v>218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165</v>
      </c>
      <c r="K259" s="30">
        <v>6500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165</v>
      </c>
      <c r="K260" s="30">
        <v>8800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5"/>
        <v>5000</v>
      </c>
      <c r="F261" s="8">
        <v>5</v>
      </c>
      <c r="G261" s="8">
        <v>2.5</v>
      </c>
      <c r="H261" s="8"/>
      <c r="I261" s="8">
        <v>1</v>
      </c>
      <c r="J261" s="10" t="s">
        <v>165</v>
      </c>
      <c r="K261" s="30">
        <v>5000</v>
      </c>
    </row>
    <row r="262" spans="3:11" s="22" customFormat="1" ht="15.95" customHeight="1" x14ac:dyDescent="0.25">
      <c r="C262" s="32" t="s">
        <v>147</v>
      </c>
      <c r="D262" s="33">
        <f>SUM(E263)</f>
        <v>8500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8500</v>
      </c>
      <c r="F263" s="24"/>
      <c r="G263" s="24"/>
      <c r="H263" s="24"/>
      <c r="I263" s="24">
        <v>1</v>
      </c>
      <c r="J263" s="25" t="s">
        <v>165</v>
      </c>
      <c r="K263" s="48">
        <v>8500</v>
      </c>
    </row>
    <row r="264" spans="3:11" s="22" customFormat="1" ht="15.95" customHeight="1" x14ac:dyDescent="0.25">
      <c r="C264" s="32" t="s">
        <v>145</v>
      </c>
      <c r="D264" s="33">
        <f>SUM(E265)</f>
        <v>3250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3250</v>
      </c>
      <c r="F265" s="41"/>
      <c r="G265" s="41"/>
      <c r="H265" s="41"/>
      <c r="I265" s="24">
        <v>2</v>
      </c>
      <c r="J265" s="25" t="s">
        <v>148</v>
      </c>
      <c r="K265" s="48">
        <v>1625</v>
      </c>
    </row>
    <row r="266" spans="3:11" s="22" customFormat="1" ht="15.95" customHeight="1" x14ac:dyDescent="0.25">
      <c r="C266" s="32" t="s">
        <v>270</v>
      </c>
      <c r="D266" s="33">
        <f>SUM(E267)</f>
        <v>650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650</v>
      </c>
      <c r="F267" s="41"/>
      <c r="G267" s="41"/>
      <c r="H267" s="41"/>
      <c r="I267" s="24">
        <v>1</v>
      </c>
      <c r="J267" s="25" t="s">
        <v>165</v>
      </c>
      <c r="K267" s="48">
        <v>650</v>
      </c>
    </row>
    <row r="268" spans="3:11" s="22" customFormat="1" ht="15.95" customHeight="1" x14ac:dyDescent="0.25">
      <c r="C268" s="32" t="s">
        <v>146</v>
      </c>
      <c r="D268" s="33">
        <f>SUM(E269)</f>
        <v>3000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3000</v>
      </c>
      <c r="F269" s="41"/>
      <c r="G269" s="41"/>
      <c r="H269" s="41"/>
      <c r="I269" s="24">
        <v>2</v>
      </c>
      <c r="J269" s="25" t="s">
        <v>165</v>
      </c>
      <c r="K269" s="48">
        <v>1500</v>
      </c>
    </row>
    <row r="270" spans="3:11" s="22" customFormat="1" ht="15.95" customHeight="1" x14ac:dyDescent="0.25">
      <c r="C270" s="32" t="s">
        <v>211</v>
      </c>
      <c r="D270" s="33">
        <f>SUM(E271)</f>
        <v>1200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1200</v>
      </c>
      <c r="F271" s="41"/>
      <c r="G271" s="41"/>
      <c r="H271" s="41"/>
      <c r="I271" s="24">
        <v>1</v>
      </c>
      <c r="J271" s="25" t="s">
        <v>165</v>
      </c>
      <c r="K271" s="48">
        <v>1200</v>
      </c>
    </row>
    <row r="272" spans="3:11" s="22" customFormat="1" ht="15.95" customHeight="1" x14ac:dyDescent="0.25">
      <c r="C272" s="32" t="s">
        <v>262</v>
      </c>
      <c r="D272" s="33">
        <f>SUM(E273)</f>
        <v>1000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 t="s">
        <v>279</v>
      </c>
      <c r="D273" s="38"/>
      <c r="E273" s="39">
        <f>I273*K273</f>
        <v>1000</v>
      </c>
      <c r="F273" s="41"/>
      <c r="G273" s="41"/>
      <c r="H273" s="41"/>
      <c r="I273" s="24">
        <v>1</v>
      </c>
      <c r="J273" s="25" t="s">
        <v>165</v>
      </c>
      <c r="K273" s="48">
        <v>1000</v>
      </c>
    </row>
    <row r="274" spans="3:11" ht="15.95" customHeight="1" thickBot="1" x14ac:dyDescent="0.3">
      <c r="C274" s="18" t="s">
        <v>57</v>
      </c>
      <c r="D274" s="14">
        <f>SUM(D2:D273)</f>
        <v>31893.79</v>
      </c>
      <c r="E274" s="15"/>
      <c r="F274" s="53"/>
      <c r="G274" s="53"/>
      <c r="H274" s="53"/>
      <c r="I274" s="53"/>
      <c r="J274" s="53"/>
      <c r="K274" s="53"/>
    </row>
    <row r="275" spans="3:11" ht="15.95" customHeight="1" thickTop="1" x14ac:dyDescent="0.25"/>
  </sheetData>
  <autoFilter ref="C1:K274" xr:uid="{00000000-0009-0000-0000-000000000000}">
    <filterColumn colId="1">
      <customFilters>
        <customFilter operator="notEqual" val=" "/>
      </customFilters>
    </filterColumn>
  </autoFilter>
  <mergeCells count="1">
    <mergeCell ref="F274:K27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2026-04-18T11:43:39Z</dcterms:modified>
</cp:coreProperties>
</file>