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OVARGADO @ Interzoo 2026\"/>
    </mc:Choice>
  </mc:AlternateContent>
  <xr:revisionPtr revIDLastSave="0" documentId="13_ncr:1_{DB53BADE-7827-4AED-AF49-D9B047D96C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60" i="1"/>
  <c r="E136" i="1" l="1"/>
  <c r="E269" i="1" l="1"/>
  <c r="D268" i="1" s="1"/>
  <c r="E82" i="1" l="1"/>
  <c r="E81" i="1"/>
  <c r="E91" i="1" l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5" i="1" l="1"/>
  <c r="E90" i="1" l="1"/>
  <c r="D89" i="1" s="1"/>
  <c r="E16" i="1" l="1"/>
  <c r="E85" i="1" l="1"/>
  <c r="E86" i="1"/>
  <c r="E87" i="1"/>
  <c r="E209" i="1" l="1"/>
  <c r="E133" i="1"/>
  <c r="E166" i="1"/>
  <c r="D165" i="1" s="1"/>
  <c r="D208" i="1" l="1"/>
  <c r="E88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4" i="1"/>
  <c r="E75" i="1"/>
  <c r="E71" i="1"/>
  <c r="E72" i="1"/>
  <c r="E63" i="1"/>
  <c r="E43" i="1" l="1"/>
  <c r="E44" i="1"/>
  <c r="E38" i="1"/>
  <c r="E39" i="1"/>
  <c r="E40" i="1"/>
  <c r="E32" i="1"/>
  <c r="E33" i="1"/>
  <c r="E28" i="1"/>
  <c r="E84" i="1" l="1"/>
  <c r="E83" i="1"/>
  <c r="E80" i="1"/>
  <c r="E51" i="1"/>
  <c r="E50" i="1"/>
  <c r="E49" i="1"/>
  <c r="E62" i="1" l="1"/>
  <c r="E64" i="1" l="1"/>
  <c r="E61" i="1"/>
  <c r="E45" i="1" l="1"/>
  <c r="E41" i="1"/>
  <c r="E42" i="1"/>
  <c r="E152" i="1" l="1"/>
  <c r="E144" i="1" l="1"/>
  <c r="E69" i="1" l="1"/>
  <c r="E70" i="1"/>
  <c r="E73" i="1"/>
  <c r="E76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5" i="1"/>
  <c r="E66" i="1"/>
  <c r="E67" i="1"/>
  <c r="E68" i="1"/>
  <c r="E77" i="1"/>
  <c r="E78" i="1"/>
  <c r="E79" i="1"/>
  <c r="E111" i="1"/>
  <c r="E221" i="1"/>
  <c r="D220" i="1" s="1"/>
  <c r="D17" i="1" l="1"/>
  <c r="D151" i="1"/>
  <c r="D132" i="1"/>
  <c r="D143" i="1"/>
  <c r="D110" i="1"/>
  <c r="D270" i="1" l="1"/>
</calcChain>
</file>

<file path=xl/sharedStrings.xml><?xml version="1.0" encoding="utf-8"?>
<sst xmlns="http://schemas.openxmlformats.org/spreadsheetml/2006/main" count="583" uniqueCount="283">
  <si>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</si>
  <si>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</si>
  <si>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</si>
  <si>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</si>
  <si>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</si>
  <si>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</si>
  <si>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</si>
  <si>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</si>
  <si>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</si>
  <si>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</si>
  <si>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</si>
  <si>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</si>
  <si>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</si>
  <si>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</si>
  <si>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</si>
  <si>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</si>
  <si>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</si>
  <si>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</si>
  <si>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</si>
  <si>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</si>
  <si>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</si>
  <si>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</si>
  <si>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</si>
  <si>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</si>
  <si>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</si>
  <si>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</si>
  <si>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</si>
  <si>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</si>
  <si>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</si>
  <si>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</si>
  <si>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</si>
  <si>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</si>
  <si>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</si>
  <si>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</si>
  <si>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</si>
  <si>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</si>
  <si>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</si>
  <si>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</si>
  <si>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</si>
  <si>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</si>
  <si>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</si>
  <si>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</si>
  <si>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</si>
  <si>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</si>
  <si>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</si>
  <si>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</si>
  <si>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</si>
  <si>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</si>
  <si>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</si>
  <si>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</si>
  <si>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</si>
  <si>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</si>
  <si>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</si>
  <si>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</si>
  <si>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</si>
  <si>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</si>
  <si>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</si>
  <si>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</si>
  <si>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</si>
  <si>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</si>
  <si>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</si>
  <si>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</si>
  <si>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</si>
  <si>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</si>
  <si>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</si>
  <si>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</si>
  <si>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</si>
  <si>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</si>
  <si>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</si>
  <si>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</si>
  <si>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</si>
  <si>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</si>
  <si>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</si>
  <si>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</si>
  <si>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</si>
  <si>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</si>
  <si>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</si>
  <si>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</si>
  <si>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</si>
  <si>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</si>
  <si>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</si>
  <si>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</si>
  <si>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</si>
  <si>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</si>
  <si>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</si>
  <si>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</si>
  <si>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</si>
  <si>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</si>
  <si>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</si>
  <si>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</si>
  <si>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</si>
  <si>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</si>
  <si>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</si>
  <si>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</si>
  <si>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</si>
  <si>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</si>
  <si>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</si>
  <si>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</si>
  <si>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</si>
  <si>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</si>
  <si>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</si>
  <si>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</si>
  <si>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</si>
  <si>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</si>
  <si>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</si>
  <si>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</si>
  <si>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</si>
  <si>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</si>
  <si>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</si>
  <si>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</si>
  <si>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</si>
  <si>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</si>
  <si>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</si>
  <si>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</si>
  <si>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</si>
  <si>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</si>
  <si>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</si>
  <si>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</si>
  <si>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</si>
  <si>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</si>
  <si>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</si>
  <si>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</si>
  <si>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</si>
  <si>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</si>
  <si>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</si>
  <si>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</si>
  <si>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</si>
  <si>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</si>
  <si>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</si>
  <si>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</si>
  <si>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</si>
  <si>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</si>
  <si>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</si>
  <si>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</si>
  <si>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</si>
  <si>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</si>
  <si>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</si>
  <si>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</si>
  <si>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</si>
  <si>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</si>
  <si>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</si>
  <si>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</si>
  <si>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</si>
  <si>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</si>
  <si>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</si>
  <si>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</si>
  <si>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</si>
  <si>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</si>
  <si>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</si>
  <si>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</si>
  <si>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</si>
  <si>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</si>
  <si>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</si>
  <si>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</si>
  <si>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</si>
  <si>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</si>
  <si>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</si>
  <si>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</si>
  <si>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</si>
  <si>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</si>
  <si>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</si>
  <si>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</si>
  <si>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</si>
  <si>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</si>
  <si>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</si>
  <si>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</si>
  <si>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</si>
  <si>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</si>
  <si>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</si>
  <si>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</si>
  <si>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</si>
  <si>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</si>
  <si>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</si>
  <si>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</si>
  <si>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</si>
  <si>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</si>
  <si>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</si>
  <si>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</si>
  <si>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</si>
  <si>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</si>
  <si>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</si>
  <si>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</si>
  <si>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</si>
  <si>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</si>
  <si>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</si>
  <si>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</si>
  <si>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</si>
  <si>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</si>
  <si>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</si>
  <si>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</si>
  <si>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</si>
  <si>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</si>
  <si>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</si>
  <si>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</si>
  <si>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</si>
  <si>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</si>
  <si>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</si>
  <si>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</si>
  <si>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</si>
  <si>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</si>
  <si>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</si>
  <si>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</si>
  <si>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</si>
  <si>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</si>
  <si>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</si>
  <si>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</si>
  <si>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</si>
  <si>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</si>
  <si>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</si>
  <si>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</si>
  <si>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</si>
  <si>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</si>
  <si>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</si>
  <si>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</si>
  <si>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</si>
  <si>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</si>
  <si>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</si>
  <si>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</si>
  <si>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</si>
  <si>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</si>
  <si>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</si>
  <si>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</si>
  <si>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</si>
  <si>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</si>
  <si>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</si>
  <si>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</si>
  <si>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</si>
  <si>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</si>
  <si>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</si>
  <si>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</si>
  <si>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</si>
  <si>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</si>
  <si>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</si>
  <si>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</si>
  <si>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</si>
  <si>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</si>
  <si>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</si>
  <si>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</si>
  <si>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</si>
  <si>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</si>
  <si>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</si>
  <si>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</si>
  <si>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</si>
  <si>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</si>
  <si>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</si>
  <si>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</si>
  <si>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</si>
  <si>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</si>
  <si>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</si>
  <si>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</si>
  <si>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</si>
  <si>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</si>
  <si>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</si>
  <si>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</si>
  <si>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</si>
  <si>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</si>
  <si>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</si>
  <si>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</si>
  <si>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</si>
  <si>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</si>
  <si>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</si>
  <si>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</si>
  <si>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</si>
  <si>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</si>
  <si>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</si>
  <si>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</si>
  <si>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</si>
  <si>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</si>
  <si>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</si>
  <si>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</si>
  <si>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</si>
  <si>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r>
      <t xml:space="preserve">VINYL Floor </t>
    </r>
    <r>
      <rPr>
        <sz val="11"/>
        <color rgb="FFFF0000"/>
        <rFont val="Calibri"/>
        <family val="2"/>
        <scheme val="minor"/>
      </rPr>
      <t>TOP LAYER</t>
    </r>
  </si>
  <si>
    <t>2 nos</t>
  </si>
  <si>
    <t>Opt Nr:-  1</t>
  </si>
  <si>
    <t>Date:- 27-02-2026</t>
  </si>
  <si>
    <t>OVERGADO</t>
  </si>
  <si>
    <t>INTERZOO 2026</t>
  </si>
  <si>
    <t>7M X 6M</t>
  </si>
  <si>
    <t>42 SQM</t>
  </si>
  <si>
    <t>4M</t>
  </si>
  <si>
    <t>12-15 May 2026</t>
  </si>
  <si>
    <t>NUREMBERG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</si>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</sst>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1044226</xdr:colOff>
      <xdr:row>265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40A042-A00D-4486-AF3A-1A256C286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1501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274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275</v>
      </c>
      <c r="C2" s="26" t="s">
        <v>151</v>
      </c>
      <c r="D2" s="27">
        <f>SUM(E3:E12)</f>
        <v>1732.95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271</v>
      </c>
      <c r="D4" s="7"/>
      <c r="E4" s="8">
        <f t="shared" ref="E4" si="1">I4*K4</f>
        <v>650.16</v>
      </c>
      <c r="F4" s="8"/>
      <c r="G4" s="8"/>
      <c r="H4" s="8"/>
      <c r="I4" s="9">
        <v>42</v>
      </c>
      <c r="J4" s="10" t="s">
        <v>165</v>
      </c>
      <c r="K4" s="30">
        <v>15.48</v>
      </c>
    </row>
    <row r="5" spans="1:11" ht="15.95" hidden="1" customHeight="1" x14ac:dyDescent="0.25">
      <c r="C5" s="7" t="s">
        <v>168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9.52</v>
      </c>
    </row>
    <row r="6" spans="1:11" ht="15.95" hidden="1" customHeight="1" x14ac:dyDescent="0.25">
      <c r="C6" s="7" t="s">
        <v>172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14.29</v>
      </c>
    </row>
    <row r="7" spans="1:11" ht="15.95" hidden="1" customHeight="1" x14ac:dyDescent="0.25">
      <c r="C7" s="7" t="s">
        <v>161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28.1</v>
      </c>
    </row>
    <row r="8" spans="1:11" ht="15.95" hidden="1" customHeight="1" x14ac:dyDescent="0.25">
      <c r="B8" s="29" t="s">
        <v>249</v>
      </c>
      <c r="C8" s="7" t="s">
        <v>152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10</v>
      </c>
    </row>
    <row r="9" spans="1:11" ht="15.95" hidden="1" customHeight="1" x14ac:dyDescent="0.25">
      <c r="B9" s="29" t="s">
        <v>249</v>
      </c>
      <c r="C9" s="7" t="s">
        <v>167</v>
      </c>
      <c r="D9" s="7"/>
      <c r="E9" s="8">
        <f t="shared" si="0"/>
        <v>1005.8399999999999</v>
      </c>
      <c r="F9" s="8"/>
      <c r="G9" s="8"/>
      <c r="H9" s="8"/>
      <c r="I9" s="9">
        <v>44</v>
      </c>
      <c r="J9" s="10" t="s">
        <v>165</v>
      </c>
      <c r="K9" s="30">
        <v>22.86</v>
      </c>
    </row>
    <row r="10" spans="1:11" ht="15.95" hidden="1" customHeight="1" x14ac:dyDescent="0.25">
      <c r="C10" s="7" t="s">
        <v>153</v>
      </c>
      <c r="D10" s="7"/>
      <c r="E10" s="8">
        <f t="shared" si="0"/>
        <v>76.95</v>
      </c>
      <c r="F10" s="8"/>
      <c r="G10" s="8"/>
      <c r="H10" s="8"/>
      <c r="I10" s="9">
        <v>19</v>
      </c>
      <c r="J10" s="10" t="s">
        <v>150</v>
      </c>
      <c r="K10" s="30">
        <v>4.05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28.57</v>
      </c>
    </row>
    <row r="12" spans="1:11" ht="15.95" hidden="1" customHeight="1" x14ac:dyDescent="0.25">
      <c r="C12" s="7" t="s">
        <v>113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165</v>
      </c>
      <c r="K12" s="30">
        <v>22.62</v>
      </c>
    </row>
    <row r="13" spans="1:11" s="4" customFormat="1" ht="15.95" customHeight="1" x14ac:dyDescent="0.25">
      <c r="A13" s="21" t="s">
        <v>139</v>
      </c>
      <c r="B13" s="4" t="s">
        <v>276</v>
      </c>
      <c r="C13" s="26" t="s">
        <v>194</v>
      </c>
      <c r="D13" s="52">
        <f>SUM(E14:E16)</f>
        <v>265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185</v>
      </c>
      <c r="D14" s="17"/>
      <c r="E14" s="11">
        <f>I14*K14</f>
        <v>265</v>
      </c>
      <c r="F14" s="8"/>
      <c r="G14" s="8"/>
      <c r="H14" s="8"/>
      <c r="I14" s="9">
        <v>1</v>
      </c>
      <c r="J14" s="10" t="s">
        <v>166</v>
      </c>
      <c r="K14" s="30">
        <v>265</v>
      </c>
    </row>
    <row r="15" spans="1:11" ht="15.95" hidden="1" customHeight="1" x14ac:dyDescent="0.25">
      <c r="B15" s="13"/>
      <c r="C15" s="16" t="s">
        <v>186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365</v>
      </c>
    </row>
    <row r="16" spans="1:11" ht="15.95" hidden="1" customHeight="1" x14ac:dyDescent="0.25">
      <c r="B16" s="13"/>
      <c r="C16" s="16" t="s">
        <v>189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166</v>
      </c>
      <c r="K16" s="30">
        <v>810</v>
      </c>
    </row>
    <row r="17" spans="1:11" s="4" customFormat="1" ht="15.95" customHeight="1" x14ac:dyDescent="0.25">
      <c r="A17" s="21" t="s">
        <v>144</v>
      </c>
      <c r="B17" s="4" t="s">
        <v>281</v>
      </c>
      <c r="C17" s="26" t="s">
        <v>184</v>
      </c>
      <c r="D17" s="27">
        <f>SUM(E18:E88)</f>
        <v>3602.58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249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52.86</v>
      </c>
    </row>
    <row r="19" spans="1:11" ht="15.95" hidden="1" customHeight="1" x14ac:dyDescent="0.25">
      <c r="B19" s="29" t="s">
        <v>249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1:11" ht="15.95" hidden="1" customHeight="1" x14ac:dyDescent="0.25">
      <c r="C22" s="7" t="s">
        <v>136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1:11" ht="15.95" hidden="1" customHeight="1" x14ac:dyDescent="0.25">
      <c r="C23" s="7" t="s">
        <v>137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1:11" ht="15.95" hidden="1" customHeight="1" x14ac:dyDescent="0.25">
      <c r="C24" s="7" t="s">
        <v>128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1:11" ht="15.95" hidden="1" customHeight="1" x14ac:dyDescent="0.25">
      <c r="C25" s="7" t="s">
        <v>129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1:11" ht="15.95" hidden="1" customHeight="1" x14ac:dyDescent="0.25">
      <c r="B26" s="29" t="s">
        <v>249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62.86</v>
      </c>
    </row>
    <row r="27" spans="1:11" ht="15.95" hidden="1" customHeight="1" x14ac:dyDescent="0.25">
      <c r="B27" s="29" t="s">
        <v>249</v>
      </c>
      <c r="C27" s="7" t="s">
        <v>35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69.709999999999994</v>
      </c>
    </row>
    <row r="28" spans="1:11" ht="15.95" hidden="1" customHeight="1" x14ac:dyDescent="0.25">
      <c r="C28" s="7" t="s">
        <v>99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1:11" ht="15.95" hidden="1" customHeight="1" x14ac:dyDescent="0.25">
      <c r="B30" s="29" t="s">
        <v>249</v>
      </c>
      <c r="C30" s="7" t="s">
        <v>65</v>
      </c>
      <c r="D30" s="7"/>
      <c r="E30" s="8">
        <f t="shared" si="2"/>
        <v>285.72000000000003</v>
      </c>
      <c r="F30" s="8">
        <v>1</v>
      </c>
      <c r="G30" s="8">
        <v>0.1</v>
      </c>
      <c r="H30" s="8">
        <v>3.5</v>
      </c>
      <c r="I30" s="9">
        <v>4</v>
      </c>
      <c r="J30" s="10" t="s">
        <v>154</v>
      </c>
      <c r="K30" s="30">
        <v>71.430000000000007</v>
      </c>
    </row>
    <row r="31" spans="1:11" ht="15.95" hidden="1" customHeight="1" x14ac:dyDescent="0.25">
      <c r="B31" s="29" t="s">
        <v>249</v>
      </c>
      <c r="C31" s="7" t="s">
        <v>66</v>
      </c>
      <c r="D31" s="7"/>
      <c r="E31" s="8">
        <f t="shared" si="2"/>
        <v>335.24</v>
      </c>
      <c r="F31" s="8">
        <v>1</v>
      </c>
      <c r="G31" s="8">
        <v>0.1</v>
      </c>
      <c r="H31" s="8">
        <v>3.5</v>
      </c>
      <c r="I31" s="9">
        <v>4</v>
      </c>
      <c r="J31" s="10" t="s">
        <v>154</v>
      </c>
      <c r="K31" s="30">
        <v>83.81</v>
      </c>
    </row>
    <row r="32" spans="1:11" ht="15.95" hidden="1" customHeight="1" x14ac:dyDescent="0.25">
      <c r="C32" s="7" t="s">
        <v>97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2"/>
        <v>475.02</v>
      </c>
      <c r="F34" s="8">
        <v>1</v>
      </c>
      <c r="G34" s="8">
        <v>0.1</v>
      </c>
      <c r="H34" s="8">
        <v>4</v>
      </c>
      <c r="I34" s="9">
        <v>7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2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B60" s="29" t="s">
        <v>249</v>
      </c>
      <c r="C60" s="7" t="s">
        <v>105</v>
      </c>
      <c r="D60" s="7"/>
      <c r="E60" s="8">
        <f t="shared" ref="E60" si="4">I60*K60</f>
        <v>1428.6</v>
      </c>
      <c r="F60" s="8">
        <v>1</v>
      </c>
      <c r="G60" s="8">
        <v>0.2</v>
      </c>
      <c r="H60" s="8">
        <v>3.5</v>
      </c>
      <c r="I60" s="9">
        <v>15</v>
      </c>
      <c r="J60" s="10" t="s">
        <v>156</v>
      </c>
      <c r="K60" s="30">
        <v>95.24</v>
      </c>
    </row>
    <row r="61" spans="2:11" ht="15.95" hidden="1" customHeight="1" x14ac:dyDescent="0.25">
      <c r="B61" s="29"/>
      <c r="C61" s="7" t="s">
        <v>105</v>
      </c>
      <c r="D61" s="7"/>
      <c r="E61" s="8">
        <f t="shared" si="3"/>
        <v>952.4</v>
      </c>
      <c r="F61" s="8">
        <v>1</v>
      </c>
      <c r="G61" s="8">
        <v>0.2</v>
      </c>
      <c r="H61" s="8">
        <v>3.5</v>
      </c>
      <c r="I61" s="9">
        <v>10</v>
      </c>
      <c r="J61" s="10" t="s">
        <v>156</v>
      </c>
      <c r="K61" s="30">
        <v>95.24</v>
      </c>
    </row>
    <row r="62" spans="2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102.38</v>
      </c>
    </row>
    <row r="63" spans="2:11" ht="15.95" hidden="1" customHeight="1" x14ac:dyDescent="0.25">
      <c r="C63" s="7" t="s">
        <v>107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117.14</v>
      </c>
    </row>
    <row r="64" spans="2:11" ht="15.95" hidden="1" customHeight="1" x14ac:dyDescent="0.25">
      <c r="C64" s="7" t="s">
        <v>78</v>
      </c>
      <c r="D64" s="7"/>
      <c r="E64" s="8">
        <f t="shared" si="3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156</v>
      </c>
      <c r="K64" s="30">
        <v>142.86000000000001</v>
      </c>
    </row>
    <row r="65" spans="3:11" ht="15.95" hidden="1" customHeight="1" x14ac:dyDescent="0.25">
      <c r="C65" s="7" t="s">
        <v>32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96.29</v>
      </c>
    </row>
    <row r="66" spans="3:11" ht="15.95" hidden="1" customHeight="1" x14ac:dyDescent="0.25">
      <c r="C66" s="7" t="s">
        <v>31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126</v>
      </c>
    </row>
    <row r="67" spans="3:11" ht="15.95" hidden="1" customHeight="1" x14ac:dyDescent="0.25">
      <c r="C67" s="7" t="s">
        <v>30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136</v>
      </c>
    </row>
    <row r="68" spans="3:11" ht="15.95" hidden="1" customHeight="1" x14ac:dyDescent="0.25">
      <c r="C68" s="7" t="s">
        <v>29</v>
      </c>
      <c r="D68" s="7"/>
      <c r="E68" s="8">
        <f t="shared" si="3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156</v>
      </c>
      <c r="K68" s="30">
        <v>179.71</v>
      </c>
    </row>
    <row r="69" spans="3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100.95</v>
      </c>
    </row>
    <row r="70" spans="3:11" ht="15.95" hidden="1" customHeight="1" x14ac:dyDescent="0.25">
      <c r="C70" s="7" t="s">
        <v>70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130.94999999999999</v>
      </c>
    </row>
    <row r="71" spans="3:11" ht="15.95" hidden="1" customHeight="1" x14ac:dyDescent="0.25">
      <c r="C71" s="7" t="s">
        <v>108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140.47999999999999</v>
      </c>
    </row>
    <row r="72" spans="3:11" ht="15.95" hidden="1" customHeight="1" x14ac:dyDescent="0.25">
      <c r="C72" s="7" t="s">
        <v>138</v>
      </c>
      <c r="D72" s="7"/>
      <c r="E72" s="8">
        <f t="shared" si="3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156</v>
      </c>
      <c r="K72" s="30">
        <v>357.14</v>
      </c>
    </row>
    <row r="73" spans="3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111.43</v>
      </c>
    </row>
    <row r="74" spans="3:11" ht="15.95" hidden="1" customHeight="1" x14ac:dyDescent="0.25">
      <c r="C74" s="7" t="s">
        <v>68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145.24</v>
      </c>
    </row>
    <row r="75" spans="3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167.86</v>
      </c>
    </row>
    <row r="76" spans="3:11" ht="15.95" hidden="1" customHeight="1" x14ac:dyDescent="0.25">
      <c r="C76" s="7" t="s">
        <v>110</v>
      </c>
      <c r="D76" s="7"/>
      <c r="E76" s="8">
        <f t="shared" si="3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156</v>
      </c>
      <c r="K76" s="30">
        <v>223.81</v>
      </c>
    </row>
    <row r="77" spans="3:11" ht="15.95" hidden="1" customHeight="1" x14ac:dyDescent="0.25">
      <c r="C77" s="7" t="s">
        <v>28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116.29</v>
      </c>
    </row>
    <row r="78" spans="3:11" ht="15.95" hidden="1" customHeight="1" x14ac:dyDescent="0.25">
      <c r="C78" s="7" t="s">
        <v>27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152.29</v>
      </c>
    </row>
    <row r="79" spans="3:11" ht="15.95" hidden="1" customHeight="1" x14ac:dyDescent="0.25">
      <c r="C79" s="7" t="s">
        <v>26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173.14</v>
      </c>
    </row>
    <row r="80" spans="3:11" ht="15.95" hidden="1" customHeight="1" x14ac:dyDescent="0.25">
      <c r="C80" s="7" t="s">
        <v>25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260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262</v>
      </c>
      <c r="D82" s="23"/>
      <c r="E82" s="24">
        <f t="shared" si="3"/>
        <v>125.6</v>
      </c>
      <c r="F82" s="24">
        <v>1</v>
      </c>
      <c r="G82" s="24"/>
      <c r="H82" s="24">
        <v>1</v>
      </c>
      <c r="I82" s="44">
        <v>8</v>
      </c>
      <c r="J82" s="25" t="s">
        <v>261</v>
      </c>
      <c r="K82" s="30">
        <v>15.7</v>
      </c>
    </row>
    <row r="83" spans="1:11" ht="15.95" hidden="1" customHeight="1" x14ac:dyDescent="0.25">
      <c r="C83" s="7" t="s">
        <v>95</v>
      </c>
      <c r="D83" s="7"/>
      <c r="E83" s="8">
        <f t="shared" ref="E83:E88" si="5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41.67</v>
      </c>
    </row>
    <row r="84" spans="1:11" ht="15.95" hidden="1" customHeight="1" x14ac:dyDescent="0.25">
      <c r="C84" s="7" t="s">
        <v>96</v>
      </c>
      <c r="D84" s="7"/>
      <c r="E84" s="8">
        <f t="shared" si="5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156</v>
      </c>
      <c r="K84" s="30">
        <v>83.33</v>
      </c>
    </row>
    <row r="85" spans="1:11" ht="15.95" hidden="1" customHeight="1" x14ac:dyDescent="0.25">
      <c r="B85" s="29" t="s">
        <v>249</v>
      </c>
      <c r="C85" s="7" t="s">
        <v>173</v>
      </c>
      <c r="D85" s="7"/>
      <c r="E85" s="8">
        <f t="shared" si="5"/>
        <v>0</v>
      </c>
      <c r="F85" s="8">
        <v>1</v>
      </c>
      <c r="G85" s="8"/>
      <c r="H85" s="8"/>
      <c r="I85" s="9">
        <v>0</v>
      </c>
      <c r="J85" s="10" t="s">
        <v>111</v>
      </c>
      <c r="K85" s="30">
        <v>47.62</v>
      </c>
    </row>
    <row r="86" spans="1:11" ht="15.95" hidden="1" customHeight="1" x14ac:dyDescent="0.25">
      <c r="B86" s="29" t="s">
        <v>249</v>
      </c>
      <c r="C86" s="7" t="s">
        <v>174</v>
      </c>
      <c r="D86" s="7"/>
      <c r="E86" s="8">
        <f t="shared" si="5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B87" s="29" t="s">
        <v>249</v>
      </c>
      <c r="C87" s="7" t="s">
        <v>175</v>
      </c>
      <c r="D87" s="7"/>
      <c r="E87" s="8">
        <f t="shared" si="5"/>
        <v>0</v>
      </c>
      <c r="F87" s="8">
        <v>1</v>
      </c>
      <c r="G87" s="8"/>
      <c r="H87" s="8"/>
      <c r="I87" s="9">
        <v>0</v>
      </c>
      <c r="J87" s="10" t="s">
        <v>169</v>
      </c>
      <c r="K87" s="30">
        <v>190.48</v>
      </c>
    </row>
    <row r="88" spans="1:11" ht="15.95" hidden="1" customHeight="1" x14ac:dyDescent="0.25">
      <c r="C88" s="7" t="s">
        <v>176</v>
      </c>
      <c r="D88" s="7"/>
      <c r="E88" s="8">
        <f t="shared" si="5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111</v>
      </c>
      <c r="K88" s="30">
        <v>32.14</v>
      </c>
    </row>
    <row r="89" spans="1:11" s="4" customFormat="1" ht="15.95" customHeight="1" x14ac:dyDescent="0.25">
      <c r="A89" s="21" t="s">
        <v>145</v>
      </c>
      <c r="B89" s="4" t="s">
        <v>280</v>
      </c>
      <c r="C89" s="26" t="s">
        <v>195</v>
      </c>
      <c r="D89" s="27">
        <f>SUM(E90:E109)</f>
        <v>1156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249</v>
      </c>
      <c r="C90" s="23" t="s">
        <v>170</v>
      </c>
      <c r="D90" s="23"/>
      <c r="E90" s="24">
        <f t="shared" ref="E90:E109" si="6">I90*K90</f>
        <v>300</v>
      </c>
      <c r="F90" s="24"/>
      <c r="G90" s="24"/>
      <c r="H90" s="24"/>
      <c r="I90" s="24">
        <v>12</v>
      </c>
      <c r="J90" s="25" t="s">
        <v>166</v>
      </c>
      <c r="K90" s="48">
        <v>25</v>
      </c>
    </row>
    <row r="91" spans="1:11" s="22" customFormat="1" ht="15.95" hidden="1" customHeight="1" x14ac:dyDescent="0.25">
      <c r="B91" s="29" t="s">
        <v>249</v>
      </c>
      <c r="C91" s="23" t="s">
        <v>192</v>
      </c>
      <c r="D91" s="23"/>
      <c r="E91" s="24">
        <f t="shared" si="6"/>
        <v>40</v>
      </c>
      <c r="F91" s="24"/>
      <c r="G91" s="24"/>
      <c r="H91" s="24"/>
      <c r="I91" s="24">
        <v>4</v>
      </c>
      <c r="J91" s="25" t="s">
        <v>166</v>
      </c>
      <c r="K91" s="48">
        <v>10</v>
      </c>
    </row>
    <row r="92" spans="1:11" s="22" customFormat="1" ht="15.95" hidden="1" customHeight="1" x14ac:dyDescent="0.25">
      <c r="B92" s="29" t="s">
        <v>249</v>
      </c>
      <c r="C92" s="23" t="s">
        <v>193</v>
      </c>
      <c r="D92" s="23"/>
      <c r="E92" s="24">
        <f t="shared" si="6"/>
        <v>16</v>
      </c>
      <c r="F92" s="24"/>
      <c r="G92" s="24"/>
      <c r="H92" s="24"/>
      <c r="I92" s="24">
        <v>8</v>
      </c>
      <c r="J92" s="25" t="s">
        <v>166</v>
      </c>
      <c r="K92" s="48">
        <v>2</v>
      </c>
    </row>
    <row r="93" spans="1:11" s="4" customFormat="1" ht="15.95" hidden="1" customHeight="1" x14ac:dyDescent="0.25">
      <c r="B93" s="29" t="s">
        <v>249</v>
      </c>
      <c r="C93" s="7" t="s">
        <v>250</v>
      </c>
      <c r="D93" s="7"/>
      <c r="E93" s="24">
        <f t="shared" si="6"/>
        <v>800</v>
      </c>
      <c r="F93" s="8"/>
      <c r="G93" s="8"/>
      <c r="H93" s="8"/>
      <c r="I93" s="8">
        <v>1</v>
      </c>
      <c r="J93" s="10" t="s">
        <v>166</v>
      </c>
      <c r="K93" s="48">
        <v>800</v>
      </c>
    </row>
    <row r="94" spans="1:11" s="4" customFormat="1" ht="15.95" hidden="1" customHeight="1" x14ac:dyDescent="0.25">
      <c r="B94" s="29" t="s">
        <v>249</v>
      </c>
      <c r="C94" s="7" t="s">
        <v>251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166</v>
      </c>
      <c r="K94" s="48">
        <v>1210</v>
      </c>
    </row>
    <row r="95" spans="1:11" s="4" customFormat="1" ht="15.95" hidden="1" customHeight="1" x14ac:dyDescent="0.25">
      <c r="B95" s="29" t="s">
        <v>249</v>
      </c>
      <c r="C95" s="7" t="s">
        <v>264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166</v>
      </c>
      <c r="K95" s="48">
        <v>1820</v>
      </c>
    </row>
    <row r="96" spans="1:11" s="4" customFormat="1" ht="15.95" hidden="1" customHeight="1" x14ac:dyDescent="0.25">
      <c r="B96" s="29" t="s">
        <v>249</v>
      </c>
      <c r="C96" s="7" t="s">
        <v>265</v>
      </c>
      <c r="D96" s="7"/>
      <c r="E96" s="24">
        <f t="shared" si="6"/>
        <v>0</v>
      </c>
      <c r="F96" s="8"/>
      <c r="G96" s="8"/>
      <c r="H96" s="8"/>
      <c r="I96" s="8">
        <v>0</v>
      </c>
      <c r="J96" s="10" t="s">
        <v>166</v>
      </c>
      <c r="K96" s="48">
        <v>830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6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6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6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6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6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6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6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6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6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6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6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277</v>
      </c>
      <c r="C110" s="26" t="s">
        <v>196</v>
      </c>
      <c r="D110" s="27">
        <f>SUM(E111:E131)</f>
        <v>0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268</v>
      </c>
      <c r="D111" s="7"/>
      <c r="E111" s="8">
        <f t="shared" ref="E111:E131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269</v>
      </c>
      <c r="D113" s="7"/>
      <c r="E113" s="8">
        <f t="shared" si="7"/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7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7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7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7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7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7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7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7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7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7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7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7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7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7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7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278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270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279</v>
      </c>
      <c r="C143" s="26" t="s">
        <v>205</v>
      </c>
      <c r="D143" s="27">
        <f>SUM(E144:E150)</f>
        <v>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267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777.38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95.2</v>
      </c>
      <c r="F152" s="8"/>
      <c r="G152" s="8"/>
      <c r="H152" s="8"/>
      <c r="I152" s="8">
        <v>8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200</v>
      </c>
      <c r="F158" s="8"/>
      <c r="G158" s="8"/>
      <c r="H158" s="8"/>
      <c r="I158" s="8">
        <v>20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75</v>
      </c>
      <c r="F159" s="12"/>
      <c r="G159" s="12"/>
      <c r="H159" s="12"/>
      <c r="I159" s="8">
        <v>15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95.2</v>
      </c>
      <c r="F160" s="8"/>
      <c r="G160" s="8"/>
      <c r="H160" s="8"/>
      <c r="I160" s="8">
        <v>8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121.5</v>
      </c>
      <c r="F163" s="8"/>
      <c r="G163" s="8"/>
      <c r="H163" s="8"/>
      <c r="I163" s="8">
        <v>30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489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60</v>
      </c>
      <c r="F166" s="12"/>
      <c r="G166" s="12"/>
      <c r="H166" s="12"/>
      <c r="I166" s="8">
        <v>4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144</v>
      </c>
      <c r="F167" s="12"/>
      <c r="G167" s="12"/>
      <c r="H167" s="12"/>
      <c r="I167" s="8">
        <v>12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80</v>
      </c>
      <c r="F168" s="12"/>
      <c r="G168" s="12"/>
      <c r="H168" s="12"/>
      <c r="I168" s="8">
        <v>4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60</v>
      </c>
      <c r="F203" s="8"/>
      <c r="G203" s="8"/>
      <c r="H203" s="8"/>
      <c r="I203" s="8">
        <v>10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635.88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557.28</v>
      </c>
      <c r="F210" s="8">
        <v>1</v>
      </c>
      <c r="G210" s="8">
        <v>1</v>
      </c>
      <c r="H210" s="12"/>
      <c r="I210" s="8">
        <v>36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78.599999999999994</v>
      </c>
      <c r="F212" s="8">
        <v>1</v>
      </c>
      <c r="G212" s="8">
        <v>1</v>
      </c>
      <c r="H212" s="12"/>
      <c r="I212" s="8">
        <v>6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10500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10500</v>
      </c>
      <c r="F259" s="8">
        <v>2</v>
      </c>
      <c r="G259" s="8">
        <v>2.5</v>
      </c>
      <c r="H259" s="8" t="s">
        <v>272</v>
      </c>
      <c r="I259" s="8">
        <v>10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9500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9500</v>
      </c>
      <c r="F261" s="24"/>
      <c r="G261" s="24"/>
      <c r="H261" s="24"/>
      <c r="I261" s="24">
        <v>1</v>
      </c>
      <c r="J261" s="25" t="s">
        <v>166</v>
      </c>
      <c r="K261" s="48">
        <v>9500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263</v>
      </c>
      <c r="D268" s="33">
        <f>SUM(E269)</f>
        <v>1000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282</v>
      </c>
      <c r="D269" s="38"/>
      <c r="E269" s="39">
        <f>I269*K269</f>
        <v>1000</v>
      </c>
      <c r="F269" s="41"/>
      <c r="G269" s="41"/>
      <c r="H269" s="41"/>
      <c r="I269" s="24">
        <v>1</v>
      </c>
      <c r="J269" s="25" t="s">
        <v>166</v>
      </c>
      <c r="K269" s="48">
        <v>1000</v>
      </c>
    </row>
    <row r="270" spans="3:11" ht="15.95" customHeight="1" thickBot="1" x14ac:dyDescent="0.3">
      <c r="C270" s="18" t="s">
        <v>57</v>
      </c>
      <c r="D270" s="14">
        <f>SUM(D2:D269)</f>
        <v>36393.79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2026-02-27T14:26:48Z</dcterms:modified>
</cp:coreProperties>
</file>