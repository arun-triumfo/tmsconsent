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Nencki @ Innotrans 2026\Option- 1\"/>
    </mc:Choice>
  </mc:AlternateContent>
  <xr:revisionPtr revIDLastSave="0" documentId="13_ncr:1_{467A480D-AA32-4FDF-A02B-73B14C4B30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64" i="1"/>
  <c r="E136" i="1" l="1"/>
  <c r="E269" i="1" l="1"/>
  <c r="D268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9" i="1" l="1"/>
  <c r="D88" i="1" s="1"/>
  <c r="E15" i="1" l="1"/>
  <c r="E84" i="1" l="1"/>
  <c r="E85" i="1"/>
  <c r="E86" i="1"/>
  <c r="E209" i="1" l="1"/>
  <c r="E133" i="1"/>
  <c r="E166" i="1"/>
  <c r="D165" i="1" s="1"/>
  <c r="D208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6" i="1"/>
  <c r="E77" i="1"/>
  <c r="E78" i="1"/>
  <c r="E110" i="1"/>
  <c r="E221" i="1"/>
  <c r="D220" i="1" s="1"/>
  <c r="D16" i="1" l="1"/>
  <c r="D151" i="1"/>
  <c r="D132" i="1"/>
  <c r="D143" i="1"/>
  <c r="D109" i="1"/>
  <c r="D270" i="1" l="1"/>
</calcChain>
</file>

<file path=xl/sharedStrings.xml><?xml version="1.0" encoding="utf-8"?>
<sst xmlns="http://schemas.openxmlformats.org/spreadsheetml/2006/main" count="583" uniqueCount="282">
  <si>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</si>
  <si>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</si>
  <si>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</si>
  <si>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</si>
  <si>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</si>
  <si>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</si>
  <si>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</si>
  <si>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</si>
  <si>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</si>
  <si>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</si>
  <si>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</si>
  <si>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</si>
  <si>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</si>
  <si>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</si>
  <si>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</si>
  <si>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</si>
  <si>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</si>
  <si>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</si>
  <si>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</si>
  <si>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</si>
  <si>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</si>
  <si>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</si>
  <si>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</si>
  <si>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</si>
  <si>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</si>
  <si>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</si>
  <si>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</si>
  <si>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</si>
  <si>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</si>
  <si>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</si>
  <si>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</si>
  <si>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</si>
  <si>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</si>
  <si>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</si>
  <si>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</si>
  <si>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</si>
  <si>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</si>
  <si>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</si>
  <si>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</si>
  <si>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</si>
  <si>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</si>
  <si>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</si>
  <si>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</si>
  <si>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</si>
  <si>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</si>
  <si>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</si>
  <si>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</si>
  <si>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</si>
  <si>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</si>
  <si>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</si>
  <si>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</si>
  <si>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</si>
  <si>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</si>
  <si>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</si>
  <si>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</si>
  <si>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</si>
  <si>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</si>
  <si>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</si>
  <si>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</si>
  <si>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</si>
  <si>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</si>
  <si>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</si>
  <si>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</si>
  <si>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</si>
  <si>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</si>
  <si>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</si>
  <si>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</si>
  <si>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</si>
  <si>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</si>
  <si>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</si>
  <si>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</si>
  <si>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</si>
  <si>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</si>
  <si>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</si>
  <si>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</si>
  <si>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</si>
  <si>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</si>
  <si>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</si>
  <si>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</si>
  <si>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</si>
  <si>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</si>
  <si>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</si>
  <si>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</si>
  <si>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</si>
  <si>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</si>
  <si>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</si>
  <si>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</si>
  <si>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</si>
  <si>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</si>
  <si>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</si>
  <si>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</si>
  <si>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</si>
  <si>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</si>
  <si>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</si>
  <si>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</si>
  <si>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</si>
  <si>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</si>
  <si>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</si>
  <si>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</si>
  <si>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</si>
  <si>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</si>
  <si>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</si>
  <si>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</si>
  <si>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</si>
  <si>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</si>
  <si>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</si>
  <si>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</si>
  <si>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</si>
  <si>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</si>
  <si>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</si>
  <si>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</si>
  <si>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</si>
  <si>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</si>
  <si>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</si>
  <si>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</si>
  <si>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</si>
  <si>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</si>
  <si>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</si>
  <si>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</si>
  <si>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</si>
  <si>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</si>
  <si>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</si>
  <si>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</si>
  <si>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</si>
  <si>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</si>
  <si>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</si>
  <si>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</si>
  <si>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</si>
  <si>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</si>
  <si>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</si>
  <si>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</si>
  <si>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</si>
  <si>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</si>
  <si>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</si>
  <si>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</si>
  <si>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</si>
  <si>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</si>
  <si>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</si>
  <si>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</si>
  <si>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</si>
  <si>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</si>
  <si>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</si>
  <si>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</si>
  <si>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</si>
  <si>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</si>
  <si>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</si>
  <si>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</si>
  <si>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</si>
  <si>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</si>
  <si>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</si>
  <si>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</si>
  <si>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</si>
  <si>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</si>
  <si>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</si>
  <si>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</si>
  <si>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</si>
  <si>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</si>
  <si>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</si>
  <si>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</si>
  <si>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</si>
  <si>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</si>
  <si>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</si>
  <si>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</si>
  <si>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</si>
  <si>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</si>
  <si>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</si>
  <si>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</si>
  <si>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</si>
  <si>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</si>
  <si>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</si>
  <si>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</si>
  <si>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</si>
  <si>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</si>
  <si>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</si>
  <si>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</si>
  <si>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</si>
  <si>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</si>
  <si>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</si>
  <si>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</si>
  <si>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</si>
  <si>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</si>
  <si>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</si>
  <si>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</si>
  <si>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</si>
  <si>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</si>
  <si>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</si>
  <si>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</si>
  <si>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</si>
  <si>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</si>
  <si>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</si>
  <si>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</si>
  <si>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</si>
  <si>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</si>
  <si>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</si>
  <si>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</si>
  <si>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</si>
  <si>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</si>
  <si>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</si>
  <si>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</si>
  <si>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</si>
  <si>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</si>
  <si>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</si>
  <si>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</si>
  <si>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</si>
  <si>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</si>
  <si>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</si>
  <si>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</si>
  <si>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</si>
  <si>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</si>
  <si>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</si>
  <si>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</si>
  <si>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</si>
  <si>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</si>
  <si>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</si>
  <si>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</si>
  <si>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</si>
  <si>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</si>
  <si>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</si>
  <si>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</si>
  <si>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</si>
  <si>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</si>
  <si>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</si>
  <si>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</si>
  <si>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</si>
  <si>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</si>
  <si>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</si>
  <si>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</si>
  <si>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</si>
  <si>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</si>
  <si>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</si>
  <si>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</si>
  <si>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</si>
  <si>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</si>
  <si>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</si>
  <si>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</si>
  <si>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</si>
  <si>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</si>
  <si>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</si>
  <si>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</si>
  <si>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</si>
  <si>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</si>
  <si>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</si>
  <si>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</si>
  <si>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</si>
  <si>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</si>
  <si>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</si>
  <si>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</si>
  <si>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</si>
  <si>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</si>
  <si>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</si>
  <si>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</si>
  <si>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</si>
  <si>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</si>
  <si>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</si>
  <si>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</si>
  <si>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</si>
  <si>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</si>
  <si>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</si>
  <si>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</si>
  <si>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</si>
  <si>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</si>
  <si>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</si>
  <si>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</si>
  <si>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</si>
  <si>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</si>
  <si>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COST (EUR)</t>
  </si>
  <si>
    <t>Planter (Laminated)</t>
  </si>
  <si>
    <t>Reception Counter (Roller Painted)- 2.5 x 1.0x 1.0</t>
  </si>
  <si>
    <t>GLASS PARTITION</t>
  </si>
  <si>
    <t>Walls 3.5 m (Single side painted) (Ceiling)</t>
  </si>
  <si>
    <t>Bar Counter (Laminated)- 2.2 x 0.5 x 1.0</t>
  </si>
  <si>
    <t>Reception Counter (Laminated)- 2.0 x 0.5 x 1.0</t>
  </si>
  <si>
    <t>Rectangular Hanging (4m x 4m x 1m H) Fabric with Modular frame</t>
  </si>
  <si>
    <t>Opt Nr:-  1</t>
  </si>
  <si>
    <t>Date:- 29-09-2025</t>
  </si>
  <si>
    <t>NENCKI</t>
  </si>
  <si>
    <t>INNOTRANS 2026</t>
  </si>
  <si>
    <t>15M X 5.5M</t>
  </si>
  <si>
    <t>83 SQM</t>
  </si>
  <si>
    <t>4M</t>
  </si>
  <si>
    <t>22. – 25.09.2026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</si>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</sst>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1057275</xdr:colOff>
      <xdr:row>267</xdr:row>
      <xdr:rowOff>34661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34DBCD-8A99-44C5-B68E-DE4657B6B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634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274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275</v>
      </c>
      <c r="C2" s="26" t="s">
        <v>150</v>
      </c>
      <c r="D2" s="27">
        <f>SUM(E3:E11)</f>
        <v>237.38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237.38</v>
      </c>
      <c r="F3" s="8"/>
      <c r="G3" s="8"/>
      <c r="H3" s="8"/>
      <c r="I3" s="9">
        <v>83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276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281</v>
      </c>
      <c r="C16" s="26" t="s">
        <v>183</v>
      </c>
      <c r="D16" s="27">
        <f>SUM(E17:E87)</f>
        <v>3141.665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269</v>
      </c>
      <c r="D59" s="7"/>
      <c r="E59" s="8">
        <f t="shared" si="2"/>
        <v>285.71999999999997</v>
      </c>
      <c r="F59" s="8">
        <v>1</v>
      </c>
      <c r="G59" s="8">
        <v>0.2</v>
      </c>
      <c r="H59" s="8">
        <v>3.5</v>
      </c>
      <c r="I59" s="9">
        <v>3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B63" s="29" t="s">
        <v>248</v>
      </c>
      <c r="C63" s="7" t="s">
        <v>32</v>
      </c>
      <c r="D63" s="7"/>
      <c r="E63" s="8">
        <f t="shared" si="2"/>
        <v>1973.9450000000002</v>
      </c>
      <c r="F63" s="8">
        <v>1</v>
      </c>
      <c r="G63" s="8">
        <v>0.2</v>
      </c>
      <c r="H63" s="8">
        <v>4</v>
      </c>
      <c r="I63" s="9">
        <v>20.5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ref="E64" si="3">I64*K64</f>
        <v>630</v>
      </c>
      <c r="F64" s="8">
        <v>1</v>
      </c>
      <c r="G64" s="8">
        <v>0.2</v>
      </c>
      <c r="H64" s="8">
        <v>4</v>
      </c>
      <c r="I64" s="9">
        <v>5</v>
      </c>
      <c r="J64" s="10" t="s">
        <v>155</v>
      </c>
      <c r="K64" s="30">
        <v>126</v>
      </c>
    </row>
    <row r="65" spans="1:11" ht="15.95" hidden="1" customHeight="1" x14ac:dyDescent="0.25">
      <c r="B65" s="29"/>
      <c r="C65" s="7" t="s">
        <v>31</v>
      </c>
      <c r="D65" s="7"/>
      <c r="E65" s="8">
        <f t="shared" si="2"/>
        <v>252</v>
      </c>
      <c r="F65" s="8">
        <v>1</v>
      </c>
      <c r="G65" s="8">
        <v>0.2</v>
      </c>
      <c r="H65" s="8">
        <v>4</v>
      </c>
      <c r="I65" s="9">
        <v>2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280</v>
      </c>
      <c r="C88" s="26" t="s">
        <v>194</v>
      </c>
      <c r="D88" s="27">
        <f>SUM(E89:E108)</f>
        <v>1584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500</v>
      </c>
      <c r="F89" s="24"/>
      <c r="G89" s="24"/>
      <c r="H89" s="24"/>
      <c r="I89" s="24">
        <v>20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60</v>
      </c>
      <c r="F90" s="24"/>
      <c r="G90" s="24"/>
      <c r="H90" s="24"/>
      <c r="I90" s="24">
        <v>6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24</v>
      </c>
      <c r="F91" s="24"/>
      <c r="G91" s="24"/>
      <c r="H91" s="24"/>
      <c r="I91" s="24">
        <v>12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272</v>
      </c>
      <c r="D95" s="7"/>
      <c r="E95" s="24">
        <f t="shared" si="5"/>
        <v>1000</v>
      </c>
      <c r="F95" s="8"/>
      <c r="G95" s="8"/>
      <c r="H95" s="8"/>
      <c r="I95" s="8">
        <v>1</v>
      </c>
      <c r="J95" s="10" t="s">
        <v>165</v>
      </c>
      <c r="K95" s="48">
        <v>1000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277</v>
      </c>
      <c r="C109" s="26" t="s">
        <v>195</v>
      </c>
      <c r="D109" s="27">
        <f>SUM(E110:E131)</f>
        <v>717.38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271</v>
      </c>
      <c r="D112" s="7"/>
      <c r="E112" s="8">
        <f t="shared" ref="E112" si="7">I112*K112</f>
        <v>358.69</v>
      </c>
      <c r="F112" s="8">
        <v>2</v>
      </c>
      <c r="G112" s="8">
        <v>0.5</v>
      </c>
      <c r="H112" s="8">
        <v>1</v>
      </c>
      <c r="I112" s="8">
        <v>1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270</v>
      </c>
      <c r="D113" s="7"/>
      <c r="E113" s="8">
        <f t="shared" si="6"/>
        <v>358.69</v>
      </c>
      <c r="F113" s="8">
        <v>2.2000000000000002</v>
      </c>
      <c r="G113" s="8">
        <v>0.5</v>
      </c>
      <c r="H113" s="8">
        <v>1</v>
      </c>
      <c r="I113" s="8">
        <v>1</v>
      </c>
      <c r="J113" s="10" t="s">
        <v>165</v>
      </c>
      <c r="K113" s="30">
        <v>358.69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302.29000000000002</v>
      </c>
    </row>
    <row r="115" spans="2:11" s="4" customFormat="1" ht="15.95" hidden="1" customHeight="1" x14ac:dyDescent="0.25">
      <c r="C115" s="7" t="s">
        <v>252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604.02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423.86</v>
      </c>
    </row>
    <row r="117" spans="2:11" s="4" customFormat="1" ht="15.95" hidden="1" customHeight="1" x14ac:dyDescent="0.25">
      <c r="C117" s="7" t="s">
        <v>156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165</v>
      </c>
      <c r="K117" s="30">
        <v>595.24</v>
      </c>
    </row>
    <row r="118" spans="2:11" s="4" customFormat="1" ht="15.95" hidden="1" customHeight="1" x14ac:dyDescent="0.25">
      <c r="C118" s="7" t="s">
        <v>196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165</v>
      </c>
      <c r="K118" s="30">
        <v>161.9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165</v>
      </c>
      <c r="K119" s="30">
        <v>190.48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165</v>
      </c>
      <c r="K120" s="30">
        <v>216.67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165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177.98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260.12</v>
      </c>
    </row>
    <row r="124" spans="2:11" s="4" customFormat="1" ht="15.95" hidden="1" customHeight="1" x14ac:dyDescent="0.25">
      <c r="B124" s="29" t="s">
        <v>248</v>
      </c>
      <c r="C124" s="7" t="s">
        <v>119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165</v>
      </c>
      <c r="K124" s="30">
        <v>210</v>
      </c>
    </row>
    <row r="125" spans="2:11" s="4" customFormat="1" ht="15.95" hidden="1" customHeight="1" x14ac:dyDescent="0.25">
      <c r="C125" s="7" t="s">
        <v>124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165</v>
      </c>
      <c r="K125" s="30">
        <v>223.81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165</v>
      </c>
      <c r="K126" s="30">
        <v>65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165</v>
      </c>
      <c r="K127" s="30">
        <v>35</v>
      </c>
    </row>
    <row r="128" spans="2:11" s="4" customFormat="1" ht="15.95" hidden="1" customHeight="1" x14ac:dyDescent="0.25">
      <c r="B128" s="29" t="s">
        <v>248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165</v>
      </c>
      <c r="K128" s="30">
        <v>12</v>
      </c>
    </row>
    <row r="129" spans="1:11" s="4" customFormat="1" ht="15.95" hidden="1" customHeight="1" x14ac:dyDescent="0.25">
      <c r="C129" s="7" t="s">
        <v>129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110</v>
      </c>
      <c r="K129" s="30">
        <v>21.9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177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165</v>
      </c>
      <c r="K131" s="30">
        <v>383.33</v>
      </c>
    </row>
    <row r="132" spans="1:11" s="4" customFormat="1" ht="15.95" customHeight="1" x14ac:dyDescent="0.25">
      <c r="A132" s="21" t="s">
        <v>142</v>
      </c>
      <c r="B132" s="4" t="s">
        <v>278</v>
      </c>
      <c r="C132" s="26" t="s">
        <v>203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248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165</v>
      </c>
      <c r="K134" s="30">
        <v>50</v>
      </c>
    </row>
    <row r="135" spans="1:11" s="4" customFormat="1" ht="15.95" hidden="1" customHeight="1" x14ac:dyDescent="0.25">
      <c r="B135" s="29" t="s">
        <v>248</v>
      </c>
      <c r="C135" s="7" t="s">
        <v>268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165</v>
      </c>
      <c r="K135" s="30">
        <v>119.05</v>
      </c>
    </row>
    <row r="136" spans="1:11" s="4" customFormat="1" ht="15.95" hidden="1" customHeight="1" x14ac:dyDescent="0.25">
      <c r="C136" s="7" t="s">
        <v>121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110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165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165</v>
      </c>
      <c r="K138" s="30">
        <v>136.9</v>
      </c>
    </row>
    <row r="139" spans="1:11" s="4" customFormat="1" ht="15.95" hidden="1" customHeight="1" x14ac:dyDescent="0.25">
      <c r="C139" s="7" t="s">
        <v>170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110</v>
      </c>
      <c r="K139" s="30">
        <v>22.62</v>
      </c>
    </row>
    <row r="140" spans="1:11" s="4" customFormat="1" ht="15.95" hidden="1" customHeight="1" x14ac:dyDescent="0.25">
      <c r="C140" s="7" t="s">
        <v>161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83.33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32.14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38.1</v>
      </c>
    </row>
    <row r="143" spans="1:11" s="4" customFormat="1" ht="15.95" customHeight="1" x14ac:dyDescent="0.25">
      <c r="A143" s="21" t="s">
        <v>141</v>
      </c>
      <c r="B143" s="4" t="s">
        <v>279</v>
      </c>
      <c r="C143" s="26" t="s">
        <v>204</v>
      </c>
      <c r="D143" s="27">
        <f>SUM(E144:E150)</f>
        <v>134.51999999999998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266</v>
      </c>
      <c r="D144" s="7"/>
      <c r="E144" s="8">
        <f t="shared" ref="E144:E150" si="9">I144*K144</f>
        <v>109.52</v>
      </c>
      <c r="F144" s="8">
        <v>0.5</v>
      </c>
      <c r="G144" s="8">
        <v>0.5</v>
      </c>
      <c r="H144" s="8">
        <v>0.5</v>
      </c>
      <c r="I144" s="8">
        <v>1</v>
      </c>
      <c r="J144" s="10" t="s">
        <v>165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165</v>
      </c>
      <c r="K145" s="30">
        <v>219.05</v>
      </c>
    </row>
    <row r="146" spans="2:11" s="4" customFormat="1" ht="15.95" hidden="1" customHeight="1" x14ac:dyDescent="0.25">
      <c r="C146" s="7" t="s">
        <v>179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165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25</v>
      </c>
      <c r="F147" s="8">
        <v>0</v>
      </c>
      <c r="G147" s="8">
        <v>0</v>
      </c>
      <c r="H147" s="8">
        <v>0</v>
      </c>
      <c r="I147" s="8">
        <v>1</v>
      </c>
      <c r="J147" s="10" t="s">
        <v>165</v>
      </c>
      <c r="K147" s="30">
        <v>25</v>
      </c>
    </row>
    <row r="148" spans="2:11" s="4" customFormat="1" ht="15.95" hidden="1" customHeight="1" x14ac:dyDescent="0.25">
      <c r="B148" s="29" t="s">
        <v>248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110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165</v>
      </c>
      <c r="K149" s="30">
        <v>25</v>
      </c>
    </row>
    <row r="150" spans="2:11" s="4" customFormat="1" ht="15.95" hidden="1" customHeight="1" x14ac:dyDescent="0.25">
      <c r="C150" s="7" t="s">
        <v>247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20</v>
      </c>
    </row>
    <row r="151" spans="2:11" s="4" customFormat="1" ht="15.95" customHeight="1" x14ac:dyDescent="0.25">
      <c r="C151" s="26" t="s">
        <v>131</v>
      </c>
      <c r="D151" s="27">
        <f>SUM(E152:E164)</f>
        <v>571.88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248</v>
      </c>
      <c r="C152" s="7" t="s">
        <v>19</v>
      </c>
      <c r="D152" s="7"/>
      <c r="E152" s="8">
        <f t="shared" ref="E152:E164" si="10">I152*K152</f>
        <v>95.2</v>
      </c>
      <c r="F152" s="8"/>
      <c r="G152" s="8"/>
      <c r="H152" s="8"/>
      <c r="I152" s="8">
        <v>8</v>
      </c>
      <c r="J152" s="10" t="s">
        <v>165</v>
      </c>
      <c r="K152" s="30">
        <v>11.9</v>
      </c>
    </row>
    <row r="153" spans="2:11" s="4" customFormat="1" ht="15.95" hidden="1" customHeight="1" x14ac:dyDescent="0.25">
      <c r="B153" s="29" t="s">
        <v>248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165</v>
      </c>
      <c r="K153" s="30">
        <v>50</v>
      </c>
    </row>
    <row r="154" spans="2:11" s="4" customFormat="1" ht="15.95" hidden="1" customHeight="1" x14ac:dyDescent="0.25">
      <c r="B154" s="29" t="s">
        <v>248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14.29</v>
      </c>
    </row>
    <row r="157" spans="2:11" s="4" customFormat="1" ht="15.95" hidden="1" customHeight="1" x14ac:dyDescent="0.25">
      <c r="B157" s="29" t="s">
        <v>248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10</v>
      </c>
    </row>
    <row r="158" spans="2:11" s="4" customFormat="1" ht="15.95" hidden="1" customHeight="1" x14ac:dyDescent="0.25">
      <c r="B158" s="29" t="s">
        <v>248</v>
      </c>
      <c r="C158" s="7" t="s">
        <v>18</v>
      </c>
      <c r="D158" s="7"/>
      <c r="E158" s="8">
        <f t="shared" si="10"/>
        <v>40</v>
      </c>
      <c r="F158" s="8"/>
      <c r="G158" s="8"/>
      <c r="H158" s="8"/>
      <c r="I158" s="8">
        <v>4</v>
      </c>
      <c r="J158" s="10" t="s">
        <v>165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70</v>
      </c>
      <c r="F159" s="12"/>
      <c r="G159" s="12"/>
      <c r="H159" s="12"/>
      <c r="I159" s="8">
        <v>14</v>
      </c>
      <c r="J159" s="10" t="s">
        <v>165</v>
      </c>
      <c r="K159" s="30">
        <v>5</v>
      </c>
    </row>
    <row r="160" spans="2:11" s="4" customFormat="1" ht="15.95" hidden="1" customHeight="1" x14ac:dyDescent="0.25">
      <c r="B160" s="29" t="s">
        <v>248</v>
      </c>
      <c r="C160" s="7" t="s">
        <v>17</v>
      </c>
      <c r="D160" s="7"/>
      <c r="E160" s="8">
        <f t="shared" si="10"/>
        <v>95.2</v>
      </c>
      <c r="F160" s="8"/>
      <c r="G160" s="8"/>
      <c r="H160" s="8"/>
      <c r="I160" s="8">
        <v>8</v>
      </c>
      <c r="J160" s="10" t="s">
        <v>165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2.38</v>
      </c>
    </row>
    <row r="163" spans="3:11" ht="15.95" hidden="1" customHeight="1" x14ac:dyDescent="0.25">
      <c r="C163" s="7" t="s">
        <v>187</v>
      </c>
      <c r="D163" s="7"/>
      <c r="E163" s="8">
        <f t="shared" si="10"/>
        <v>81</v>
      </c>
      <c r="F163" s="8"/>
      <c r="G163" s="8"/>
      <c r="H163" s="8"/>
      <c r="I163" s="8">
        <v>20</v>
      </c>
      <c r="J163" s="10" t="s">
        <v>149</v>
      </c>
      <c r="K163" s="30">
        <v>4.05</v>
      </c>
    </row>
    <row r="164" spans="3:11" s="4" customFormat="1" ht="15.95" hidden="1" customHeight="1" x14ac:dyDescent="0.25">
      <c r="C164" s="7" t="s">
        <v>157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165</v>
      </c>
      <c r="K164" s="30">
        <v>190.48</v>
      </c>
    </row>
    <row r="165" spans="3:11" s="4" customFormat="1" ht="15.95" customHeight="1" x14ac:dyDescent="0.25">
      <c r="C165" s="26" t="s">
        <v>205</v>
      </c>
      <c r="D165" s="27">
        <f>SUM(E166:E207)</f>
        <v>777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90</v>
      </c>
      <c r="F166" s="12"/>
      <c r="G166" s="12"/>
      <c r="H166" s="12"/>
      <c r="I166" s="8">
        <v>6</v>
      </c>
      <c r="J166" s="10" t="s">
        <v>165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192</v>
      </c>
      <c r="F167" s="12"/>
      <c r="G167" s="12"/>
      <c r="H167" s="12"/>
      <c r="I167" s="8">
        <v>16</v>
      </c>
      <c r="J167" s="10" t="s">
        <v>165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80</v>
      </c>
      <c r="F168" s="12"/>
      <c r="G168" s="12"/>
      <c r="H168" s="12"/>
      <c r="I168" s="8">
        <v>4</v>
      </c>
      <c r="J168" s="10" t="s">
        <v>165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165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165</v>
      </c>
      <c r="K170" s="30">
        <v>15</v>
      </c>
    </row>
    <row r="171" spans="3:11" s="4" customFormat="1" ht="15.95" hidden="1" customHeight="1" x14ac:dyDescent="0.25">
      <c r="C171" s="7" t="s">
        <v>178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165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165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165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165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165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90</v>
      </c>
      <c r="F179" s="12"/>
      <c r="G179" s="12"/>
      <c r="H179" s="12"/>
      <c r="I179" s="8">
        <v>6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189</v>
      </c>
      <c r="D180" s="7"/>
      <c r="E180" s="8">
        <f t="shared" si="11"/>
        <v>105</v>
      </c>
      <c r="F180" s="12"/>
      <c r="G180" s="12"/>
      <c r="H180" s="12"/>
      <c r="I180" s="8">
        <v>3</v>
      </c>
      <c r="J180" s="10" t="s">
        <v>165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165</v>
      </c>
      <c r="K183" s="30">
        <v>25</v>
      </c>
    </row>
    <row r="184" spans="3:11" s="4" customFormat="1" ht="15.95" hidden="1" customHeight="1" x14ac:dyDescent="0.25">
      <c r="C184" s="7" t="s">
        <v>134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12</v>
      </c>
      <c r="F185" s="12"/>
      <c r="G185" s="12"/>
      <c r="H185" s="12"/>
      <c r="I185" s="8">
        <v>1</v>
      </c>
      <c r="J185" s="10" t="s">
        <v>165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165</v>
      </c>
      <c r="K187" s="30">
        <v>150</v>
      </c>
    </row>
    <row r="188" spans="3:11" s="4" customFormat="1" ht="15.95" hidden="1" customHeight="1" x14ac:dyDescent="0.25">
      <c r="C188" s="7" t="s">
        <v>206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158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600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85</v>
      </c>
      <c r="F191" s="8"/>
      <c r="G191" s="8"/>
      <c r="H191" s="8"/>
      <c r="I191" s="8">
        <v>1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256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24</v>
      </c>
      <c r="F193" s="8"/>
      <c r="G193" s="8"/>
      <c r="H193" s="8"/>
      <c r="I193" s="8">
        <v>3</v>
      </c>
      <c r="J193" s="10" t="s">
        <v>165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B196" s="29" t="s">
        <v>248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20</v>
      </c>
    </row>
    <row r="203" spans="2:11" s="4" customFormat="1" ht="15.95" hidden="1" customHeight="1" x14ac:dyDescent="0.25">
      <c r="C203" s="7" t="s">
        <v>120</v>
      </c>
      <c r="D203" s="7"/>
      <c r="E203" s="8">
        <f t="shared" si="11"/>
        <v>24</v>
      </c>
      <c r="F203" s="8"/>
      <c r="G203" s="8"/>
      <c r="H203" s="8"/>
      <c r="I203" s="8">
        <v>4</v>
      </c>
      <c r="J203" s="10" t="s">
        <v>165</v>
      </c>
      <c r="K203" s="30">
        <v>6</v>
      </c>
    </row>
    <row r="204" spans="2:11" s="4" customFormat="1" ht="15.95" hidden="1" customHeight="1" x14ac:dyDescent="0.25">
      <c r="C204" s="7" t="s">
        <v>122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3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35</v>
      </c>
    </row>
    <row r="206" spans="2:11" s="4" customFormat="1" ht="15.95" hidden="1" customHeight="1" x14ac:dyDescent="0.25">
      <c r="C206" s="7" t="s">
        <v>246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165</v>
      </c>
      <c r="K206" s="30">
        <v>20</v>
      </c>
    </row>
    <row r="207" spans="2:11" s="4" customFormat="1" ht="15.95" hidden="1" customHeight="1" x14ac:dyDescent="0.25">
      <c r="C207" s="7" t="s">
        <v>245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2:11" s="4" customFormat="1" ht="15.95" customHeight="1" x14ac:dyDescent="0.25">
      <c r="C208" s="26" t="s">
        <v>182</v>
      </c>
      <c r="D208" s="27">
        <f>SUM(E209:E219)</f>
        <v>1161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243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110</v>
      </c>
      <c r="K209" s="30">
        <v>10.71</v>
      </c>
    </row>
    <row r="210" spans="3:11" s="4" customFormat="1" ht="15.95" hidden="1" customHeight="1" x14ac:dyDescent="0.25">
      <c r="C210" s="7" t="s">
        <v>242</v>
      </c>
      <c r="D210" s="7"/>
      <c r="E210" s="8">
        <f t="shared" si="12"/>
        <v>1161</v>
      </c>
      <c r="F210" s="8">
        <v>1</v>
      </c>
      <c r="G210" s="8">
        <v>1</v>
      </c>
      <c r="H210" s="12"/>
      <c r="I210" s="8">
        <v>75</v>
      </c>
      <c r="J210" s="10" t="s">
        <v>110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190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110</v>
      </c>
      <c r="K212" s="30">
        <v>13.1</v>
      </c>
    </row>
    <row r="213" spans="3:11" s="4" customFormat="1" ht="15.95" hidden="1" customHeight="1" x14ac:dyDescent="0.25">
      <c r="C213" s="7" t="s">
        <v>257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110</v>
      </c>
      <c r="K213" s="30">
        <v>95.24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35.71</v>
      </c>
    </row>
    <row r="216" spans="3:11" s="4" customFormat="1" ht="15.95" hidden="1" customHeight="1" x14ac:dyDescent="0.25">
      <c r="C216" s="7" t="s">
        <v>121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244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customHeight="1" x14ac:dyDescent="0.25">
      <c r="C220" s="26" t="s">
        <v>181</v>
      </c>
      <c r="D220" s="27">
        <f>SUM(E221:E259)</f>
        <v>610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165</v>
      </c>
      <c r="K221" s="30">
        <v>320</v>
      </c>
    </row>
    <row r="222" spans="3:11" s="4" customFormat="1" ht="15.95" hidden="1" customHeight="1" x14ac:dyDescent="0.25">
      <c r="C222" s="7" t="s">
        <v>212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165</v>
      </c>
      <c r="K222" s="30">
        <v>210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180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110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310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165</v>
      </c>
      <c r="K228" s="30">
        <v>10</v>
      </c>
    </row>
    <row r="229" spans="3:11" s="4" customFormat="1" ht="15.95" hidden="1" customHeight="1" x14ac:dyDescent="0.25">
      <c r="C229" s="7" t="s">
        <v>221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220</v>
      </c>
      <c r="F232" s="8"/>
      <c r="G232" s="8"/>
      <c r="H232" s="8"/>
      <c r="I232" s="8">
        <v>1</v>
      </c>
      <c r="J232" s="10" t="s">
        <v>165</v>
      </c>
      <c r="K232" s="30">
        <v>220</v>
      </c>
    </row>
    <row r="233" spans="3:11" s="4" customFormat="1" ht="15.95" hidden="1" customHeight="1" x14ac:dyDescent="0.25">
      <c r="C233" s="7" t="s">
        <v>180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250</v>
      </c>
    </row>
    <row r="235" spans="3:11" s="4" customFormat="1" ht="15.95" hidden="1" customHeight="1" x14ac:dyDescent="0.25">
      <c r="C235" s="7" t="s">
        <v>209</v>
      </c>
      <c r="D235" s="7"/>
      <c r="E235" s="8">
        <f t="shared" si="13"/>
        <v>390</v>
      </c>
      <c r="F235" s="8"/>
      <c r="G235" s="8"/>
      <c r="H235" s="8"/>
      <c r="I235" s="8">
        <v>1</v>
      </c>
      <c r="J235" s="10" t="s">
        <v>165</v>
      </c>
      <c r="K235" s="30">
        <v>390</v>
      </c>
    </row>
    <row r="236" spans="3:11" s="4" customFormat="1" ht="15.95" hidden="1" customHeight="1" x14ac:dyDescent="0.25">
      <c r="C236" s="7" t="s">
        <v>235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460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850</v>
      </c>
    </row>
    <row r="238" spans="3:11" s="4" customFormat="1" ht="15.95" hidden="1" customHeight="1" x14ac:dyDescent="0.25">
      <c r="C238" s="7" t="s">
        <v>186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1400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360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550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580</v>
      </c>
    </row>
    <row r="242" spans="3:11" s="4" customFormat="1" ht="15.95" hidden="1" customHeight="1" x14ac:dyDescent="0.25">
      <c r="C242" s="7" t="s">
        <v>233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680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750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340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160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130</v>
      </c>
    </row>
    <row r="247" spans="3:11" s="4" customFormat="1" ht="15.95" hidden="1" customHeight="1" x14ac:dyDescent="0.25">
      <c r="C247" s="7" t="s">
        <v>226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222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400</v>
      </c>
    </row>
    <row r="249" spans="3:11" s="4" customFormat="1" ht="15.95" hidden="1" customHeight="1" x14ac:dyDescent="0.25">
      <c r="C249" s="7" t="s">
        <v>224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260</v>
      </c>
    </row>
    <row r="250" spans="3:11" s="4" customFormat="1" ht="15.95" hidden="1" customHeight="1" x14ac:dyDescent="0.25">
      <c r="C250" s="7" t="s">
        <v>230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180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120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220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228</v>
      </c>
      <c r="K254" s="30">
        <v>500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260</v>
      </c>
    </row>
    <row r="257" spans="3:11" s="4" customFormat="1" ht="15.95" hidden="1" customHeight="1" x14ac:dyDescent="0.25">
      <c r="C257" s="7" t="s">
        <v>218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6500</v>
      </c>
    </row>
    <row r="258" spans="3:11" s="4" customFormat="1" ht="15.95" hidden="1" customHeight="1" x14ac:dyDescent="0.25">
      <c r="C258" s="7" t="s">
        <v>220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8800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1050</v>
      </c>
    </row>
    <row r="260" spans="3:11" s="22" customFormat="1" ht="15.95" customHeight="1" x14ac:dyDescent="0.25">
      <c r="C260" s="32" t="s">
        <v>147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165</v>
      </c>
      <c r="K261" s="48">
        <v>11800</v>
      </c>
    </row>
    <row r="262" spans="3:11" s="22" customFormat="1" ht="15.95" customHeight="1" x14ac:dyDescent="0.25">
      <c r="C262" s="32" t="s">
        <v>145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148</v>
      </c>
      <c r="K263" s="48">
        <v>1250</v>
      </c>
    </row>
    <row r="264" spans="3:11" s="22" customFormat="1" ht="15.95" customHeight="1" x14ac:dyDescent="0.25">
      <c r="C264" s="32" t="s">
        <v>146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165</v>
      </c>
      <c r="K265" s="48">
        <v>1500</v>
      </c>
    </row>
    <row r="266" spans="3:11" s="22" customFormat="1" ht="15.95" customHeight="1" x14ac:dyDescent="0.25">
      <c r="C266" s="32" t="s">
        <v>211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165</v>
      </c>
      <c r="K267" s="48">
        <v>1200</v>
      </c>
    </row>
    <row r="268" spans="3:11" s="22" customFormat="1" ht="15.95" customHeight="1" x14ac:dyDescent="0.25">
      <c r="C268" s="32" t="s">
        <v>263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262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165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27734.825000000001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2025-09-29T12:00:50Z</dcterms:modified>
</cp:coreProperties>
</file>