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KSI @ Intersolar 2026\"/>
    </mc:Choice>
  </mc:AlternateContent>
  <xr:revisionPtr revIDLastSave="0" documentId="13_ncr:1_{07F376ED-CE74-493E-9CA4-4262ED2E37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34" i="1"/>
  <c r="E136" i="1" l="1"/>
  <c r="E269" i="1" l="1"/>
  <c r="D268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9" i="1" l="1"/>
  <c r="D88" i="1" s="1"/>
  <c r="E15" i="1" l="1"/>
  <c r="E84" i="1" l="1"/>
  <c r="E85" i="1"/>
  <c r="E86" i="1"/>
  <c r="E209" i="1" l="1"/>
  <c r="E133" i="1"/>
  <c r="E166" i="1"/>
  <c r="D165" i="1" s="1"/>
  <c r="D208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1" i="1"/>
  <c r="E32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2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1" i="1"/>
  <c r="D220" i="1" s="1"/>
  <c r="D16" i="1" l="1"/>
  <c r="D151" i="1"/>
  <c r="D132" i="1"/>
  <c r="D143" i="1"/>
  <c r="D109" i="1"/>
  <c r="D270" i="1" l="1"/>
</calcChain>
</file>

<file path=xl/sharedStrings.xml><?xml version="1.0" encoding="utf-8"?>
<sst xmlns="http://schemas.openxmlformats.org/spreadsheetml/2006/main" count="583" uniqueCount="282">
  <si>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</si>
  <si>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</si>
  <si>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</si>
  <si>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</si>
  <si>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</si>
  <si>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</si>
  <si>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</si>
  <si>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</si>
  <si>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</si>
  <si>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</si>
  <si>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</si>
  <si>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</si>
  <si>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</si>
  <si>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</si>
  <si>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</si>
  <si>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</si>
  <si>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</si>
  <si>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</si>
  <si>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</si>
  <si>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</si>
  <si>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</si>
  <si>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</si>
  <si>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</si>
  <si>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</si>
  <si>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</si>
  <si>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</si>
  <si>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</si>
  <si>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</si>
  <si>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</si>
  <si>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</si>
  <si>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</si>
  <si>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</si>
  <si>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</si>
  <si>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</si>
  <si>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</si>
  <si>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</si>
  <si>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</si>
  <si>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</si>
  <si>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</si>
  <si>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</si>
  <si>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</si>
  <si>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</si>
  <si>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</si>
  <si>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</si>
  <si>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</si>
  <si>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</si>
  <si>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</si>
  <si>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</si>
  <si>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</si>
  <si>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</si>
  <si>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</si>
  <si>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</si>
  <si>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</si>
  <si>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</si>
  <si>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</si>
  <si>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</si>
  <si>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</si>
  <si>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</si>
  <si>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</si>
  <si>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</si>
  <si>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</si>
  <si>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</si>
  <si>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</si>
  <si>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</si>
  <si>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</si>
  <si>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</si>
  <si>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</si>
  <si>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</si>
  <si>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</si>
  <si>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</si>
  <si>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</si>
  <si>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</si>
  <si>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</si>
  <si>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</si>
  <si>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</si>
  <si>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</si>
  <si>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</si>
  <si>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</si>
  <si>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</si>
  <si>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</si>
  <si>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</si>
  <si>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</si>
  <si>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</si>
  <si>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</si>
  <si>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</si>
  <si>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</si>
  <si>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</si>
  <si>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</si>
  <si>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</si>
  <si>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</si>
  <si>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</si>
  <si>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</si>
  <si>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</si>
  <si>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</si>
  <si>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</si>
  <si>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</si>
  <si>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</si>
  <si>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</si>
  <si>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</si>
  <si>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</si>
  <si>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</si>
  <si>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</si>
  <si>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</si>
  <si>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</si>
  <si>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</si>
  <si>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</si>
  <si>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</si>
  <si>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</si>
  <si>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</si>
  <si>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</si>
  <si>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</si>
  <si>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</si>
  <si>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</si>
  <si>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</si>
  <si>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</si>
  <si>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</si>
  <si>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</si>
  <si>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</si>
  <si>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</si>
  <si>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</si>
  <si>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</si>
  <si>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</si>
  <si>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</si>
  <si>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</si>
  <si>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</si>
  <si>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</si>
  <si>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</si>
  <si>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</si>
  <si>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</si>
  <si>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</si>
  <si>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</si>
  <si>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</si>
  <si>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</si>
  <si>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</si>
  <si>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</si>
  <si>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</si>
  <si>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</si>
  <si>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</si>
  <si>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</si>
  <si>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</si>
  <si>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</si>
  <si>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</si>
  <si>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</si>
  <si>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</si>
  <si>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</si>
  <si>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</si>
  <si>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</si>
  <si>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</si>
  <si>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</si>
  <si>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</si>
  <si>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</si>
  <si>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</si>
  <si>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</si>
  <si>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</si>
  <si>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</si>
  <si>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</si>
  <si>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</si>
  <si>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</si>
  <si>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</si>
  <si>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</si>
  <si>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</si>
  <si>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</si>
  <si>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</si>
  <si>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</si>
  <si>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</si>
  <si>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</si>
  <si>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</si>
  <si>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</si>
  <si>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</si>
  <si>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</si>
  <si>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</si>
  <si>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</si>
  <si>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</si>
  <si>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</si>
  <si>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</si>
  <si>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</si>
  <si>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</si>
  <si>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</si>
  <si>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</si>
  <si>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</si>
  <si>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</si>
  <si>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</si>
  <si>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</si>
  <si>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</si>
  <si>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</si>
  <si>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</si>
  <si>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</si>
  <si>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</si>
  <si>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</si>
  <si>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</si>
  <si>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</si>
  <si>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</si>
  <si>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</si>
  <si>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</si>
  <si>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</si>
  <si>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</si>
  <si>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</si>
  <si>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</si>
  <si>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</si>
  <si>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</si>
  <si>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</si>
  <si>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</si>
  <si>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</si>
  <si>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</si>
  <si>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</si>
  <si>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</si>
  <si>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</si>
  <si>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</si>
  <si>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</si>
  <si>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</si>
  <si>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</si>
  <si>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</si>
  <si>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</si>
  <si>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</si>
  <si>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</si>
  <si>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</si>
  <si>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</si>
  <si>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</si>
  <si>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</si>
  <si>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</si>
  <si>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</si>
  <si>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</si>
  <si>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</si>
  <si>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</si>
  <si>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</si>
  <si>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</si>
  <si>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</si>
  <si>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</si>
  <si>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</si>
  <si>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</si>
  <si>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</si>
  <si>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</si>
  <si>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</si>
  <si>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</si>
  <si>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</si>
  <si>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</si>
  <si>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</si>
  <si>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</si>
  <si>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</si>
  <si>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</si>
  <si>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</si>
  <si>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</si>
  <si>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</si>
  <si>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</si>
  <si>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</si>
  <si>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</si>
  <si>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</si>
  <si>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</si>
  <si>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</si>
  <si>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</si>
  <si>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</si>
  <si>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</si>
  <si>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</si>
  <si>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</si>
  <si>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</si>
  <si>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</si>
  <si>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</si>
  <si>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</si>
  <si>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</si>
  <si>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</si>
  <si>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</si>
  <si>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</si>
  <si>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</si>
  <si>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</si>
  <si>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</si>
  <si>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</si>
  <si>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</si>
  <si>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</si>
  <si>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</si>
  <si>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</si>
  <si>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</si>
  <si>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</si>
  <si>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(Laminated)- 3.0 x 0.5 x 1.0</t>
  </si>
  <si>
    <t>Opt Nr:-  1A</t>
  </si>
  <si>
    <t>Date:- 20-02-2026</t>
  </si>
  <si>
    <t>KSI</t>
  </si>
  <si>
    <t>INTERSOLAR 2026</t>
  </si>
  <si>
    <t>10M X 5M</t>
  </si>
  <si>
    <t>50 SQM</t>
  </si>
  <si>
    <t>4M</t>
  </si>
  <si>
    <t>23-25 JUNE, 2026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</si>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</sst>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143</xdr:row>
      <xdr:rowOff>1</xdr:rowOff>
    </xdr:from>
    <xdr:to>
      <xdr:col>1</xdr:col>
      <xdr:colOff>1038226</xdr:colOff>
      <xdr:row>269</xdr:row>
      <xdr:rowOff>136358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EED3CC-4A6B-4720-9E37-D592B4DDB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6"/>
          <a:ext cx="2095500" cy="1936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2" sqref="D2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274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275</v>
      </c>
      <c r="C2" s="26" t="s">
        <v>151</v>
      </c>
      <c r="D2" s="27">
        <f>SUM(E3:E11)</f>
        <v>1724.26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495.03999999999996</v>
      </c>
      <c r="F4" s="8"/>
      <c r="G4" s="8"/>
      <c r="H4" s="8"/>
      <c r="I4" s="9">
        <v>52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1188.72</v>
      </c>
      <c r="F8" s="8"/>
      <c r="G8" s="8"/>
      <c r="H8" s="8"/>
      <c r="I8" s="9">
        <v>52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40.5</v>
      </c>
      <c r="F9" s="8"/>
      <c r="G9" s="8"/>
      <c r="H9" s="8"/>
      <c r="I9" s="9">
        <v>10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276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281</v>
      </c>
      <c r="C16" s="26" t="s">
        <v>184</v>
      </c>
      <c r="D16" s="27">
        <f>SUM(E17:E87)</f>
        <v>3453.2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ref="E34" si="2">I34*K34</f>
        <v>462.84999999999997</v>
      </c>
      <c r="F34" s="8">
        <v>1</v>
      </c>
      <c r="G34" s="8">
        <v>0.1</v>
      </c>
      <c r="H34" s="8">
        <v>4</v>
      </c>
      <c r="I34" s="9">
        <v>5</v>
      </c>
      <c r="J34" s="10" t="s">
        <v>154</v>
      </c>
      <c r="K34" s="30">
        <v>92.57</v>
      </c>
    </row>
    <row r="35" spans="2:11" ht="15.95" hidden="1" customHeight="1" x14ac:dyDescent="0.25">
      <c r="B35" s="29"/>
      <c r="C35" s="7" t="s">
        <v>31</v>
      </c>
      <c r="D35" s="7"/>
      <c r="E35" s="8">
        <f t="shared" si="1"/>
        <v>833.12999999999988</v>
      </c>
      <c r="F35" s="8">
        <v>1</v>
      </c>
      <c r="G35" s="8">
        <v>0.1</v>
      </c>
      <c r="H35" s="8">
        <v>4</v>
      </c>
      <c r="I35" s="9">
        <v>9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B53" s="29" t="s">
        <v>249</v>
      </c>
      <c r="C53" s="7" t="s">
        <v>39</v>
      </c>
      <c r="D53" s="7"/>
      <c r="E53" s="8">
        <f t="shared" si="3"/>
        <v>231.42000000000002</v>
      </c>
      <c r="F53" s="8">
        <v>1</v>
      </c>
      <c r="G53" s="8">
        <v>0.2</v>
      </c>
      <c r="H53" s="8">
        <v>2.5</v>
      </c>
      <c r="I53" s="9">
        <v>3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B64" s="29" t="s">
        <v>249</v>
      </c>
      <c r="C64" s="7" t="s">
        <v>32</v>
      </c>
      <c r="D64" s="7"/>
      <c r="E64" s="8">
        <f t="shared" si="3"/>
        <v>1925.8000000000002</v>
      </c>
      <c r="F64" s="8">
        <v>1</v>
      </c>
      <c r="G64" s="8">
        <v>0.2</v>
      </c>
      <c r="H64" s="8">
        <v>4</v>
      </c>
      <c r="I64" s="9">
        <v>20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280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277</v>
      </c>
      <c r="C109" s="26" t="s">
        <v>196</v>
      </c>
      <c r="D109" s="27">
        <f>SUM(E110:E131)</f>
        <v>400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6"/>
        <v>400</v>
      </c>
      <c r="F113" s="8">
        <v>3</v>
      </c>
      <c r="G113" s="8">
        <v>0.5</v>
      </c>
      <c r="H113" s="8">
        <v>1</v>
      </c>
      <c r="I113" s="8">
        <v>1</v>
      </c>
      <c r="J113" s="10" t="s">
        <v>166</v>
      </c>
      <c r="K113" s="30">
        <v>400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278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279</v>
      </c>
      <c r="C143" s="26" t="s">
        <v>205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509.98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178.5</v>
      </c>
      <c r="F152" s="8"/>
      <c r="G152" s="8"/>
      <c r="H152" s="8"/>
      <c r="I152" s="8">
        <v>15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60</v>
      </c>
      <c r="F159" s="12"/>
      <c r="G159" s="12"/>
      <c r="H159" s="12"/>
      <c r="I159" s="8">
        <v>12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81</v>
      </c>
      <c r="F163" s="8"/>
      <c r="G163" s="8"/>
      <c r="H163" s="8"/>
      <c r="I163" s="8">
        <v>20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421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30</v>
      </c>
      <c r="F166" s="12"/>
      <c r="G166" s="12"/>
      <c r="H166" s="12"/>
      <c r="I166" s="8">
        <v>2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96</v>
      </c>
      <c r="F167" s="12"/>
      <c r="G167" s="12"/>
      <c r="H167" s="12"/>
      <c r="I167" s="8">
        <v>8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40</v>
      </c>
      <c r="F168" s="12"/>
      <c r="G168" s="12"/>
      <c r="H168" s="12"/>
      <c r="I168" s="8">
        <v>2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25</v>
      </c>
      <c r="F183" s="12"/>
      <c r="G183" s="12"/>
      <c r="H183" s="12"/>
      <c r="I183" s="8">
        <v>1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85</v>
      </c>
      <c r="F191" s="8"/>
      <c r="G191" s="8"/>
      <c r="H191" s="8"/>
      <c r="I191" s="8">
        <v>1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1649.1399999999999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1315.8</v>
      </c>
      <c r="F210" s="8">
        <v>1</v>
      </c>
      <c r="G210" s="8">
        <v>1</v>
      </c>
      <c r="H210" s="12"/>
      <c r="I210" s="8">
        <v>85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95.24</v>
      </c>
      <c r="F213" s="8">
        <v>1</v>
      </c>
      <c r="G213" s="8">
        <v>1</v>
      </c>
      <c r="H213" s="12"/>
      <c r="I213" s="8">
        <v>1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238.1</v>
      </c>
      <c r="F214" s="8">
        <v>1</v>
      </c>
      <c r="G214" s="8">
        <v>1</v>
      </c>
      <c r="H214" s="12"/>
      <c r="I214" s="8">
        <v>5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2620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440</v>
      </c>
      <c r="F233" s="8"/>
      <c r="G233" s="8"/>
      <c r="H233" s="8"/>
      <c r="I233" s="8">
        <v>2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780</v>
      </c>
      <c r="F235" s="8"/>
      <c r="G235" s="8"/>
      <c r="H235" s="8"/>
      <c r="I235" s="8">
        <v>2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1400</v>
      </c>
      <c r="F238" s="8"/>
      <c r="G238" s="8"/>
      <c r="H238" s="8"/>
      <c r="I238" s="8">
        <v>1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9500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9500</v>
      </c>
      <c r="F261" s="24"/>
      <c r="G261" s="24"/>
      <c r="H261" s="24"/>
      <c r="I261" s="24">
        <v>1</v>
      </c>
      <c r="J261" s="25" t="s">
        <v>166</v>
      </c>
      <c r="K261" s="48">
        <v>9500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27012.58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2026-02-20T10:34:25Z</dcterms:modified>
</cp:coreProperties>
</file>