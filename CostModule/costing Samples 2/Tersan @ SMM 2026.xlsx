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Tersan @ SMM 2026\Standard Cost\"/>
    </mc:Choice>
  </mc:AlternateContent>
  <xr:revisionPtr revIDLastSave="0" documentId="13_ncr:1_{87E93565-ECDC-4C06-AE5A-94C38E6B2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113" i="1"/>
  <c r="E112" i="1"/>
  <c r="E266" i="1" l="1"/>
  <c r="D265" i="1" s="1"/>
  <c r="E137" i="1" l="1"/>
  <c r="E272" i="1" l="1"/>
  <c r="D271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2" i="1"/>
  <c r="D221" i="1" s="1"/>
  <c r="D16" i="1" l="1"/>
  <c r="D152" i="1"/>
  <c r="D133" i="1"/>
  <c r="D144" i="1"/>
  <c r="D109" i="1"/>
  <c r="D273" i="1" l="1"/>
</calcChain>
</file>

<file path=xl/sharedStrings.xml><?xml version="1.0" encoding="utf-8"?>
<sst xmlns="http://schemas.openxmlformats.org/spreadsheetml/2006/main" count="586" uniqueCount="283">
  <si>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</si>
  <si>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</si>
  <si>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</si>
  <si>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</si>
  <si>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</si>
  <si>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</si>
  <si>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</si>
  <si>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</si>
  <si>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</si>
  <si>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</si>
  <si>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</si>
  <si>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</si>
  <si>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</si>
  <si>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</si>
  <si>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</si>
  <si>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</si>
  <si>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</si>
  <si>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</si>
  <si>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</si>
  <si>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</si>
  <si>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</si>
  <si>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</si>
  <si>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</si>
  <si>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</si>
  <si>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</si>
  <si>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</si>
  <si>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</si>
  <si>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</si>
  <si>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</si>
  <si>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</si>
  <si>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</si>
  <si>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</si>
  <si>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</si>
  <si>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</si>
  <si>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</si>
  <si>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</si>
  <si>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</si>
  <si>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</si>
  <si>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</si>
  <si>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</si>
  <si>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</si>
  <si>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</si>
  <si>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</si>
  <si>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</si>
  <si>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</si>
  <si>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</si>
  <si>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</si>
  <si>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</si>
  <si>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</si>
  <si>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</si>
  <si>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</si>
  <si>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</si>
  <si>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</si>
  <si>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</si>
  <si>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</si>
  <si>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</si>
  <si>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</si>
  <si>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</si>
  <si>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</si>
  <si>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</si>
  <si>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</si>
  <si>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</si>
  <si>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</si>
  <si>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</si>
  <si>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</si>
  <si>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</si>
  <si>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</si>
  <si>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</si>
  <si>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</si>
  <si>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</si>
  <si>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</si>
  <si>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</si>
  <si>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</si>
  <si>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</si>
  <si>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</si>
  <si>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</si>
  <si>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</si>
  <si>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</si>
  <si>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</si>
  <si>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</si>
  <si>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</si>
  <si>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</si>
  <si>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</si>
  <si>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</si>
  <si>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</si>
  <si>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</si>
  <si>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</si>
  <si>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</si>
  <si>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</si>
  <si>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</si>
  <si>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</si>
  <si>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</si>
  <si>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</si>
  <si>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</si>
  <si>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</si>
  <si>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</si>
  <si>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</si>
  <si>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</si>
  <si>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</si>
  <si>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</si>
  <si>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</si>
  <si>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</si>
  <si>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</si>
  <si>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</si>
  <si>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</si>
  <si>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</si>
  <si>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</si>
  <si>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</si>
  <si>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</si>
  <si>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</si>
  <si>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</si>
  <si>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</si>
  <si>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</si>
  <si>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</si>
  <si>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</si>
  <si>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</si>
  <si>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</si>
  <si>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</si>
  <si>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</si>
  <si>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</si>
  <si>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</si>
  <si>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</si>
  <si>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</si>
  <si>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</si>
  <si>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</si>
  <si>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</si>
  <si>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</si>
  <si>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</si>
  <si>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</si>
  <si>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</si>
  <si>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</si>
  <si>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</si>
  <si>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</si>
  <si>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</si>
  <si>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</si>
  <si>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</si>
  <si>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</si>
  <si>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</si>
  <si>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</si>
  <si>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</si>
  <si>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</si>
  <si>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</si>
  <si>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</si>
  <si>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</si>
  <si>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</si>
  <si>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</si>
  <si>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</si>
  <si>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</si>
  <si>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</si>
  <si>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</si>
  <si>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</si>
  <si>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</si>
  <si>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</si>
  <si>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</si>
  <si>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</si>
  <si>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</si>
  <si>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</si>
  <si>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</si>
  <si>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</si>
  <si>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</si>
  <si>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</si>
  <si>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</si>
  <si>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</si>
  <si>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</si>
  <si>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</si>
  <si>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</si>
  <si>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</si>
  <si>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</si>
  <si>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</si>
  <si>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</si>
  <si>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</si>
  <si>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</si>
  <si>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</si>
  <si>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</si>
  <si>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</si>
  <si>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</si>
  <si>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</si>
  <si>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</si>
  <si>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</si>
  <si>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</si>
  <si>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</si>
  <si>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</si>
  <si>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</si>
  <si>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</si>
  <si>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</si>
  <si>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</si>
  <si>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</si>
  <si>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</si>
  <si>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</si>
  <si>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</si>
  <si>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</si>
  <si>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</si>
  <si>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</si>
  <si>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</si>
  <si>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</si>
  <si>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</si>
  <si>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</si>
  <si>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</si>
  <si>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</si>
  <si>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</si>
  <si>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</si>
  <si>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</si>
  <si>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</si>
  <si>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</si>
  <si>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</si>
  <si>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</si>
  <si>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</si>
  <si>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</si>
  <si>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</si>
  <si>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</si>
  <si>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</si>
  <si>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</si>
  <si>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</si>
  <si>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</si>
  <si>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</si>
  <si>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</si>
  <si>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</si>
  <si>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</si>
  <si>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</si>
  <si>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</si>
  <si>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</si>
  <si>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</si>
  <si>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</si>
  <si>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</si>
  <si>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</si>
  <si>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</si>
  <si>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</si>
  <si>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</si>
  <si>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</si>
  <si>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</si>
  <si>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</si>
  <si>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</si>
  <si>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</si>
  <si>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</si>
  <si>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</si>
  <si>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</si>
  <si>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</si>
  <si>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</si>
  <si>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</si>
  <si>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</si>
  <si>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</si>
  <si>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</si>
  <si>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</si>
  <si>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</si>
  <si>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</si>
  <si>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</si>
  <si>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</si>
  <si>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</si>
  <si>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</si>
  <si>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</si>
  <si>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</si>
  <si>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</si>
  <si>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</si>
  <si>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</si>
  <si>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</si>
  <si>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</si>
  <si>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</si>
  <si>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</si>
  <si>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</si>
  <si>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</si>
  <si>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</si>
  <si>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</si>
  <si>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</si>
  <si>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</si>
  <si>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</si>
  <si>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</si>
  <si>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</si>
  <si>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</si>
  <si>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</si>
  <si>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</si>
  <si>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</si>
  <si>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</si>
  <si>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(Laminated)- 1.7 x 0.5 x 1.0</t>
  </si>
  <si>
    <t>Podium (Laminated)- 1.5 x 0.5 x 1.0</t>
  </si>
  <si>
    <t xml:space="preserve">COFFEE TABLE </t>
  </si>
  <si>
    <t>Opt Nr:-  1</t>
  </si>
  <si>
    <t>Date:- 01-04-2026</t>
  </si>
  <si>
    <t>TERSAN</t>
  </si>
  <si>
    <t>SMM 2026</t>
  </si>
  <si>
    <t>45 SQM</t>
  </si>
  <si>
    <t>4M</t>
  </si>
  <si>
    <t>01-04 SEP, 2026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</si>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</sst>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1048613</xdr:colOff>
      <xdr:row>264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E36FE-82EC-4242-B4A2-B5F43B44F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888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" activeCellId="1" sqref="D222:D271 D2:D22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277</v>
      </c>
      <c r="C2" s="26" t="s">
        <v>150</v>
      </c>
      <c r="D2" s="27">
        <f>SUM(E3:E11)</f>
        <v>1667.66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447.44</v>
      </c>
      <c r="F4" s="8"/>
      <c r="G4" s="8"/>
      <c r="H4" s="8"/>
      <c r="I4" s="9">
        <v>47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1074.42</v>
      </c>
      <c r="F8" s="8"/>
      <c r="G8" s="8"/>
      <c r="H8" s="8"/>
      <c r="I8" s="9">
        <v>47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145.79999999999998</v>
      </c>
      <c r="F9" s="8"/>
      <c r="G9" s="8"/>
      <c r="H9" s="8"/>
      <c r="I9" s="9">
        <v>36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278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282</v>
      </c>
      <c r="C16" s="26" t="s">
        <v>183</v>
      </c>
      <c r="D16" s="27">
        <f>SUM(E17:E87)</f>
        <v>2401.2849999999999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314.3</v>
      </c>
      <c r="F25" s="8">
        <v>1</v>
      </c>
      <c r="G25" s="8">
        <v>0.1</v>
      </c>
      <c r="H25" s="8">
        <v>3</v>
      </c>
      <c r="I25" s="9">
        <v>5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ref="E26" si="2">I26*K26</f>
        <v>139.41999999999999</v>
      </c>
      <c r="F26" s="8">
        <v>1</v>
      </c>
      <c r="G26" s="8">
        <v>0.1</v>
      </c>
      <c r="H26" s="8">
        <v>3</v>
      </c>
      <c r="I26" s="9">
        <v>2</v>
      </c>
      <c r="J26" s="10" t="s">
        <v>153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69.709999999999994</v>
      </c>
      <c r="F27" s="8">
        <v>1</v>
      </c>
      <c r="G27" s="8">
        <v>0.1</v>
      </c>
      <c r="H27" s="8">
        <v>3</v>
      </c>
      <c r="I27" s="9">
        <v>1</v>
      </c>
      <c r="J27" s="10" t="s">
        <v>153</v>
      </c>
      <c r="K27" s="30">
        <v>69.709999999999994</v>
      </c>
    </row>
    <row r="28" spans="2:11" ht="15.95" hidden="1" customHeight="1" x14ac:dyDescent="0.25">
      <c r="C28" s="7" t="s">
        <v>98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2:11" ht="15.95" hidden="1" customHeight="1" x14ac:dyDescent="0.25">
      <c r="B30" s="29" t="s">
        <v>248</v>
      </c>
      <c r="C30" s="7" t="s">
        <v>64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2:11" ht="15.95" hidden="1" customHeight="1" x14ac:dyDescent="0.25">
      <c r="B31" s="29" t="s">
        <v>248</v>
      </c>
      <c r="C31" s="7" t="s">
        <v>65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1"/>
        <v>740.56</v>
      </c>
      <c r="F35" s="8">
        <v>1</v>
      </c>
      <c r="G35" s="8">
        <v>0.1</v>
      </c>
      <c r="H35" s="8">
        <v>4</v>
      </c>
      <c r="I35" s="9">
        <v>8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2:11" ht="15.95" hidden="1" customHeight="1" x14ac:dyDescent="0.25">
      <c r="B57" s="29" t="s">
        <v>248</v>
      </c>
      <c r="C57" s="7" t="s">
        <v>35</v>
      </c>
      <c r="D57" s="7"/>
      <c r="E57" s="8">
        <f t="shared" si="3"/>
        <v>633.29500000000007</v>
      </c>
      <c r="F57" s="8">
        <v>1</v>
      </c>
      <c r="G57" s="8">
        <v>0.2</v>
      </c>
      <c r="H57" s="8">
        <v>3</v>
      </c>
      <c r="I57" s="9">
        <v>6.5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B65" s="29" t="s">
        <v>248</v>
      </c>
      <c r="C65" s="7" t="s">
        <v>31</v>
      </c>
      <c r="D65" s="7"/>
      <c r="E65" s="8">
        <f t="shared" si="3"/>
        <v>504</v>
      </c>
      <c r="F65" s="8">
        <v>1</v>
      </c>
      <c r="G65" s="8">
        <v>0.2</v>
      </c>
      <c r="H65" s="8">
        <v>4</v>
      </c>
      <c r="I65" s="9">
        <v>4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281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C109" s="26" t="s">
        <v>195</v>
      </c>
      <c r="D109" s="27">
        <f>SUM(E110:E132)</f>
        <v>571.43999999999994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190.48</v>
      </c>
      <c r="F113" s="8">
        <v>1.7</v>
      </c>
      <c r="G113" s="8">
        <v>0.5</v>
      </c>
      <c r="H113" s="8">
        <v>1</v>
      </c>
      <c r="I113" s="8">
        <v>1</v>
      </c>
      <c r="J113" s="10" t="s">
        <v>165</v>
      </c>
      <c r="K113" s="30">
        <v>190.48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380.96</v>
      </c>
      <c r="F114" s="8">
        <v>1.5</v>
      </c>
      <c r="G114" s="8">
        <v>0.5</v>
      </c>
      <c r="H114" s="8">
        <v>1</v>
      </c>
      <c r="I114" s="8">
        <v>2</v>
      </c>
      <c r="J114" s="10" t="s">
        <v>165</v>
      </c>
      <c r="K114" s="30">
        <v>190.48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279</v>
      </c>
      <c r="C133" s="26" t="s">
        <v>203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270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280</v>
      </c>
      <c r="C144" s="26" t="s">
        <v>204</v>
      </c>
      <c r="D144" s="27">
        <f>SUM(E145:E151)</f>
        <v>390.52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9">I145*K145</f>
        <v>309.52</v>
      </c>
      <c r="F145" s="8">
        <v>1.5</v>
      </c>
      <c r="G145" s="8">
        <v>0.2</v>
      </c>
      <c r="H145" s="8">
        <v>0.8</v>
      </c>
      <c r="I145" s="8">
        <v>2</v>
      </c>
      <c r="J145" s="10" t="s">
        <v>165</v>
      </c>
      <c r="K145" s="30">
        <v>154.76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9"/>
        <v>36</v>
      </c>
      <c r="F147" s="8">
        <v>0</v>
      </c>
      <c r="G147" s="8">
        <v>0</v>
      </c>
      <c r="H147" s="8">
        <v>0</v>
      </c>
      <c r="I147" s="8">
        <v>12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9"/>
        <v>25</v>
      </c>
      <c r="F148" s="8">
        <v>0</v>
      </c>
      <c r="G148" s="8">
        <v>0</v>
      </c>
      <c r="H148" s="8">
        <v>0</v>
      </c>
      <c r="I148" s="8">
        <v>1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9"/>
        <v>20</v>
      </c>
      <c r="F151" s="8"/>
      <c r="G151" s="8"/>
      <c r="H151" s="8"/>
      <c r="I151" s="8">
        <v>1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733.98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119</v>
      </c>
      <c r="F153" s="8"/>
      <c r="G153" s="8"/>
      <c r="H153" s="8"/>
      <c r="I153" s="8">
        <v>10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0"/>
        <v>60</v>
      </c>
      <c r="F160" s="12"/>
      <c r="G160" s="12"/>
      <c r="H160" s="12"/>
      <c r="I160" s="8">
        <v>12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364.5</v>
      </c>
      <c r="F164" s="8"/>
      <c r="G164" s="8"/>
      <c r="H164" s="8"/>
      <c r="I164" s="8">
        <v>90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589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15</v>
      </c>
      <c r="F167" s="12"/>
      <c r="G167" s="12"/>
      <c r="H167" s="12"/>
      <c r="I167" s="8">
        <v>1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144</v>
      </c>
      <c r="F168" s="12"/>
      <c r="G168" s="12"/>
      <c r="H168" s="12"/>
      <c r="I168" s="8">
        <v>12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60</v>
      </c>
      <c r="F169" s="12"/>
      <c r="G169" s="12"/>
      <c r="H169" s="12"/>
      <c r="I169" s="8">
        <v>3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170</v>
      </c>
      <c r="F176" s="12"/>
      <c r="G176" s="12"/>
      <c r="H176" s="12"/>
      <c r="I176" s="8">
        <v>2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32</v>
      </c>
      <c r="F179" s="12"/>
      <c r="G179" s="12"/>
      <c r="H179" s="12"/>
      <c r="I179" s="8">
        <v>4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30</v>
      </c>
      <c r="F180" s="12"/>
      <c r="G180" s="12"/>
      <c r="H180" s="12"/>
      <c r="I180" s="8">
        <v>2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274</v>
      </c>
      <c r="D187" s="7"/>
      <c r="E187" s="8">
        <f t="shared" si="11"/>
        <v>25</v>
      </c>
      <c r="F187" s="12"/>
      <c r="G187" s="12"/>
      <c r="H187" s="12"/>
      <c r="I187" s="8">
        <v>1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1485.98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495.36</v>
      </c>
      <c r="F211" s="8">
        <v>1</v>
      </c>
      <c r="G211" s="8">
        <v>1</v>
      </c>
      <c r="H211" s="12"/>
      <c r="I211" s="8">
        <v>32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448.92</v>
      </c>
      <c r="F212" s="8">
        <v>1</v>
      </c>
      <c r="G212" s="8">
        <v>1</v>
      </c>
      <c r="H212" s="12"/>
      <c r="I212" s="8">
        <v>29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65.5</v>
      </c>
      <c r="F213" s="8">
        <v>1</v>
      </c>
      <c r="G213" s="8">
        <v>1</v>
      </c>
      <c r="H213" s="12"/>
      <c r="I213" s="8">
        <v>5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476.2</v>
      </c>
      <c r="F214" s="8">
        <v>1</v>
      </c>
      <c r="G214" s="8">
        <v>1</v>
      </c>
      <c r="H214" s="12"/>
      <c r="I214" s="8">
        <v>5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250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250</v>
      </c>
      <c r="F235" s="8"/>
      <c r="G235" s="8"/>
      <c r="H235" s="8"/>
      <c r="I235" s="8">
        <v>1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165</v>
      </c>
      <c r="K262" s="48">
        <v>9500</v>
      </c>
    </row>
    <row r="263" spans="3:11" s="22" customFormat="1" ht="15.95" customHeight="1" x14ac:dyDescent="0.25">
      <c r="C263" s="32" t="s">
        <v>145</v>
      </c>
      <c r="D263" s="33">
        <f>SUM(E264)</f>
        <v>3250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3250</v>
      </c>
      <c r="F264" s="41"/>
      <c r="G264" s="41"/>
      <c r="H264" s="41"/>
      <c r="I264" s="24">
        <v>2</v>
      </c>
      <c r="J264" s="25" t="s">
        <v>148</v>
      </c>
      <c r="K264" s="48">
        <v>1625</v>
      </c>
    </row>
    <row r="265" spans="3:11" s="22" customFormat="1" ht="15.95" customHeight="1" x14ac:dyDescent="0.25">
      <c r="C265" s="32" t="s">
        <v>271</v>
      </c>
      <c r="D265" s="33">
        <f>SUM(E266)</f>
        <v>650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650</v>
      </c>
      <c r="F266" s="41"/>
      <c r="G266" s="41"/>
      <c r="H266" s="41"/>
      <c r="I266" s="24">
        <v>1</v>
      </c>
      <c r="J266" s="25" t="s">
        <v>165</v>
      </c>
      <c r="K266" s="48">
        <v>650</v>
      </c>
    </row>
    <row r="267" spans="3:11" s="22" customFormat="1" ht="15.95" customHeight="1" x14ac:dyDescent="0.25">
      <c r="C267" s="32" t="s">
        <v>146</v>
      </c>
      <c r="D267" s="33">
        <f>SUM(E268)</f>
        <v>5000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5000</v>
      </c>
      <c r="F268" s="41"/>
      <c r="G268" s="41"/>
      <c r="H268" s="41"/>
      <c r="I268" s="24">
        <v>2</v>
      </c>
      <c r="J268" s="25" t="s">
        <v>165</v>
      </c>
      <c r="K268" s="48">
        <v>2500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263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262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165</v>
      </c>
      <c r="K272" s="48">
        <v>0</v>
      </c>
    </row>
    <row r="273" spans="3:11" ht="15.95" customHeight="1" thickBot="1" x14ac:dyDescent="0.3">
      <c r="C273" s="18" t="s">
        <v>56</v>
      </c>
      <c r="D273" s="14">
        <f>SUM(D2:D272)</f>
        <v>27724.864999999998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2026-04-01T09:44:50Z</dcterms:modified>
</cp:coreProperties>
</file>