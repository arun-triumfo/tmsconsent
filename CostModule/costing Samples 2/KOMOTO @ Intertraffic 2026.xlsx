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KOMOTO @ Intertraffic 2026\Standard Cost\"/>
    </mc:Choice>
  </mc:AlternateContent>
  <xr:revisionPtr revIDLastSave="0" documentId="13_ncr:1_{CF158291-D107-48C6-9F2F-3B25997825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5" i="1" l="1"/>
  <c r="E113" i="1"/>
  <c r="E112" i="1"/>
  <c r="E137" i="1" l="1"/>
  <c r="E270" i="1" l="1"/>
  <c r="D269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8" i="1" l="1"/>
  <c r="D87" i="1" s="1"/>
  <c r="E15" i="1" l="1"/>
  <c r="E83" i="1" l="1"/>
  <c r="E84" i="1"/>
  <c r="E85" i="1"/>
  <c r="E210" i="1" l="1"/>
  <c r="E134" i="1"/>
  <c r="E167" i="1"/>
  <c r="D166" i="1" s="1"/>
  <c r="D209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3" i="1" l="1"/>
  <c r="E145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2" i="1"/>
  <c r="D221" i="1" s="1"/>
  <c r="D16" i="1" l="1"/>
  <c r="D152" i="1"/>
  <c r="D133" i="1"/>
  <c r="D144" i="1"/>
  <c r="D109" i="1"/>
  <c r="D271" i="1" l="1"/>
</calcChain>
</file>

<file path=xl/sharedStrings.xml><?xml version="1.0" encoding="utf-8"?>
<sst xmlns="http://schemas.openxmlformats.org/spreadsheetml/2006/main" count="582" uniqueCount="283">
  <si>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</si>
  <si>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</si>
  <si>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</si>
  <si>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</si>
  <si>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</si>
  <si>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</si>
  <si>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</si>
  <si>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</si>
  <si>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</si>
  <si>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</si>
  <si>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</si>
  <si>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</si>
  <si>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</si>
  <si>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</si>
  <si>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</si>
  <si>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</si>
  <si>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</si>
  <si>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</si>
  <si>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</si>
  <si>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</si>
  <si>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</si>
  <si>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</si>
  <si>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</si>
  <si>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</si>
  <si>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</si>
  <si>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</si>
  <si>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</si>
  <si>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</si>
  <si>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</si>
  <si>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</si>
  <si>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</si>
  <si>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</si>
  <si>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</si>
  <si>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</si>
  <si>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</si>
  <si>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</si>
  <si>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</si>
  <si>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</si>
  <si>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</si>
  <si>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</si>
  <si>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</si>
  <si>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</si>
  <si>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</si>
  <si>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</si>
  <si>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</si>
  <si>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</si>
  <si>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</si>
  <si>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</si>
  <si>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</si>
  <si>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</si>
  <si>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</si>
  <si>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</si>
  <si>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</si>
  <si>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</si>
  <si>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</si>
  <si>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</si>
  <si>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</si>
  <si>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</si>
  <si>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</si>
  <si>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</si>
  <si>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</si>
  <si>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</si>
  <si>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</si>
  <si>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</si>
  <si>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</si>
  <si>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</si>
  <si>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</si>
  <si>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</si>
  <si>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</si>
  <si>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</si>
  <si>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</si>
  <si>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</si>
  <si>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</si>
  <si>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</si>
  <si>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</si>
  <si>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</si>
  <si>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</si>
  <si>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</si>
  <si>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</si>
  <si>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</si>
  <si>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</si>
  <si>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</si>
  <si>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</si>
  <si>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</si>
  <si>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</si>
  <si>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</si>
  <si>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</si>
  <si>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</si>
  <si>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</si>
  <si>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</si>
  <si>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</si>
  <si>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</si>
  <si>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</si>
  <si>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</si>
  <si>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</si>
  <si>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</si>
  <si>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</si>
  <si>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</si>
  <si>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</si>
  <si>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</si>
  <si>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</si>
  <si>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</si>
  <si>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</si>
  <si>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</si>
  <si>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</si>
  <si>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</si>
  <si>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</si>
  <si>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</si>
  <si>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</si>
  <si>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</si>
  <si>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</si>
  <si>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</si>
  <si>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</si>
  <si>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</si>
  <si>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</si>
  <si>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</si>
  <si>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</si>
  <si>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</si>
  <si>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</si>
  <si>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</si>
  <si>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</si>
  <si>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</si>
  <si>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</si>
  <si>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</si>
  <si>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</si>
  <si>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</si>
  <si>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</si>
  <si>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</si>
  <si>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</si>
  <si>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</si>
  <si>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</si>
  <si>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</si>
  <si>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</si>
  <si>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</si>
  <si>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</si>
  <si>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</si>
  <si>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</si>
  <si>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</si>
  <si>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</si>
  <si>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</si>
  <si>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</si>
  <si>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</si>
  <si>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</si>
  <si>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</si>
  <si>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</si>
  <si>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</si>
  <si>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</si>
  <si>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</si>
  <si>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</si>
  <si>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</si>
  <si>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</si>
  <si>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</si>
  <si>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</si>
  <si>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</si>
  <si>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</si>
  <si>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</si>
  <si>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</si>
  <si>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</si>
  <si>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</si>
  <si>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</si>
  <si>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</si>
  <si>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</si>
  <si>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</si>
  <si>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</si>
  <si>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</si>
  <si>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</si>
  <si>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</si>
  <si>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</si>
  <si>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</si>
  <si>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</si>
  <si>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</si>
  <si>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</si>
  <si>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</si>
  <si>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</si>
  <si>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</si>
  <si>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</si>
  <si>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</si>
  <si>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</si>
  <si>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</si>
  <si>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</si>
  <si>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</si>
  <si>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</si>
  <si>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</si>
  <si>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</si>
  <si>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</si>
  <si>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</si>
  <si>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</si>
  <si>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</si>
  <si>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</si>
  <si>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</si>
  <si>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</si>
  <si>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</si>
  <si>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</si>
  <si>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</si>
  <si>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</si>
  <si>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</si>
  <si>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</si>
  <si>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</si>
  <si>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</si>
  <si>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</si>
  <si>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</si>
  <si>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</si>
  <si>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</si>
  <si>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</si>
  <si>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</si>
  <si>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</si>
  <si>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</si>
  <si>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</si>
  <si>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</si>
  <si>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</si>
  <si>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</si>
  <si>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</si>
  <si>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</si>
  <si>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</si>
  <si>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</si>
  <si>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</si>
  <si>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</si>
  <si>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</si>
  <si>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</si>
  <si>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</si>
  <si>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</si>
  <si>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</si>
  <si>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</si>
  <si>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</si>
  <si>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</si>
  <si>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</si>
  <si>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</si>
  <si>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</si>
  <si>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</si>
  <si>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</si>
  <si>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</si>
  <si>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</si>
  <si>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</si>
  <si>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</si>
  <si>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</si>
  <si>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</si>
  <si>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</si>
  <si>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</si>
  <si>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</si>
  <si>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</si>
  <si>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</si>
  <si>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</si>
  <si>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</si>
  <si>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</si>
  <si>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</si>
  <si>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</si>
  <si>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</si>
  <si>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</si>
  <si>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</si>
  <si>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</si>
  <si>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</si>
  <si>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</si>
  <si>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</si>
  <si>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</si>
  <si>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</si>
  <si>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</si>
  <si>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</si>
  <si>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</si>
  <si>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</si>
  <si>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</si>
  <si>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</si>
  <si>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</si>
  <si>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</si>
  <si>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</si>
  <si>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</si>
  <si>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</si>
  <si>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</si>
  <si>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</si>
  <si>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</si>
  <si>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</si>
  <si>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</si>
  <si>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</si>
  <si>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(Laminated)- 2.1 x 0.5 x 1.0</t>
  </si>
  <si>
    <t>Podium (Laminated)- 6.0 x 1.4 x 1.0</t>
  </si>
  <si>
    <t>FABRRIC Hanging (11m x 8.5m x 1.2m)</t>
  </si>
  <si>
    <t>Opt Nr:-  1</t>
  </si>
  <si>
    <t>Date:- 15-12-2025</t>
  </si>
  <si>
    <t>KOMOTO</t>
  </si>
  <si>
    <t>INTERTRAFFIC 2026</t>
  </si>
  <si>
    <t>13M X 12M</t>
  </si>
  <si>
    <t>156 SQM</t>
  </si>
  <si>
    <t>10-13 MAR, 2026</t>
  </si>
  <si>
    <t>AMSTERDAM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</si>
</sst>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1047750</xdr:colOff>
      <xdr:row>265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2C518-60C2-4E0D-BF41-E3CE58E12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E87" sqref="E87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277</v>
      </c>
      <c r="C2" s="26" t="s">
        <v>151</v>
      </c>
      <c r="D2" s="27">
        <f>SUM(E3:E11)</f>
        <v>2005.13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260.26</v>
      </c>
      <c r="F3" s="8"/>
      <c r="G3" s="8"/>
      <c r="H3" s="8"/>
      <c r="I3" s="9">
        <v>91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971.71999999999991</v>
      </c>
      <c r="F5" s="8"/>
      <c r="G5" s="8"/>
      <c r="H5" s="8"/>
      <c r="I5" s="9">
        <v>68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680</v>
      </c>
      <c r="F7" s="8"/>
      <c r="G7" s="8"/>
      <c r="H7" s="8"/>
      <c r="I7" s="9">
        <v>68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93.149999999999991</v>
      </c>
      <c r="F9" s="8"/>
      <c r="G9" s="8"/>
      <c r="H9" s="8"/>
      <c r="I9" s="9">
        <v>23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278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SUM(E17:E86)</f>
        <v>2170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2170</v>
      </c>
      <c r="F18" s="8">
        <v>1</v>
      </c>
      <c r="G18" s="8">
        <v>0.1</v>
      </c>
      <c r="H18" s="8">
        <v>2.5</v>
      </c>
      <c r="I18" s="9">
        <v>31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281</v>
      </c>
      <c r="C87" s="26" t="s">
        <v>195</v>
      </c>
      <c r="D87" s="27">
        <f>SUM(E88:E108)</f>
        <v>4031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4">I88*K88</f>
        <v>975</v>
      </c>
      <c r="F88" s="24"/>
      <c r="G88" s="24"/>
      <c r="H88" s="24"/>
      <c r="I88" s="24">
        <v>39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40</v>
      </c>
      <c r="F89" s="24"/>
      <c r="G89" s="24"/>
      <c r="H89" s="24"/>
      <c r="I89" s="24">
        <v>4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16</v>
      </c>
      <c r="F90" s="24"/>
      <c r="G90" s="24"/>
      <c r="H90" s="24"/>
      <c r="I90" s="24">
        <v>8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274</v>
      </c>
      <c r="D95" s="7"/>
      <c r="E95" s="24">
        <f t="shared" ref="E95" si="5">I95*K95</f>
        <v>3000</v>
      </c>
      <c r="F95" s="8"/>
      <c r="G95" s="8"/>
      <c r="H95" s="8"/>
      <c r="I95" s="8">
        <v>1</v>
      </c>
      <c r="J95" s="10" t="s">
        <v>166</v>
      </c>
      <c r="K95" s="48">
        <v>3000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279</v>
      </c>
      <c r="C109" s="26" t="s">
        <v>196</v>
      </c>
      <c r="D109" s="27">
        <f>SUM(E110:E132)</f>
        <v>1415.71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3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285.70999999999998</v>
      </c>
      <c r="F113" s="8">
        <v>2.1</v>
      </c>
      <c r="G113" s="8">
        <v>0.5</v>
      </c>
      <c r="H113" s="8">
        <v>1</v>
      </c>
      <c r="I113" s="8">
        <v>1</v>
      </c>
      <c r="J113" s="10" t="s">
        <v>166</v>
      </c>
      <c r="K113" s="30">
        <v>285.70999999999998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6"/>
        <v>1130</v>
      </c>
      <c r="F114" s="8">
        <v>6</v>
      </c>
      <c r="G114" s="8">
        <v>1.4</v>
      </c>
      <c r="H114" s="8">
        <v>1</v>
      </c>
      <c r="I114" s="8">
        <v>2</v>
      </c>
      <c r="J114" s="10" t="s">
        <v>166</v>
      </c>
      <c r="K114" s="30">
        <v>565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256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280</v>
      </c>
      <c r="C133" s="26" t="s">
        <v>204</v>
      </c>
      <c r="D133" s="27">
        <f>SUM(E134:E143)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8">I134*K134</f>
        <v>35</v>
      </c>
      <c r="F134" s="12"/>
      <c r="G134" s="12"/>
      <c r="H134" s="12"/>
      <c r="I134" s="8">
        <v>1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271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C144" s="26" t="s">
        <v>205</v>
      </c>
      <c r="D144" s="27">
        <f>SUM(E145:E151)</f>
        <v>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268</v>
      </c>
      <c r="D145" s="7"/>
      <c r="E145" s="8">
        <f t="shared" ref="E145:E151" si="9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166</v>
      </c>
      <c r="K145" s="30">
        <v>109.52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9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166</v>
      </c>
      <c r="K148" s="30">
        <v>25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809.48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10">I153*K153</f>
        <v>119</v>
      </c>
      <c r="F153" s="8"/>
      <c r="G153" s="8"/>
      <c r="H153" s="8"/>
      <c r="I153" s="8">
        <v>10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0"/>
        <v>100</v>
      </c>
      <c r="F160" s="12"/>
      <c r="G160" s="12"/>
      <c r="H160" s="12"/>
      <c r="I160" s="8">
        <v>20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10"/>
        <v>238</v>
      </c>
      <c r="F161" s="8"/>
      <c r="G161" s="8"/>
      <c r="H161" s="8"/>
      <c r="I161" s="8">
        <v>20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10"/>
        <v>162</v>
      </c>
      <c r="F164" s="8"/>
      <c r="G164" s="8"/>
      <c r="H164" s="8"/>
      <c r="I164" s="8">
        <v>40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553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15</v>
      </c>
      <c r="F167" s="12"/>
      <c r="G167" s="12"/>
      <c r="H167" s="12"/>
      <c r="I167" s="8">
        <v>1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192</v>
      </c>
      <c r="F168" s="12"/>
      <c r="G168" s="12"/>
      <c r="H168" s="12"/>
      <c r="I168" s="8">
        <v>16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80</v>
      </c>
      <c r="F169" s="12"/>
      <c r="G169" s="12"/>
      <c r="H169" s="12"/>
      <c r="I169" s="8">
        <v>4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40</v>
      </c>
      <c r="F179" s="12"/>
      <c r="G179" s="12"/>
      <c r="H179" s="12"/>
      <c r="I179" s="8">
        <v>5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1"/>
        <v>175</v>
      </c>
      <c r="F181" s="12"/>
      <c r="G181" s="12"/>
      <c r="H181" s="12"/>
      <c r="I181" s="8">
        <v>5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257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1"/>
        <v>16</v>
      </c>
      <c r="F194" s="8"/>
      <c r="G194" s="8"/>
      <c r="H194" s="8"/>
      <c r="I194" s="8">
        <v>2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131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2"/>
        <v>131</v>
      </c>
      <c r="F213" s="8">
        <v>1</v>
      </c>
      <c r="G213" s="8">
        <v>1</v>
      </c>
      <c r="H213" s="12"/>
      <c r="I213" s="8">
        <v>10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259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1320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3"/>
        <v>1320</v>
      </c>
      <c r="F234" s="8"/>
      <c r="G234" s="8"/>
      <c r="H234" s="8"/>
      <c r="I234" s="8">
        <v>6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10500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10500</v>
      </c>
      <c r="F262" s="24"/>
      <c r="G262" s="24"/>
      <c r="H262" s="24"/>
      <c r="I262" s="24">
        <v>1</v>
      </c>
      <c r="J262" s="25" t="s">
        <v>166</v>
      </c>
      <c r="K262" s="48">
        <v>10500</v>
      </c>
    </row>
    <row r="263" spans="3:11" s="22" customFormat="1" ht="15.95" customHeight="1" x14ac:dyDescent="0.25">
      <c r="C263" s="32" t="s">
        <v>146</v>
      </c>
      <c r="D263" s="33">
        <f>SUM(E264)</f>
        <v>5000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5000</v>
      </c>
      <c r="F264" s="41"/>
      <c r="G264" s="41"/>
      <c r="H264" s="41"/>
      <c r="I264" s="24">
        <v>1</v>
      </c>
      <c r="J264" s="25" t="s">
        <v>149</v>
      </c>
      <c r="K264" s="48">
        <v>5000</v>
      </c>
    </row>
    <row r="265" spans="3:11" s="22" customFormat="1" ht="15.95" customHeight="1" x14ac:dyDescent="0.25">
      <c r="C265" s="32" t="s">
        <v>147</v>
      </c>
      <c r="D265" s="33">
        <f>SUM(E266)</f>
        <v>5000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5000</v>
      </c>
      <c r="F266" s="41"/>
      <c r="G266" s="41"/>
      <c r="H266" s="41"/>
      <c r="I266" s="24">
        <v>2</v>
      </c>
      <c r="J266" s="25" t="s">
        <v>166</v>
      </c>
      <c r="K266" s="48">
        <v>2500</v>
      </c>
    </row>
    <row r="267" spans="3:11" s="22" customFormat="1" ht="15.95" customHeight="1" x14ac:dyDescent="0.25">
      <c r="C267" s="32" t="s">
        <v>212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264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263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166</v>
      </c>
      <c r="K270" s="48">
        <v>0</v>
      </c>
    </row>
    <row r="271" spans="3:11" ht="15.95" customHeight="1" thickBot="1" x14ac:dyDescent="0.3">
      <c r="C271" s="18" t="s">
        <v>57</v>
      </c>
      <c r="D271" s="14">
        <f>SUM(D2:D270)</f>
        <v>34435.32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2025-12-15T14:17:31Z</dcterms:modified>
</cp:coreProperties>
</file>