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LUTEC @ Light &amp; Building 2026\"/>
    </mc:Choice>
  </mc:AlternateContent>
  <xr:revisionPtr revIDLastSave="0" documentId="13_ncr:1_{57C656D4-5873-412D-96A6-A169D353AB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16" i="1"/>
  <c r="E117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5" i="1" l="1"/>
  <c r="E89" i="1" l="1"/>
  <c r="D88" i="1" s="1"/>
  <c r="E16" i="1" l="1"/>
  <c r="E84" i="1" l="1"/>
  <c r="E85" i="1"/>
  <c r="E86" i="1"/>
  <c r="E210" i="1" l="1"/>
  <c r="E134" i="1"/>
  <c r="E167" i="1"/>
  <c r="D166" i="1" s="1"/>
  <c r="D209" i="1" l="1"/>
  <c r="E87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7" i="1" l="1"/>
  <c r="D152" i="1"/>
  <c r="D133" i="1"/>
  <c r="D144" i="1"/>
  <c r="D109" i="1"/>
  <c r="D271" i="1" l="1"/>
</calcChain>
</file>

<file path=xl/sharedStrings.xml><?xml version="1.0" encoding="utf-8"?>
<sst xmlns="http://schemas.openxmlformats.org/spreadsheetml/2006/main" count="583" uniqueCount="284">
  <si>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</si>
  <si>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</si>
  <si>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</si>
  <si>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</si>
  <si>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</si>
  <si>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</si>
  <si>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</si>
  <si>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</si>
  <si>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</si>
  <si>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</si>
  <si>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</si>
  <si>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</si>
  <si>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</si>
  <si>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</si>
  <si>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</si>
  <si>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</si>
  <si>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</si>
  <si>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</si>
  <si>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</si>
  <si>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</si>
  <si>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</si>
  <si>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</si>
  <si>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</si>
  <si>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</si>
  <si>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</si>
  <si>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</si>
  <si>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</si>
  <si>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</si>
  <si>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</si>
  <si>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</si>
  <si>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</si>
  <si>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</si>
  <si>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</si>
  <si>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</si>
  <si>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</si>
  <si>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</si>
  <si>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</si>
  <si>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</si>
  <si>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</si>
  <si>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</si>
  <si>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</si>
  <si>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</si>
  <si>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</si>
  <si>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</si>
  <si>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</si>
  <si>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</si>
  <si>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</si>
  <si>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</si>
  <si>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</si>
  <si>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</si>
  <si>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</si>
  <si>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</si>
  <si>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</si>
  <si>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</si>
  <si>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</si>
  <si>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</si>
  <si>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</si>
  <si>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</si>
  <si>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</si>
  <si>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</si>
  <si>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</si>
  <si>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</si>
  <si>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</si>
  <si>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</si>
  <si>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</si>
  <si>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</si>
  <si>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</si>
  <si>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</si>
  <si>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</si>
  <si>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</si>
  <si>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</si>
  <si>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</si>
  <si>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</si>
  <si>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</si>
  <si>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</si>
  <si>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</si>
  <si>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</si>
  <si>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</si>
  <si>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</si>
  <si>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</si>
  <si>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</si>
  <si>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</si>
  <si>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</si>
  <si>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</si>
  <si>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</si>
  <si>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</si>
  <si>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</si>
  <si>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</si>
  <si>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</si>
  <si>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</si>
  <si>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</si>
  <si>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</si>
  <si>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</si>
  <si>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</si>
  <si>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</si>
  <si>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</si>
  <si>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</si>
  <si>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</si>
  <si>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</si>
  <si>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</si>
  <si>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</si>
  <si>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</si>
  <si>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</si>
  <si>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</si>
  <si>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</si>
  <si>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</si>
  <si>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</si>
  <si>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</si>
  <si>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</si>
  <si>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</si>
  <si>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</si>
  <si>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</si>
  <si>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</si>
  <si>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</si>
  <si>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</si>
  <si>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</si>
  <si>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</si>
  <si>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</si>
  <si>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</si>
  <si>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</si>
  <si>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</si>
  <si>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</si>
  <si>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</si>
  <si>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</si>
  <si>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</si>
  <si>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</si>
  <si>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</si>
  <si>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</si>
  <si>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</si>
  <si>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</si>
  <si>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</si>
  <si>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</si>
  <si>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</si>
  <si>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</si>
  <si>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</si>
  <si>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</si>
  <si>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</si>
  <si>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</si>
  <si>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</si>
  <si>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</si>
  <si>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</si>
  <si>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</si>
  <si>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</si>
  <si>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</si>
  <si>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</si>
  <si>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</si>
  <si>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</si>
  <si>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</si>
  <si>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</si>
  <si>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</si>
  <si>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</si>
  <si>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</si>
  <si>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</si>
  <si>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</si>
  <si>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</si>
  <si>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</si>
  <si>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</si>
  <si>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</si>
  <si>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</si>
  <si>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</si>
  <si>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</si>
  <si>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</si>
  <si>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</si>
  <si>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</si>
  <si>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</si>
  <si>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</si>
  <si>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</si>
  <si>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</si>
  <si>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</si>
  <si>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</si>
  <si>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</si>
  <si>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</si>
  <si>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</si>
  <si>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</si>
  <si>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</si>
  <si>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</si>
  <si>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</si>
  <si>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</si>
  <si>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</si>
  <si>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</si>
  <si>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</si>
  <si>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</si>
  <si>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</si>
  <si>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</si>
  <si>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</si>
  <si>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</si>
  <si>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</si>
  <si>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</si>
  <si>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</si>
  <si>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</si>
  <si>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</si>
  <si>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</si>
  <si>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</si>
  <si>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</si>
  <si>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</si>
  <si>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</si>
  <si>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</si>
  <si>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</si>
  <si>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</si>
  <si>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</si>
  <si>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</si>
  <si>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</si>
  <si>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</si>
  <si>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</si>
  <si>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</si>
  <si>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</si>
  <si>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</si>
  <si>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</si>
  <si>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</si>
  <si>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</si>
  <si>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</si>
  <si>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</si>
  <si>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</si>
  <si>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</si>
  <si>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</si>
  <si>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</si>
  <si>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</si>
  <si>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</si>
  <si>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</si>
  <si>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</si>
  <si>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</si>
  <si>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</si>
  <si>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</si>
  <si>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</si>
  <si>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</si>
  <si>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</si>
  <si>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</si>
  <si>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</si>
  <si>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</si>
  <si>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</si>
  <si>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</si>
  <si>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</si>
  <si>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</si>
  <si>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</si>
  <si>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</si>
  <si>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</si>
  <si>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</si>
  <si>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</si>
  <si>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</si>
  <si>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</si>
  <si>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</si>
  <si>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</si>
  <si>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</si>
  <si>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</si>
  <si>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</si>
  <si>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</si>
  <si>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</si>
  <si>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</si>
  <si>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</si>
  <si>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</si>
  <si>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</si>
  <si>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</si>
  <si>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</si>
  <si>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</si>
  <si>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</si>
  <si>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</si>
  <si>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</si>
  <si>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</si>
  <si>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</si>
  <si>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</si>
  <si>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</si>
  <si>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</si>
  <si>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</si>
  <si>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</si>
  <si>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</si>
  <si>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</si>
  <si>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</si>
  <si>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</si>
  <si>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</si>
  <si>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</si>
  <si>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</si>
  <si>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(Laminated)- 5.5 x 0.5 x 1.0</t>
  </si>
  <si>
    <t>Cabinate (Laminated)- 4.0 x 0.5 x 1.0</t>
  </si>
  <si>
    <r>
      <t xml:space="preserve">Black laminated floor (Standard Matt) </t>
    </r>
    <r>
      <rPr>
        <sz val="11"/>
        <color rgb="FFFF0000"/>
        <rFont val="Calibri"/>
        <family val="2"/>
        <scheme val="minor"/>
      </rPr>
      <t>TOP LAYER</t>
    </r>
  </si>
  <si>
    <t>Opt Nr:-  1</t>
  </si>
  <si>
    <t>Date:- 04-11-2025</t>
  </si>
  <si>
    <t>LUTEC</t>
  </si>
  <si>
    <t>Light &amp; Building 2026</t>
  </si>
  <si>
    <t>08. – 13.03.2026</t>
  </si>
  <si>
    <t>FRANKFURT</t>
  </si>
  <si>
    <t>151.5 SQM</t>
  </si>
  <si>
    <t>4M</t>
  </si>
  <si>
    <t>M2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</si>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</sst>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151</xdr:row>
      <xdr:rowOff>28576</xdr:rowOff>
    </xdr:from>
    <xdr:to>
      <xdr:col>1</xdr:col>
      <xdr:colOff>1019175</xdr:colOff>
      <xdr:row>268</xdr:row>
      <xdr:rowOff>92412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E1645-9862-4E8A-B018-E9F7E538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95451"/>
          <a:ext cx="2076449" cy="1664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C265" sqref="C26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SUM(E3:E12)</f>
        <v>5445.99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273</v>
      </c>
      <c r="D5" s="7"/>
      <c r="E5" s="8">
        <f t="shared" si="0"/>
        <v>1669.5</v>
      </c>
      <c r="F5" s="8"/>
      <c r="G5" s="8"/>
      <c r="H5" s="8"/>
      <c r="I5" s="9">
        <v>159</v>
      </c>
      <c r="J5" s="10" t="s">
        <v>165</v>
      </c>
      <c r="K5" s="30">
        <v>10.5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3634.74</v>
      </c>
      <c r="F9" s="8"/>
      <c r="G9" s="8"/>
      <c r="H9" s="8"/>
      <c r="I9" s="9">
        <v>159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141.75</v>
      </c>
      <c r="F10" s="8"/>
      <c r="G10" s="8"/>
      <c r="H10" s="8"/>
      <c r="I10" s="9">
        <v>35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277</v>
      </c>
      <c r="C13" s="26" t="s">
        <v>194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279</v>
      </c>
      <c r="C17" s="26" t="s">
        <v>184</v>
      </c>
      <c r="D17" s="27">
        <f>SUM(E18:E87)</f>
        <v>5614.54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628.6</v>
      </c>
      <c r="F26" s="8">
        <v>1</v>
      </c>
      <c r="G26" s="8">
        <v>0.1</v>
      </c>
      <c r="H26" s="8">
        <v>3</v>
      </c>
      <c r="I26" s="9">
        <v>10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1289.3399999999999</v>
      </c>
      <c r="F34" s="8">
        <v>1</v>
      </c>
      <c r="G34" s="8">
        <v>0.1</v>
      </c>
      <c r="H34" s="8">
        <v>4</v>
      </c>
      <c r="I34" s="9">
        <v>19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1428.6</v>
      </c>
      <c r="F60" s="8">
        <v>1</v>
      </c>
      <c r="G60" s="8">
        <v>0.2</v>
      </c>
      <c r="H60" s="8">
        <v>3.5</v>
      </c>
      <c r="I60" s="9">
        <v>15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B65" s="29" t="s">
        <v>249</v>
      </c>
      <c r="C65" s="7" t="s">
        <v>31</v>
      </c>
      <c r="D65" s="7"/>
      <c r="E65" s="8">
        <f t="shared" si="3"/>
        <v>2268</v>
      </c>
      <c r="F65" s="8">
        <v>1</v>
      </c>
      <c r="G65" s="8">
        <v>0.2</v>
      </c>
      <c r="H65" s="8">
        <v>4</v>
      </c>
      <c r="I65" s="9">
        <v>18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278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C109" s="26" t="s">
        <v>196</v>
      </c>
      <c r="D109" s="27">
        <f>SUM(E110:E132)</f>
        <v>941.86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256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271</v>
      </c>
      <c r="D116" s="7"/>
      <c r="E116" s="8">
        <f t="shared" si="6"/>
        <v>518</v>
      </c>
      <c r="F116" s="8">
        <v>5.5</v>
      </c>
      <c r="G116" s="8">
        <v>0.5</v>
      </c>
      <c r="H116" s="8">
        <v>1</v>
      </c>
      <c r="I116" s="8">
        <v>1</v>
      </c>
      <c r="J116" s="10" t="s">
        <v>166</v>
      </c>
      <c r="K116" s="30">
        <v>518</v>
      </c>
    </row>
    <row r="117" spans="2:11" s="4" customFormat="1" ht="15.95" hidden="1" customHeight="1" x14ac:dyDescent="0.25">
      <c r="C117" s="7" t="s">
        <v>272</v>
      </c>
      <c r="D117" s="7"/>
      <c r="E117" s="8">
        <f t="shared" ref="E117" si="7">I117*K117</f>
        <v>423.86</v>
      </c>
      <c r="F117" s="8">
        <v>4</v>
      </c>
      <c r="G117" s="8">
        <v>0.5</v>
      </c>
      <c r="H117" s="8">
        <v>1</v>
      </c>
      <c r="I117" s="8">
        <v>1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270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277.48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190.48</v>
      </c>
      <c r="F145" s="8">
        <v>3</v>
      </c>
      <c r="G145" s="8">
        <v>1.5</v>
      </c>
      <c r="H145" s="8">
        <v>0.3</v>
      </c>
      <c r="I145" s="8">
        <v>1</v>
      </c>
      <c r="J145" s="10" t="s">
        <v>166</v>
      </c>
      <c r="K145" s="30">
        <v>190.48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9"/>
        <v>12</v>
      </c>
      <c r="F147" s="8">
        <v>0</v>
      </c>
      <c r="G147" s="8">
        <v>0</v>
      </c>
      <c r="H147" s="8">
        <v>0</v>
      </c>
      <c r="I147" s="8">
        <v>4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75</v>
      </c>
      <c r="F148" s="8">
        <v>0</v>
      </c>
      <c r="G148" s="8">
        <v>0</v>
      </c>
      <c r="H148" s="8">
        <v>0</v>
      </c>
      <c r="I148" s="8">
        <v>3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740.48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0">I153*K153</f>
        <v>238</v>
      </c>
      <c r="F153" s="8"/>
      <c r="G153" s="8"/>
      <c r="H153" s="8"/>
      <c r="I153" s="8">
        <v>20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0"/>
        <v>150</v>
      </c>
      <c r="F160" s="12"/>
      <c r="G160" s="12"/>
      <c r="H160" s="12"/>
      <c r="I160" s="8">
        <v>30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0"/>
        <v>162</v>
      </c>
      <c r="F164" s="8"/>
      <c r="G164" s="8"/>
      <c r="H164" s="8"/>
      <c r="I164" s="8">
        <v>40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466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225</v>
      </c>
      <c r="F167" s="12"/>
      <c r="G167" s="12"/>
      <c r="H167" s="12"/>
      <c r="I167" s="8">
        <v>15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0</v>
      </c>
      <c r="F168" s="12"/>
      <c r="G168" s="12"/>
      <c r="H168" s="12"/>
      <c r="I168" s="8">
        <v>0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45</v>
      </c>
      <c r="F170" s="12"/>
      <c r="G170" s="12"/>
      <c r="H170" s="12"/>
      <c r="I170" s="8">
        <v>3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1"/>
        <v>105</v>
      </c>
      <c r="F181" s="12"/>
      <c r="G181" s="12"/>
      <c r="H181" s="12"/>
      <c r="I181" s="8">
        <v>3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1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321.48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2"/>
        <v>131</v>
      </c>
      <c r="F213" s="8">
        <v>1</v>
      </c>
      <c r="G213" s="8">
        <v>1</v>
      </c>
      <c r="H213" s="12"/>
      <c r="I213" s="8">
        <v>10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190.48</v>
      </c>
      <c r="F214" s="8">
        <v>1</v>
      </c>
      <c r="G214" s="8">
        <v>1</v>
      </c>
      <c r="H214" s="12"/>
      <c r="I214" s="8">
        <v>2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14440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14440</v>
      </c>
      <c r="F262" s="24"/>
      <c r="G262" s="24"/>
      <c r="H262" s="24"/>
      <c r="I262" s="24">
        <v>152</v>
      </c>
      <c r="J262" s="25" t="s">
        <v>282</v>
      </c>
      <c r="K262" s="48">
        <v>95</v>
      </c>
    </row>
    <row r="263" spans="3:11" s="22" customFormat="1" ht="15.95" customHeight="1" x14ac:dyDescent="0.25">
      <c r="C263" s="32" t="s">
        <v>146</v>
      </c>
      <c r="D263" s="33">
        <f>SUM(E264)</f>
        <v>5000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5000</v>
      </c>
      <c r="F264" s="41"/>
      <c r="G264" s="41"/>
      <c r="H264" s="41"/>
      <c r="I264" s="24">
        <v>4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6000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6000</v>
      </c>
      <c r="F266" s="41"/>
      <c r="G266" s="41"/>
      <c r="H266" s="41"/>
      <c r="I266" s="24">
        <v>4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263</v>
      </c>
      <c r="D269" s="33">
        <f>SUM(E270)</f>
        <v>1000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283</v>
      </c>
      <c r="D270" s="38"/>
      <c r="E270" s="39">
        <f>I270*K270</f>
        <v>1000</v>
      </c>
      <c r="F270" s="41"/>
      <c r="G270" s="41"/>
      <c r="H270" s="41"/>
      <c r="I270" s="24">
        <v>1</v>
      </c>
      <c r="J270" s="25" t="s">
        <v>166</v>
      </c>
      <c r="K270" s="48">
        <v>1000</v>
      </c>
    </row>
    <row r="271" spans="3:11" ht="15.95" customHeight="1" thickBot="1" x14ac:dyDescent="0.3">
      <c r="C271" s="18" t="s">
        <v>57</v>
      </c>
      <c r="D271" s="14">
        <f>SUM(D2:D270)</f>
        <v>41732.83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2025-11-04T11:35:11Z</dcterms:modified>
</cp:coreProperties>
</file>