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XYZ Robotics @ Logimat 2026\"/>
    </mc:Choice>
  </mc:AlternateContent>
  <xr:revisionPtr revIDLastSave="0" documentId="13_ncr:1_{4FF49079-5723-4612-BC2B-CF48306242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113" i="1"/>
  <c r="E26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2" i="1"/>
  <c r="D221" i="1" s="1"/>
  <c r="D16" i="1" l="1"/>
  <c r="D152" i="1"/>
  <c r="D133" i="1"/>
  <c r="D144" i="1"/>
  <c r="D110" i="1"/>
  <c r="D271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<sst xmlns="http://schemas.openxmlformats.org/spreadsheetml/2006/main" count="584" uniqueCount="284">
  <si>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</si>
  <si>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</si>
  <si>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</si>
  <si>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</si>
  <si>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</si>
  <si>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</si>
  <si>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</si>
  <si>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</si>
  <si>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</si>
  <si>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</si>
  <si>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</si>
  <si>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</si>
  <si>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</si>
  <si>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</si>
  <si>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</si>
  <si>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</si>
  <si>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</si>
  <si>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</si>
  <si>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</si>
  <si>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</si>
  <si>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</si>
  <si>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</si>
  <si>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</si>
  <si>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</si>
  <si>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</si>
  <si>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</si>
  <si>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</si>
  <si>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</si>
  <si>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</si>
  <si>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</si>
  <si>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</si>
  <si>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</si>
  <si>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</si>
  <si>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</si>
  <si>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</si>
  <si>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</si>
  <si>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</si>
  <si>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</si>
  <si>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</si>
  <si>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</si>
  <si>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</si>
  <si>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</si>
  <si>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</si>
  <si>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</si>
  <si>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</si>
  <si>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</si>
  <si>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</si>
  <si>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</si>
  <si>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</si>
  <si>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</si>
  <si>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</si>
  <si>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</si>
  <si>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</si>
  <si>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</si>
  <si>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</si>
  <si>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</si>
  <si>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</si>
  <si>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</si>
  <si>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</si>
  <si>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</si>
  <si>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</si>
  <si>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</si>
  <si>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</si>
  <si>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</si>
  <si>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</si>
  <si>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</si>
  <si>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</si>
  <si>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</si>
  <si>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</si>
  <si>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</si>
  <si>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</si>
  <si>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</si>
  <si>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</si>
  <si>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</si>
  <si>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</si>
  <si>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</si>
  <si>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</si>
  <si>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</si>
  <si>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</si>
  <si>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</si>
  <si>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</si>
  <si>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</si>
  <si>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</si>
  <si>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</si>
  <si>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</si>
  <si>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</si>
  <si>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</si>
  <si>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</si>
  <si>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</si>
  <si>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</si>
  <si>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</si>
  <si>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</si>
  <si>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</si>
  <si>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</si>
  <si>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</si>
  <si>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</si>
  <si>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</si>
  <si>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</si>
  <si>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</si>
  <si>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</si>
  <si>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</si>
  <si>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</si>
  <si>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</si>
  <si>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</si>
  <si>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</si>
  <si>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</si>
  <si>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</si>
  <si>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</si>
  <si>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</si>
  <si>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</si>
  <si>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</si>
  <si>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</si>
  <si>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</si>
  <si>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</si>
  <si>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</si>
  <si>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</si>
  <si>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</si>
  <si>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</si>
  <si>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</si>
  <si>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</si>
  <si>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</si>
  <si>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</si>
  <si>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</si>
  <si>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</si>
  <si>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</si>
  <si>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</si>
  <si>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</si>
  <si>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</si>
  <si>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</si>
  <si>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</si>
  <si>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</si>
  <si>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</si>
  <si>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</si>
  <si>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</si>
  <si>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</si>
  <si>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</si>
  <si>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</si>
  <si>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</si>
  <si>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</si>
  <si>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</si>
  <si>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</si>
  <si>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</si>
  <si>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</si>
  <si>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</si>
  <si>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</si>
  <si>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</si>
  <si>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</si>
  <si>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</si>
  <si>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</si>
  <si>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</si>
  <si>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</si>
  <si>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</si>
  <si>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</si>
  <si>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</si>
  <si>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</si>
  <si>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</si>
  <si>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</si>
  <si>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</si>
  <si>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</si>
  <si>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</si>
  <si>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</si>
  <si>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</si>
  <si>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</si>
  <si>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</si>
  <si>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</si>
  <si>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</si>
  <si>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</si>
  <si>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</si>
  <si>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</si>
  <si>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</si>
  <si>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</si>
  <si>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</si>
  <si>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</si>
  <si>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</si>
  <si>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</si>
  <si>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</si>
  <si>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</si>
  <si>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</si>
  <si>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</si>
  <si>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</si>
  <si>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</si>
  <si>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</si>
  <si>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</si>
  <si>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</si>
  <si>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</si>
  <si>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</si>
  <si>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</si>
  <si>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</si>
  <si>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</si>
  <si>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</si>
  <si>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</si>
  <si>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</si>
  <si>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</si>
  <si>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</si>
  <si>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</si>
  <si>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</si>
  <si>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</si>
  <si>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</si>
  <si>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</si>
  <si>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</si>
  <si>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</si>
  <si>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</si>
  <si>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</si>
  <si>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</si>
  <si>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</si>
  <si>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</si>
  <si>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</si>
  <si>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</si>
  <si>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</si>
  <si>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</si>
  <si>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</si>
  <si>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</si>
  <si>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</si>
  <si>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</si>
  <si>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</si>
  <si>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</si>
  <si>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</si>
  <si>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</si>
  <si>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</si>
  <si>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</si>
  <si>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</si>
  <si>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</si>
  <si>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</si>
  <si>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</si>
  <si>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</si>
  <si>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</si>
  <si>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</si>
  <si>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</si>
  <si>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</si>
  <si>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</si>
  <si>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</si>
  <si>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</si>
  <si>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</si>
  <si>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</si>
  <si>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</si>
  <si>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</si>
  <si>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</si>
  <si>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</si>
  <si>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</si>
  <si>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</si>
  <si>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</si>
  <si>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</si>
  <si>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</si>
  <si>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</si>
  <si>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</si>
  <si>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</si>
  <si>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</si>
  <si>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</si>
  <si>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</si>
  <si>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</si>
  <si>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</si>
  <si>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</si>
  <si>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</si>
  <si>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</si>
  <si>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</si>
  <si>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</si>
  <si>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</si>
  <si>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</si>
  <si>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</si>
  <si>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</si>
  <si>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</si>
  <si>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</si>
  <si>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</si>
  <si>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</si>
  <si>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</si>
  <si>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</si>
  <si>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</si>
  <si>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</si>
  <si>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</si>
  <si>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</si>
  <si>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</si>
  <si>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</si>
  <si>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</si>
  <si>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FABRIC Hanging (7m x 1m H)</t>
  </si>
  <si>
    <t>Walls 3m( Double  Side) (Display)</t>
  </si>
  <si>
    <t>Opt Nr:-  1</t>
  </si>
  <si>
    <t>Date:- 06-01-2026</t>
  </si>
  <si>
    <t>XYZ ROBOTICS</t>
  </si>
  <si>
    <t>LOGIMAT 2026</t>
  </si>
  <si>
    <t>14M X 6M</t>
  </si>
  <si>
    <t>84 SQM</t>
  </si>
  <si>
    <t>3.5M</t>
  </si>
  <si>
    <t>March 24 - 26, 2026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</si>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</sst>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270</xdr:row>
      <xdr:rowOff>175106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BA1F36-066E-4984-8A15-0427E3B4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975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240.23999999999998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240.23999999999998</v>
      </c>
      <c r="F3" s="8"/>
      <c r="G3" s="8"/>
      <c r="H3" s="8"/>
      <c r="I3" s="9">
        <v>84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SUM(E17:E87)</f>
        <v>3481.7449999999994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1010.795</v>
      </c>
      <c r="F26" s="8">
        <v>1</v>
      </c>
      <c r="G26" s="8">
        <v>0.1</v>
      </c>
      <c r="H26" s="8">
        <v>3</v>
      </c>
      <c r="I26" s="9">
        <v>14.5</v>
      </c>
      <c r="J26" s="10" t="s">
        <v>154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557.67999999999995</v>
      </c>
      <c r="F27" s="8">
        <v>1</v>
      </c>
      <c r="G27" s="8">
        <v>0.1</v>
      </c>
      <c r="H27" s="8">
        <v>3</v>
      </c>
      <c r="I27" s="9">
        <v>8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1000.0200000000001</v>
      </c>
      <c r="F30" s="8">
        <v>1</v>
      </c>
      <c r="G30" s="8">
        <v>0.1</v>
      </c>
      <c r="H30" s="8">
        <v>3.5</v>
      </c>
      <c r="I30" s="9">
        <v>14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335.24</v>
      </c>
      <c r="F31" s="8">
        <v>1</v>
      </c>
      <c r="G31" s="8">
        <v>0.1</v>
      </c>
      <c r="H31" s="8">
        <v>3.5</v>
      </c>
      <c r="I31" s="9">
        <v>4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274</v>
      </c>
      <c r="D57" s="7"/>
      <c r="E57" s="8">
        <f t="shared" si="3"/>
        <v>292.29000000000002</v>
      </c>
      <c r="F57" s="8">
        <v>1</v>
      </c>
      <c r="G57" s="8">
        <v>0.2</v>
      </c>
      <c r="H57" s="8">
        <v>3</v>
      </c>
      <c r="I57" s="9">
        <v>3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B60" s="29" t="s">
        <v>249</v>
      </c>
      <c r="C60" s="7" t="s">
        <v>105</v>
      </c>
      <c r="D60" s="7"/>
      <c r="E60" s="8">
        <f t="shared" si="3"/>
        <v>285.71999999999997</v>
      </c>
      <c r="F60" s="8">
        <v>1</v>
      </c>
      <c r="G60" s="8">
        <v>0.2</v>
      </c>
      <c r="H60" s="8">
        <v>3.5</v>
      </c>
      <c r="I60" s="9">
        <v>3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282</v>
      </c>
      <c r="C88" s="26" t="s">
        <v>195</v>
      </c>
      <c r="D88" s="27">
        <f>SUM(E89:E109)</f>
        <v>717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9" si="5">I89*K89</f>
        <v>175</v>
      </c>
      <c r="F89" s="24"/>
      <c r="G89" s="24"/>
      <c r="H89" s="24"/>
      <c r="I89" s="24">
        <v>7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30</v>
      </c>
      <c r="F90" s="24"/>
      <c r="G90" s="24"/>
      <c r="H90" s="24"/>
      <c r="I90" s="24">
        <v>3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12</v>
      </c>
      <c r="F91" s="24"/>
      <c r="G91" s="24"/>
      <c r="H91" s="24"/>
      <c r="I91" s="24">
        <v>6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6">I96*K96</f>
        <v>500</v>
      </c>
      <c r="F96" s="8"/>
      <c r="G96" s="8"/>
      <c r="H96" s="8"/>
      <c r="I96" s="8">
        <v>1</v>
      </c>
      <c r="J96" s="10" t="s">
        <v>166</v>
      </c>
      <c r="K96" s="48">
        <v>500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279</v>
      </c>
      <c r="C110" s="26" t="s">
        <v>196</v>
      </c>
      <c r="D110" s="27">
        <f>SUM(E111:E132)</f>
        <v>190.48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2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270</v>
      </c>
      <c r="D113" s="7"/>
      <c r="E113" s="8">
        <f t="shared" ref="E113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190.48</v>
      </c>
      <c r="F114" s="8">
        <v>1.5</v>
      </c>
      <c r="G114" s="8">
        <v>0.5</v>
      </c>
      <c r="H114" s="8">
        <v>1</v>
      </c>
      <c r="I114" s="8">
        <v>1</v>
      </c>
      <c r="J114" s="10" t="s">
        <v>166</v>
      </c>
      <c r="K114" s="30">
        <v>190.48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1042.155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9"/>
        <v>892.875</v>
      </c>
      <c r="F136" s="8">
        <v>1</v>
      </c>
      <c r="G136" s="8">
        <v>0</v>
      </c>
      <c r="H136" s="8">
        <v>2</v>
      </c>
      <c r="I136" s="8">
        <v>7.5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114.28</v>
      </c>
      <c r="F137" s="8">
        <v>1</v>
      </c>
      <c r="G137" s="8">
        <v>1</v>
      </c>
      <c r="H137" s="8"/>
      <c r="I137" s="8">
        <v>4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60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10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10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10"/>
        <v>60</v>
      </c>
      <c r="F151" s="8"/>
      <c r="G151" s="8"/>
      <c r="H151" s="8"/>
      <c r="I151" s="8">
        <v>3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591.88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107.10000000000001</v>
      </c>
      <c r="F153" s="8"/>
      <c r="G153" s="8"/>
      <c r="H153" s="8"/>
      <c r="I153" s="8">
        <v>9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60</v>
      </c>
      <c r="F159" s="8"/>
      <c r="G159" s="8"/>
      <c r="H159" s="8"/>
      <c r="I159" s="8">
        <v>6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70</v>
      </c>
      <c r="F160" s="12"/>
      <c r="G160" s="12"/>
      <c r="H160" s="12"/>
      <c r="I160" s="8">
        <v>14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83.3</v>
      </c>
      <c r="F161" s="8"/>
      <c r="G161" s="8"/>
      <c r="H161" s="8"/>
      <c r="I161" s="8">
        <v>7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81</v>
      </c>
      <c r="F164" s="8"/>
      <c r="G164" s="8"/>
      <c r="H164" s="8"/>
      <c r="I164" s="8">
        <v>20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281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0</v>
      </c>
      <c r="F167" s="12"/>
      <c r="G167" s="12"/>
      <c r="H167" s="12"/>
      <c r="I167" s="8">
        <v>0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96</v>
      </c>
      <c r="F168" s="12"/>
      <c r="G168" s="12"/>
      <c r="H168" s="12"/>
      <c r="I168" s="8">
        <v>8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40</v>
      </c>
      <c r="F169" s="12"/>
      <c r="G169" s="12"/>
      <c r="H169" s="12"/>
      <c r="I169" s="8">
        <v>2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32</v>
      </c>
      <c r="F179" s="12"/>
      <c r="G179" s="12"/>
      <c r="H179" s="12"/>
      <c r="I179" s="8">
        <v>4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8</v>
      </c>
      <c r="F194" s="8"/>
      <c r="G194" s="8"/>
      <c r="H194" s="8"/>
      <c r="I194" s="8">
        <v>1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1356.1599999999999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758.52</v>
      </c>
      <c r="F211" s="8">
        <v>1</v>
      </c>
      <c r="G211" s="8">
        <v>1</v>
      </c>
      <c r="H211" s="12"/>
      <c r="I211" s="8">
        <v>49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26.2</v>
      </c>
      <c r="F213" s="8">
        <v>1</v>
      </c>
      <c r="G213" s="8">
        <v>1</v>
      </c>
      <c r="H213" s="12"/>
      <c r="I213" s="8">
        <v>2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3"/>
        <v>571.43999999999994</v>
      </c>
      <c r="F214" s="8">
        <v>1</v>
      </c>
      <c r="G214" s="8">
        <v>1</v>
      </c>
      <c r="H214" s="12"/>
      <c r="I214" s="8">
        <v>6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250</v>
      </c>
      <c r="F235" s="8"/>
      <c r="G235" s="8"/>
      <c r="H235" s="8"/>
      <c r="I235" s="8">
        <v>1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11800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11800</v>
      </c>
      <c r="F262" s="24"/>
      <c r="G262" s="24"/>
      <c r="H262" s="24"/>
      <c r="I262" s="24">
        <v>1</v>
      </c>
      <c r="J262" s="25" t="s">
        <v>166</v>
      </c>
      <c r="K262" s="48">
        <v>11800</v>
      </c>
    </row>
    <row r="263" spans="3:11" s="22" customFormat="1" ht="15.95" customHeight="1" x14ac:dyDescent="0.25">
      <c r="C263" s="32" t="s">
        <v>146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26975.66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2026-01-06T09:16:09Z</dcterms:modified>
</cp:coreProperties>
</file>