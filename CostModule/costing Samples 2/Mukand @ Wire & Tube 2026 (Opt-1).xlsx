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Mukand @ Wire &amp; Tube 2026\Option-1\"/>
    </mc:Choice>
  </mc:AlternateContent>
  <xr:revisionPtr revIDLastSave="0" documentId="13_ncr:1_{88522CF4-EBA6-49F6-B195-03636AD3C7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4" i="1" l="1"/>
  <c r="E149" i="1"/>
  <c r="E114" i="1"/>
  <c r="E113" i="1"/>
  <c r="E112" i="1"/>
  <c r="E138" i="1" l="1"/>
  <c r="E272" i="1" l="1"/>
  <c r="D271" i="1" s="1"/>
  <c r="E80" i="1" l="1"/>
  <c r="E79" i="1"/>
  <c r="E89" i="1" l="1"/>
  <c r="E90" i="1"/>
  <c r="E91" i="1"/>
  <c r="E92" i="1"/>
  <c r="E93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7" i="1"/>
  <c r="E148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0" i="1" l="1"/>
  <c r="D269" i="1" s="1"/>
  <c r="E268" i="1"/>
  <c r="D267" i="1" s="1"/>
  <c r="E266" i="1"/>
  <c r="D265" i="1" s="1"/>
  <c r="E264" i="1"/>
  <c r="D263" i="1" s="1"/>
  <c r="E14" i="1" l="1"/>
  <c r="E88" i="1" l="1"/>
  <c r="D87" i="1" s="1"/>
  <c r="E15" i="1" l="1"/>
  <c r="E83" i="1" l="1"/>
  <c r="E84" i="1"/>
  <c r="E85" i="1"/>
  <c r="E212" i="1" l="1"/>
  <c r="E135" i="1"/>
  <c r="E169" i="1"/>
  <c r="D168" i="1" s="1"/>
  <c r="D211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5" i="1" l="1"/>
  <c r="E146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4" i="1"/>
  <c r="D223" i="1" s="1"/>
  <c r="D16" i="1" l="1"/>
  <c r="D154" i="1"/>
  <c r="D134" i="1"/>
  <c r="D145" i="1"/>
  <c r="D109" i="1"/>
  <c r="D273" i="1" l="1"/>
</calcChain>
</file>

<file path=xl/sharedStrings.xml><?xml version="1.0" encoding="utf-8"?>
<sst xmlns="http://schemas.openxmlformats.org/spreadsheetml/2006/main" count="588" uniqueCount="286">
  <si>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</si>
  <si>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</si>
  <si>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</si>
  <si>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</si>
  <si>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</si>
  <si>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</si>
  <si>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</si>
  <si>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</si>
  <si>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</si>
  <si>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</si>
  <si>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</si>
  <si>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</si>
  <si>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</si>
  <si>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</si>
  <si>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</si>
  <si>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</si>
  <si>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</si>
  <si>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</si>
  <si>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</si>
  <si>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</si>
  <si>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</si>
  <si>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</si>
  <si>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</si>
  <si>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</si>
  <si>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</si>
  <si>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</si>
  <si>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</si>
  <si>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</si>
  <si>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</si>
  <si>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</si>
  <si>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</si>
  <si>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</si>
  <si>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</si>
  <si>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</si>
  <si>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</si>
  <si>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</si>
  <si>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</si>
  <si>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</si>
  <si>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</si>
  <si>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</si>
  <si>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</si>
  <si>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</si>
  <si>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</si>
  <si>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</si>
  <si>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</si>
  <si>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</si>
  <si>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</si>
  <si>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</si>
  <si>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</si>
  <si>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</si>
  <si>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</si>
  <si>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</si>
  <si>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</si>
  <si>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</si>
  <si>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</si>
  <si>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</si>
  <si>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</si>
  <si>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</si>
  <si>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</si>
  <si>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</si>
  <si>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</si>
  <si>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</si>
  <si>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</si>
  <si>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</si>
  <si>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</si>
  <si>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</si>
  <si>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</si>
  <si>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</si>
  <si>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</si>
  <si>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</si>
  <si>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</si>
  <si>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</si>
  <si>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</si>
  <si>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</si>
  <si>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</si>
  <si>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</si>
  <si>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</si>
  <si>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</si>
  <si>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</si>
  <si>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</si>
  <si>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</si>
  <si>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</si>
  <si>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</si>
  <si>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</si>
  <si>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</si>
  <si>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</si>
  <si>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</si>
  <si>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</si>
  <si>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</si>
  <si>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</si>
  <si>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</si>
  <si>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</si>
  <si>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</si>
  <si>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</si>
  <si>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</si>
  <si>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</si>
  <si>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</si>
  <si>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</si>
  <si>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</si>
  <si>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</si>
  <si>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</si>
  <si>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</si>
  <si>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</si>
  <si>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</si>
  <si>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</si>
  <si>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</si>
  <si>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</si>
  <si>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</si>
  <si>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</si>
  <si>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</si>
  <si>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</si>
  <si>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</si>
  <si>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</si>
  <si>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</si>
  <si>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</si>
  <si>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</si>
  <si>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</si>
  <si>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</si>
  <si>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</si>
  <si>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</si>
  <si>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</si>
  <si>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</si>
  <si>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</si>
  <si>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</si>
  <si>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</si>
  <si>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</si>
  <si>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</si>
  <si>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</si>
  <si>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</si>
  <si>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</si>
  <si>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</si>
  <si>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</si>
  <si>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</si>
  <si>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</si>
  <si>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</si>
  <si>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</si>
  <si>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</si>
  <si>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</si>
  <si>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</si>
  <si>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</si>
  <si>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</si>
  <si>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</si>
  <si>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</si>
  <si>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</si>
  <si>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</si>
  <si>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</si>
  <si>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</si>
  <si>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</si>
  <si>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</si>
  <si>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</si>
  <si>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</si>
  <si>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</si>
  <si>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</si>
  <si>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</si>
  <si>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</si>
  <si>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</si>
  <si>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</si>
  <si>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</si>
  <si>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</si>
  <si>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</si>
  <si>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</si>
  <si>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</si>
  <si>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</si>
  <si>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</si>
  <si>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</si>
  <si>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</si>
  <si>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</si>
  <si>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</si>
  <si>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</si>
  <si>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</si>
  <si>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</si>
  <si>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</si>
  <si>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</si>
  <si>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</si>
  <si>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</si>
  <si>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</si>
  <si>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</si>
  <si>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</si>
  <si>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</si>
  <si>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</si>
  <si>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</si>
  <si>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</si>
  <si>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</si>
  <si>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</si>
  <si>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</si>
  <si>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</si>
  <si>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</si>
  <si>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</si>
  <si>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</si>
  <si>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</si>
  <si>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</si>
  <si>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</si>
  <si>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</si>
  <si>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</si>
  <si>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</si>
  <si>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</si>
  <si>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</si>
  <si>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</si>
  <si>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</si>
  <si>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</si>
  <si>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</si>
  <si>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</si>
  <si>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</si>
  <si>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</si>
  <si>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</si>
  <si>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</si>
  <si>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</si>
  <si>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</si>
  <si>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</si>
  <si>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</si>
  <si>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</si>
  <si>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</si>
  <si>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</si>
  <si>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</si>
  <si>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</si>
  <si>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</si>
  <si>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</si>
  <si>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</si>
  <si>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</si>
  <si>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</si>
  <si>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</si>
  <si>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</si>
  <si>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</si>
  <si>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</si>
  <si>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</si>
  <si>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</si>
  <si>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</si>
  <si>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</si>
  <si>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</si>
  <si>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</si>
  <si>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</si>
  <si>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</si>
  <si>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</si>
  <si>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</si>
  <si>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</si>
  <si>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</si>
  <si>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</si>
  <si>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</si>
  <si>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</si>
  <si>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</si>
  <si>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</si>
  <si>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</si>
  <si>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</si>
  <si>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</si>
  <si>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</si>
  <si>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</si>
  <si>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</si>
  <si>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</si>
  <si>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</si>
  <si>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</si>
  <si>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</si>
  <si>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</si>
  <si>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</si>
  <si>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</si>
  <si>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</si>
  <si>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</si>
  <si>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</si>
  <si>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</si>
  <si>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</si>
  <si>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</si>
  <si>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</si>
  <si>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</si>
  <si>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</si>
  <si>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</si>
  <si>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</si>
  <si>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</si>
  <si>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</si>
  <si>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</si>
  <si>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</si>
  <si>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</si>
  <si>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</si>
  <si>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Reception Counter (Laminated)- 2.4 x 0.5 x 1.0</t>
  </si>
  <si>
    <t>Bar Counter (Laminated)- 3.5 x 0.5 x 1.0</t>
  </si>
  <si>
    <t>Cabinate (Laminated)- 1.3 x 0.5 x 1.0</t>
  </si>
  <si>
    <t>Podium (Laminated)- 1.8 x 0.5 x 1.0</t>
  </si>
  <si>
    <t>Plant Pots</t>
  </si>
  <si>
    <t>Rectangular Hanging (4m x 4m x 1m H) Fabric with Modular frame</t>
  </si>
  <si>
    <t>Opt Nr:-  1</t>
  </si>
  <si>
    <t>Date:- 23-12-2025</t>
  </si>
  <si>
    <t>MUKAND</t>
  </si>
  <si>
    <t>WIRE &amp; TUBE 2026</t>
  </si>
  <si>
    <t>12M X 8M</t>
  </si>
  <si>
    <t>96 SQM</t>
  </si>
  <si>
    <t>4M</t>
  </si>
  <si>
    <t>13 - 17 April 2026</t>
  </si>
  <si>
    <t>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</si>
</sst>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145</xdr:row>
      <xdr:rowOff>0</xdr:rowOff>
    </xdr:from>
    <xdr:to>
      <xdr:col>1</xdr:col>
      <xdr:colOff>1046498</xdr:colOff>
      <xdr:row>268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0E75D7-8AA6-4C85-A36C-05A9F8BE1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03772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279</v>
      </c>
      <c r="C2" s="26" t="s">
        <v>151</v>
      </c>
      <c r="D2" s="27">
        <f>SUM(E3:E11)</f>
        <v>3400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952</v>
      </c>
      <c r="F4" s="8"/>
      <c r="G4" s="8"/>
      <c r="H4" s="8"/>
      <c r="I4" s="9">
        <v>100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2286</v>
      </c>
      <c r="F8" s="8"/>
      <c r="G8" s="8"/>
      <c r="H8" s="8"/>
      <c r="I8" s="9">
        <v>100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162</v>
      </c>
      <c r="F9" s="8"/>
      <c r="G9" s="8"/>
      <c r="H9" s="8"/>
      <c r="I9" s="9">
        <v>40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280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284</v>
      </c>
      <c r="C16" s="26" t="s">
        <v>184</v>
      </c>
      <c r="D16" s="27">
        <f>SUM(E17:E86)</f>
        <v>4137.3899999999994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2499.39</v>
      </c>
      <c r="F34" s="8">
        <v>1</v>
      </c>
      <c r="G34" s="8">
        <v>0.1</v>
      </c>
      <c r="H34" s="8">
        <v>4</v>
      </c>
      <c r="I34" s="9">
        <v>27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1638</v>
      </c>
      <c r="F64" s="8">
        <v>1</v>
      </c>
      <c r="G64" s="8">
        <v>0.2</v>
      </c>
      <c r="H64" s="8">
        <v>4</v>
      </c>
      <c r="I64" s="9">
        <v>13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285</v>
      </c>
      <c r="C87" s="26" t="s">
        <v>195</v>
      </c>
      <c r="D87" s="27">
        <f>SUM(E88:E108)</f>
        <v>1456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400</v>
      </c>
      <c r="F88" s="24"/>
      <c r="G88" s="24"/>
      <c r="H88" s="24"/>
      <c r="I88" s="24">
        <v>16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ref="E94" si="5">I94*K94</f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29" t="s">
        <v>249</v>
      </c>
      <c r="C95" s="7" t="s">
        <v>276</v>
      </c>
      <c r="D95" s="7"/>
      <c r="E95" s="24">
        <f t="shared" si="4"/>
        <v>1000</v>
      </c>
      <c r="F95" s="8"/>
      <c r="G95" s="8"/>
      <c r="H95" s="8"/>
      <c r="I95" s="8">
        <v>1</v>
      </c>
      <c r="J95" s="10" t="s">
        <v>166</v>
      </c>
      <c r="K95" s="48">
        <v>1000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281</v>
      </c>
      <c r="C109" s="26" t="s">
        <v>196</v>
      </c>
      <c r="D109" s="27">
        <f>SUM(E110:E133)</f>
        <v>1853.9899999999998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3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271</v>
      </c>
      <c r="D112" s="7"/>
      <c r="E112" s="8">
        <f t="shared" ref="E112:E114" si="7">I112*K112</f>
        <v>358.69</v>
      </c>
      <c r="F112" s="8">
        <v>2.4</v>
      </c>
      <c r="G112" s="8">
        <v>0.5</v>
      </c>
      <c r="H112" s="8">
        <v>1</v>
      </c>
      <c r="I112" s="8">
        <v>1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423.86</v>
      </c>
      <c r="F113" s="8">
        <v>3.5</v>
      </c>
      <c r="G113" s="8">
        <v>0.5</v>
      </c>
      <c r="H113" s="8">
        <v>1</v>
      </c>
      <c r="I113" s="8">
        <v>1</v>
      </c>
      <c r="J113" s="10" t="s">
        <v>166</v>
      </c>
      <c r="K113" s="30">
        <v>423.86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7"/>
        <v>500</v>
      </c>
      <c r="F114" s="8">
        <v>1.8</v>
      </c>
      <c r="G114" s="8">
        <v>0.5</v>
      </c>
      <c r="H114" s="8">
        <v>1</v>
      </c>
      <c r="I114" s="8">
        <v>2</v>
      </c>
      <c r="J114" s="10" t="s">
        <v>166</v>
      </c>
      <c r="K114" s="30">
        <v>250</v>
      </c>
    </row>
    <row r="115" spans="2:11" s="4" customFormat="1" ht="15.95" hidden="1" customHeight="1" x14ac:dyDescent="0.25">
      <c r="C115" s="7" t="s">
        <v>273</v>
      </c>
      <c r="D115" s="7"/>
      <c r="E115" s="8">
        <f t="shared" si="6"/>
        <v>571.43999999999994</v>
      </c>
      <c r="F115" s="8">
        <v>1.3</v>
      </c>
      <c r="G115" s="8">
        <v>0.5</v>
      </c>
      <c r="H115" s="8">
        <v>1</v>
      </c>
      <c r="I115" s="8">
        <v>3</v>
      </c>
      <c r="J115" s="10" t="s">
        <v>166</v>
      </c>
      <c r="K115" s="30">
        <v>190.48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302.29000000000002</v>
      </c>
    </row>
    <row r="117" spans="2:11" s="4" customFormat="1" ht="15.95" hidden="1" customHeight="1" x14ac:dyDescent="0.25">
      <c r="C117" s="7" t="s">
        <v>253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604.02</v>
      </c>
    </row>
    <row r="118" spans="2:11" s="4" customFormat="1" ht="15.95" hidden="1" customHeight="1" x14ac:dyDescent="0.25">
      <c r="C118" s="7" t="s">
        <v>256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423.86</v>
      </c>
    </row>
    <row r="119" spans="2:11" s="4" customFormat="1" ht="15.95" hidden="1" customHeight="1" x14ac:dyDescent="0.25">
      <c r="C119" s="7" t="s">
        <v>157</v>
      </c>
      <c r="D119" s="7"/>
      <c r="E119" s="8">
        <f t="shared" si="6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166</v>
      </c>
      <c r="K119" s="30">
        <v>595.24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166</v>
      </c>
      <c r="K120" s="30">
        <v>161.9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166</v>
      </c>
      <c r="K121" s="30">
        <v>190.48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166</v>
      </c>
      <c r="K122" s="30">
        <v>216.67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166</v>
      </c>
      <c r="K123" s="30">
        <v>154.76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177.98</v>
      </c>
    </row>
    <row r="125" spans="2:11" s="4" customFormat="1" ht="15.95" hidden="1" customHeight="1" x14ac:dyDescent="0.25">
      <c r="C125" s="7" t="s">
        <v>202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260.12</v>
      </c>
    </row>
    <row r="126" spans="2:11" s="4" customFormat="1" ht="15.95" hidden="1" customHeight="1" x14ac:dyDescent="0.25">
      <c r="B126" s="29" t="s">
        <v>249</v>
      </c>
      <c r="C126" s="7" t="s">
        <v>120</v>
      </c>
      <c r="D126" s="7"/>
      <c r="E126" s="8">
        <f t="shared" si="6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166</v>
      </c>
      <c r="K126" s="30">
        <v>210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166</v>
      </c>
      <c r="K127" s="30">
        <v>223.81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166</v>
      </c>
      <c r="K128" s="30">
        <v>65</v>
      </c>
    </row>
    <row r="129" spans="1:11" s="4" customFormat="1" ht="15.95" hidden="1" customHeight="1" x14ac:dyDescent="0.25">
      <c r="C129" s="7" t="s">
        <v>127</v>
      </c>
      <c r="D129" s="7"/>
      <c r="E129" s="8">
        <f t="shared" si="6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166</v>
      </c>
      <c r="K129" s="30">
        <v>35</v>
      </c>
    </row>
    <row r="130" spans="1:11" s="4" customFormat="1" ht="15.95" hidden="1" customHeight="1" x14ac:dyDescent="0.25">
      <c r="B130" s="29" t="s">
        <v>249</v>
      </c>
      <c r="C130" s="7" t="s">
        <v>55</v>
      </c>
      <c r="D130" s="7"/>
      <c r="E130" s="8">
        <f t="shared" si="6"/>
        <v>0</v>
      </c>
      <c r="F130" s="8"/>
      <c r="G130" s="8"/>
      <c r="H130" s="8"/>
      <c r="I130" s="8">
        <v>0</v>
      </c>
      <c r="J130" s="10" t="s">
        <v>166</v>
      </c>
      <c r="K130" s="30">
        <v>12</v>
      </c>
    </row>
    <row r="131" spans="1:11" s="4" customFormat="1" ht="15.95" hidden="1" customHeight="1" x14ac:dyDescent="0.25">
      <c r="C131" s="7" t="s">
        <v>130</v>
      </c>
      <c r="D131" s="7"/>
      <c r="E131" s="8">
        <f t="shared" si="6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111</v>
      </c>
      <c r="K131" s="30">
        <v>21.9</v>
      </c>
    </row>
    <row r="132" spans="1:11" s="4" customFormat="1" ht="15.95" hidden="1" customHeight="1" x14ac:dyDescent="0.25">
      <c r="C132" s="7" t="s">
        <v>203</v>
      </c>
      <c r="D132" s="7"/>
      <c r="E132" s="8">
        <f t="shared" si="6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166</v>
      </c>
      <c r="K132" s="30">
        <v>177.98</v>
      </c>
    </row>
    <row r="133" spans="1:11" s="4" customFormat="1" ht="15.95" hidden="1" customHeight="1" x14ac:dyDescent="0.25">
      <c r="C133" s="7" t="s">
        <v>178</v>
      </c>
      <c r="D133" s="7"/>
      <c r="E133" s="8">
        <f t="shared" si="6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166</v>
      </c>
      <c r="K133" s="30">
        <v>383.33</v>
      </c>
    </row>
    <row r="134" spans="1:11" s="4" customFormat="1" ht="15.95" customHeight="1" x14ac:dyDescent="0.25">
      <c r="A134" s="21" t="s">
        <v>143</v>
      </c>
      <c r="B134" s="4" t="s">
        <v>282</v>
      </c>
      <c r="C134" s="26" t="s">
        <v>204</v>
      </c>
      <c r="D134" s="27">
        <f>SUM(E135:E144)</f>
        <v>1379.0500000000002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249</v>
      </c>
      <c r="C135" s="7" t="s">
        <v>49</v>
      </c>
      <c r="D135" s="7"/>
      <c r="E135" s="8">
        <f t="shared" ref="E135:E144" si="8">I135*K135</f>
        <v>35</v>
      </c>
      <c r="F135" s="12"/>
      <c r="G135" s="12"/>
      <c r="H135" s="12"/>
      <c r="I135" s="8">
        <v>1</v>
      </c>
      <c r="J135" s="10" t="s">
        <v>166</v>
      </c>
      <c r="K135" s="30">
        <v>35</v>
      </c>
    </row>
    <row r="136" spans="1:11" s="4" customFormat="1" ht="15.95" hidden="1" customHeight="1" x14ac:dyDescent="0.25">
      <c r="B136" s="29" t="s">
        <v>249</v>
      </c>
      <c r="C136" s="7" t="s">
        <v>50</v>
      </c>
      <c r="D136" s="7"/>
      <c r="E136" s="8">
        <f t="shared" si="8"/>
        <v>100</v>
      </c>
      <c r="F136" s="8"/>
      <c r="G136" s="8"/>
      <c r="H136" s="8"/>
      <c r="I136" s="8">
        <v>2</v>
      </c>
      <c r="J136" s="10" t="s">
        <v>166</v>
      </c>
      <c r="K136" s="30">
        <v>50</v>
      </c>
    </row>
    <row r="137" spans="1:11" s="4" customFormat="1" ht="15.95" hidden="1" customHeight="1" x14ac:dyDescent="0.25">
      <c r="B137" s="29" t="s">
        <v>249</v>
      </c>
      <c r="C137" s="7" t="s">
        <v>270</v>
      </c>
      <c r="D137" s="7"/>
      <c r="E137" s="8">
        <f t="shared" si="8"/>
        <v>833.35</v>
      </c>
      <c r="F137" s="8">
        <v>1</v>
      </c>
      <c r="G137" s="8">
        <v>0</v>
      </c>
      <c r="H137" s="8">
        <v>2</v>
      </c>
      <c r="I137" s="8">
        <v>7</v>
      </c>
      <c r="J137" s="10" t="s">
        <v>166</v>
      </c>
      <c r="K137" s="30">
        <v>119.05</v>
      </c>
    </row>
    <row r="138" spans="1:11" s="4" customFormat="1" ht="15.95" hidden="1" customHeight="1" x14ac:dyDescent="0.25">
      <c r="C138" s="7" t="s">
        <v>122</v>
      </c>
      <c r="D138" s="7"/>
      <c r="E138" s="8">
        <f t="shared" si="8"/>
        <v>0</v>
      </c>
      <c r="F138" s="8">
        <v>1</v>
      </c>
      <c r="G138" s="8">
        <v>1</v>
      </c>
      <c r="H138" s="8"/>
      <c r="I138" s="8">
        <v>0</v>
      </c>
      <c r="J138" s="10" t="s">
        <v>111</v>
      </c>
      <c r="K138" s="30">
        <v>28.57</v>
      </c>
    </row>
    <row r="139" spans="1:11" s="4" customFormat="1" ht="15.95" hidden="1" customHeight="1" x14ac:dyDescent="0.25">
      <c r="C139" s="7" t="s">
        <v>74</v>
      </c>
      <c r="D139" s="7"/>
      <c r="E139" s="8">
        <f t="shared" si="8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166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8"/>
        <v>410.70000000000005</v>
      </c>
      <c r="F140" s="8">
        <v>2</v>
      </c>
      <c r="G140" s="8">
        <v>0.2</v>
      </c>
      <c r="H140" s="8">
        <v>0.2</v>
      </c>
      <c r="I140" s="8">
        <v>3</v>
      </c>
      <c r="J140" s="10" t="s">
        <v>166</v>
      </c>
      <c r="K140" s="30">
        <v>136.9</v>
      </c>
    </row>
    <row r="141" spans="1:11" s="4" customFormat="1" ht="15.95" hidden="1" customHeight="1" x14ac:dyDescent="0.25">
      <c r="C141" s="7" t="s">
        <v>171</v>
      </c>
      <c r="D141" s="7"/>
      <c r="E141" s="8">
        <f t="shared" si="8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111</v>
      </c>
      <c r="K141" s="30">
        <v>22.62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83.33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32.14</v>
      </c>
    </row>
    <row r="144" spans="1:11" s="4" customFormat="1" ht="15.95" hidden="1" customHeight="1" x14ac:dyDescent="0.25">
      <c r="C144" s="7" t="s">
        <v>164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38.1</v>
      </c>
    </row>
    <row r="145" spans="1:11" s="4" customFormat="1" ht="15.95" customHeight="1" x14ac:dyDescent="0.25">
      <c r="A145" s="21" t="s">
        <v>142</v>
      </c>
      <c r="B145" s="4" t="s">
        <v>283</v>
      </c>
      <c r="C145" s="26" t="s">
        <v>205</v>
      </c>
      <c r="D145" s="27">
        <f>SUM(E146:E153)</f>
        <v>515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268</v>
      </c>
      <c r="D146" s="7"/>
      <c r="E146" s="8">
        <f t="shared" ref="E146:E153" si="9">I146*K146</f>
        <v>200</v>
      </c>
      <c r="F146" s="8">
        <v>0.5</v>
      </c>
      <c r="G146" s="8">
        <v>0.5</v>
      </c>
      <c r="H146" s="8">
        <v>0.5</v>
      </c>
      <c r="I146" s="8">
        <v>2</v>
      </c>
      <c r="J146" s="10" t="s">
        <v>166</v>
      </c>
      <c r="K146" s="30">
        <v>100</v>
      </c>
    </row>
    <row r="147" spans="1:11" s="4" customFormat="1" ht="15.95" hidden="1" customHeight="1" x14ac:dyDescent="0.25">
      <c r="C147" s="7" t="s">
        <v>86</v>
      </c>
      <c r="D147" s="7"/>
      <c r="E147" s="8">
        <f t="shared" si="9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166</v>
      </c>
      <c r="K147" s="30">
        <v>219.05</v>
      </c>
    </row>
    <row r="148" spans="1:11" s="4" customFormat="1" ht="15.95" hidden="1" customHeight="1" x14ac:dyDescent="0.25">
      <c r="C148" s="7" t="s">
        <v>180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3</v>
      </c>
    </row>
    <row r="149" spans="1:11" s="4" customFormat="1" ht="15.95" hidden="1" customHeight="1" x14ac:dyDescent="0.25">
      <c r="C149" s="7" t="s">
        <v>53</v>
      </c>
      <c r="D149" s="7"/>
      <c r="E149" s="8">
        <f t="shared" ref="E149" si="10">I149*K149</f>
        <v>175</v>
      </c>
      <c r="F149" s="8">
        <v>0</v>
      </c>
      <c r="G149" s="8">
        <v>0</v>
      </c>
      <c r="H149" s="8">
        <v>0</v>
      </c>
      <c r="I149" s="8">
        <v>7</v>
      </c>
      <c r="J149" s="10" t="s">
        <v>166</v>
      </c>
      <c r="K149" s="30">
        <v>25</v>
      </c>
    </row>
    <row r="150" spans="1:11" s="4" customFormat="1" ht="15.95" hidden="1" customHeight="1" x14ac:dyDescent="0.25">
      <c r="C150" s="7" t="s">
        <v>275</v>
      </c>
      <c r="D150" s="7"/>
      <c r="E150" s="8">
        <f t="shared" si="9"/>
        <v>100</v>
      </c>
      <c r="F150" s="8">
        <v>0</v>
      </c>
      <c r="G150" s="8">
        <v>0</v>
      </c>
      <c r="H150" s="8">
        <v>0</v>
      </c>
      <c r="I150" s="8">
        <v>5</v>
      </c>
      <c r="J150" s="10" t="s">
        <v>166</v>
      </c>
      <c r="K150" s="30">
        <v>20</v>
      </c>
    </row>
    <row r="151" spans="1:11" s="4" customFormat="1" ht="15.95" hidden="1" customHeight="1" x14ac:dyDescent="0.25">
      <c r="B151" s="29" t="s">
        <v>249</v>
      </c>
      <c r="C151" s="7" t="s">
        <v>72</v>
      </c>
      <c r="D151" s="7"/>
      <c r="E151" s="8">
        <f t="shared" si="9"/>
        <v>0</v>
      </c>
      <c r="F151" s="8">
        <v>0.5</v>
      </c>
      <c r="G151" s="8">
        <v>0.5</v>
      </c>
      <c r="H151" s="8"/>
      <c r="I151" s="8">
        <v>0</v>
      </c>
      <c r="J151" s="10" t="s">
        <v>111</v>
      </c>
      <c r="K151" s="30">
        <v>25</v>
      </c>
    </row>
    <row r="152" spans="1:11" s="4" customFormat="1" ht="15.95" hidden="1" customHeight="1" x14ac:dyDescent="0.25">
      <c r="C152" s="7" t="s">
        <v>91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166</v>
      </c>
      <c r="K152" s="30">
        <v>25</v>
      </c>
    </row>
    <row r="153" spans="1:11" s="4" customFormat="1" ht="15.95" hidden="1" customHeight="1" x14ac:dyDescent="0.25">
      <c r="C153" s="7" t="s">
        <v>248</v>
      </c>
      <c r="D153" s="7"/>
      <c r="E153" s="8">
        <f t="shared" si="9"/>
        <v>40</v>
      </c>
      <c r="F153" s="8"/>
      <c r="G153" s="8"/>
      <c r="H153" s="8"/>
      <c r="I153" s="8">
        <v>2</v>
      </c>
      <c r="J153" s="10" t="s">
        <v>166</v>
      </c>
      <c r="K153" s="30">
        <v>20</v>
      </c>
    </row>
    <row r="154" spans="1:11" s="4" customFormat="1" ht="15.95" customHeight="1" x14ac:dyDescent="0.25">
      <c r="C154" s="26" t="s">
        <v>132</v>
      </c>
      <c r="D154" s="27">
        <f>SUM(E155:E167)</f>
        <v>1156.08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249</v>
      </c>
      <c r="C155" s="7" t="s">
        <v>19</v>
      </c>
      <c r="D155" s="7"/>
      <c r="E155" s="8">
        <f t="shared" ref="E155:E167" si="11">I155*K155</f>
        <v>142.80000000000001</v>
      </c>
      <c r="F155" s="8"/>
      <c r="G155" s="8"/>
      <c r="H155" s="8"/>
      <c r="I155" s="8">
        <v>12</v>
      </c>
      <c r="J155" s="10" t="s">
        <v>166</v>
      </c>
      <c r="K155" s="30">
        <v>11.9</v>
      </c>
    </row>
    <row r="156" spans="1:11" s="4" customFormat="1" ht="15.95" hidden="1" customHeight="1" x14ac:dyDescent="0.25">
      <c r="B156" s="29" t="s">
        <v>249</v>
      </c>
      <c r="C156" s="7" t="s">
        <v>62</v>
      </c>
      <c r="D156" s="7"/>
      <c r="E156" s="8">
        <f t="shared" si="11"/>
        <v>150</v>
      </c>
      <c r="F156" s="8"/>
      <c r="G156" s="8"/>
      <c r="H156" s="8"/>
      <c r="I156" s="8">
        <v>3</v>
      </c>
      <c r="J156" s="10" t="s">
        <v>166</v>
      </c>
      <c r="K156" s="30">
        <v>50</v>
      </c>
    </row>
    <row r="157" spans="1:11" s="4" customFormat="1" ht="15.95" hidden="1" customHeight="1" x14ac:dyDescent="0.25">
      <c r="B157" s="29" t="s">
        <v>249</v>
      </c>
      <c r="C157" s="7" t="s">
        <v>63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65</v>
      </c>
    </row>
    <row r="158" spans="1:11" s="4" customFormat="1" ht="15.95" hidden="1" customHeight="1" x14ac:dyDescent="0.25">
      <c r="C158" s="7" t="s">
        <v>82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23.81</v>
      </c>
    </row>
    <row r="159" spans="1:11" s="4" customFormat="1" ht="15.95" hidden="1" customHeight="1" x14ac:dyDescent="0.25">
      <c r="C159" s="7" t="s">
        <v>83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14.29</v>
      </c>
    </row>
    <row r="160" spans="1:11" s="4" customFormat="1" ht="15.95" hidden="1" customHeight="1" x14ac:dyDescent="0.25">
      <c r="B160" s="29" t="s">
        <v>249</v>
      </c>
      <c r="C160" s="7" t="s">
        <v>64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166</v>
      </c>
      <c r="K160" s="30">
        <v>10</v>
      </c>
    </row>
    <row r="161" spans="2:11" s="4" customFormat="1" ht="15.95" hidden="1" customHeight="1" x14ac:dyDescent="0.25">
      <c r="B161" s="29" t="s">
        <v>249</v>
      </c>
      <c r="C161" s="7" t="s">
        <v>18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C162" s="7" t="s">
        <v>51</v>
      </c>
      <c r="D162" s="7"/>
      <c r="E162" s="8">
        <f t="shared" si="11"/>
        <v>125</v>
      </c>
      <c r="F162" s="12"/>
      <c r="G162" s="12"/>
      <c r="H162" s="12"/>
      <c r="I162" s="8">
        <v>25</v>
      </c>
      <c r="J162" s="10" t="s">
        <v>166</v>
      </c>
      <c r="K162" s="30">
        <v>5</v>
      </c>
    </row>
    <row r="163" spans="2:11" s="4" customFormat="1" ht="15.95" hidden="1" customHeight="1" x14ac:dyDescent="0.25">
      <c r="B163" s="29" t="s">
        <v>249</v>
      </c>
      <c r="C163" s="7" t="s">
        <v>17</v>
      </c>
      <c r="D163" s="7"/>
      <c r="E163" s="8">
        <f t="shared" si="11"/>
        <v>142.80000000000001</v>
      </c>
      <c r="F163" s="8"/>
      <c r="G163" s="8"/>
      <c r="H163" s="8"/>
      <c r="I163" s="8">
        <v>12</v>
      </c>
      <c r="J163" s="10" t="s">
        <v>166</v>
      </c>
      <c r="K163" s="30">
        <v>11.9</v>
      </c>
    </row>
    <row r="164" spans="2:11" s="4" customFormat="1" ht="15.95" hidden="1" customHeight="1" x14ac:dyDescent="0.25">
      <c r="C164" s="7" t="s">
        <v>56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166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166</v>
      </c>
      <c r="K165" s="30">
        <v>2.38</v>
      </c>
    </row>
    <row r="166" spans="2:11" ht="15.95" hidden="1" customHeight="1" x14ac:dyDescent="0.25">
      <c r="C166" s="7" t="s">
        <v>188</v>
      </c>
      <c r="D166" s="7"/>
      <c r="E166" s="8">
        <f t="shared" si="11"/>
        <v>405</v>
      </c>
      <c r="F166" s="8"/>
      <c r="G166" s="8"/>
      <c r="H166" s="8"/>
      <c r="I166" s="8">
        <v>100</v>
      </c>
      <c r="J166" s="10" t="s">
        <v>150</v>
      </c>
      <c r="K166" s="30">
        <v>4.05</v>
      </c>
    </row>
    <row r="167" spans="2:11" s="4" customFormat="1" ht="15.95" hidden="1" customHeight="1" x14ac:dyDescent="0.25">
      <c r="C167" s="7" t="s">
        <v>158</v>
      </c>
      <c r="D167" s="7"/>
      <c r="E167" s="8">
        <f t="shared" si="11"/>
        <v>190.48</v>
      </c>
      <c r="F167" s="8"/>
      <c r="G167" s="8"/>
      <c r="H167" s="8"/>
      <c r="I167" s="8">
        <v>1</v>
      </c>
      <c r="J167" s="10" t="s">
        <v>166</v>
      </c>
      <c r="K167" s="30">
        <v>190.48</v>
      </c>
    </row>
    <row r="168" spans="2:11" s="4" customFormat="1" ht="15.95" customHeight="1" x14ac:dyDescent="0.25">
      <c r="C168" s="26" t="s">
        <v>206</v>
      </c>
      <c r="D168" s="27">
        <f>SUM(E169:E210)</f>
        <v>1477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2">I169*K169</f>
        <v>105</v>
      </c>
      <c r="F169" s="12"/>
      <c r="G169" s="12"/>
      <c r="H169" s="12"/>
      <c r="I169" s="8">
        <v>7</v>
      </c>
      <c r="J169" s="10" t="s">
        <v>166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2"/>
        <v>336</v>
      </c>
      <c r="F170" s="12"/>
      <c r="G170" s="12"/>
      <c r="H170" s="12"/>
      <c r="I170" s="8">
        <v>28</v>
      </c>
      <c r="J170" s="10" t="s">
        <v>166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2"/>
        <v>80</v>
      </c>
      <c r="F171" s="12"/>
      <c r="G171" s="12"/>
      <c r="H171" s="12"/>
      <c r="I171" s="8">
        <v>4</v>
      </c>
      <c r="J171" s="10" t="s">
        <v>166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81</v>
      </c>
      <c r="D173" s="7"/>
      <c r="E173" s="8">
        <f t="shared" si="12"/>
        <v>50</v>
      </c>
      <c r="F173" s="12"/>
      <c r="G173" s="12"/>
      <c r="H173" s="12"/>
      <c r="I173" s="8">
        <v>2</v>
      </c>
      <c r="J173" s="10" t="s">
        <v>166</v>
      </c>
      <c r="K173" s="30">
        <v>25</v>
      </c>
    </row>
    <row r="174" spans="2:11" s="4" customFormat="1" ht="15.95" hidden="1" customHeight="1" x14ac:dyDescent="0.25">
      <c r="C174" s="7" t="s">
        <v>179</v>
      </c>
      <c r="D174" s="7"/>
      <c r="E174" s="8">
        <f t="shared" si="12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166</v>
      </c>
      <c r="K174" s="30">
        <v>385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2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130</v>
      </c>
    </row>
    <row r="176" spans="2:11" s="4" customFormat="1" ht="15.95" hidden="1" customHeight="1" x14ac:dyDescent="0.25">
      <c r="C176" s="7" t="s">
        <v>79</v>
      </c>
      <c r="D176" s="7"/>
      <c r="E176" s="8">
        <f t="shared" si="12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2"/>
        <v>170</v>
      </c>
      <c r="F178" s="12"/>
      <c r="G178" s="12"/>
      <c r="H178" s="12"/>
      <c r="I178" s="8">
        <v>2</v>
      </c>
      <c r="J178" s="10" t="s">
        <v>166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166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2"/>
        <v>40</v>
      </c>
      <c r="F181" s="12"/>
      <c r="G181" s="12"/>
      <c r="H181" s="12"/>
      <c r="I181" s="8">
        <v>5</v>
      </c>
      <c r="J181" s="10" t="s">
        <v>166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15</v>
      </c>
    </row>
    <row r="183" spans="3:11" s="4" customFormat="1" ht="15.95" hidden="1" customHeight="1" x14ac:dyDescent="0.25">
      <c r="C183" s="7" t="s">
        <v>190</v>
      </c>
      <c r="D183" s="7"/>
      <c r="E183" s="8">
        <f t="shared" si="12"/>
        <v>105</v>
      </c>
      <c r="F183" s="12"/>
      <c r="G183" s="12"/>
      <c r="H183" s="12"/>
      <c r="I183" s="8">
        <v>3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85</v>
      </c>
    </row>
    <row r="185" spans="3:11" s="4" customFormat="1" ht="15.95" hidden="1" customHeight="1" x14ac:dyDescent="0.25">
      <c r="C185" s="7" t="s">
        <v>58</v>
      </c>
      <c r="D185" s="7"/>
      <c r="E185" s="8">
        <f t="shared" si="12"/>
        <v>35</v>
      </c>
      <c r="F185" s="12"/>
      <c r="G185" s="12"/>
      <c r="H185" s="12"/>
      <c r="I185" s="8">
        <v>1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2"/>
        <v>50</v>
      </c>
      <c r="F186" s="12"/>
      <c r="G186" s="12"/>
      <c r="H186" s="12"/>
      <c r="I186" s="8">
        <v>2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135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12</v>
      </c>
    </row>
    <row r="189" spans="3:11" s="4" customFormat="1" ht="15.95" hidden="1" customHeight="1" x14ac:dyDescent="0.25">
      <c r="C189" s="7" t="s">
        <v>48</v>
      </c>
      <c r="D189" s="7"/>
      <c r="E189" s="8">
        <f t="shared" si="12"/>
        <v>25</v>
      </c>
      <c r="F189" s="12"/>
      <c r="G189" s="12"/>
      <c r="H189" s="12"/>
      <c r="I189" s="8">
        <v>1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54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150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159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208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166</v>
      </c>
      <c r="K193" s="30">
        <v>600</v>
      </c>
    </row>
    <row r="194" spans="2:11" s="4" customFormat="1" ht="15.95" hidden="1" customHeight="1" x14ac:dyDescent="0.25">
      <c r="C194" s="7" t="s">
        <v>209</v>
      </c>
      <c r="D194" s="7"/>
      <c r="E194" s="8">
        <f t="shared" si="12"/>
        <v>85</v>
      </c>
      <c r="F194" s="8"/>
      <c r="G194" s="8"/>
      <c r="H194" s="8"/>
      <c r="I194" s="8">
        <v>1</v>
      </c>
      <c r="J194" s="10" t="s">
        <v>166</v>
      </c>
      <c r="K194" s="30">
        <v>85</v>
      </c>
    </row>
    <row r="195" spans="2:11" s="4" customFormat="1" ht="15.95" hidden="1" customHeight="1" x14ac:dyDescent="0.25">
      <c r="C195" s="7" t="s">
        <v>257</v>
      </c>
      <c r="D195" s="7"/>
      <c r="E195" s="8">
        <f t="shared" si="12"/>
        <v>210</v>
      </c>
      <c r="F195" s="8"/>
      <c r="G195" s="8"/>
      <c r="H195" s="8"/>
      <c r="I195" s="8">
        <v>1</v>
      </c>
      <c r="J195" s="10" t="s">
        <v>166</v>
      </c>
      <c r="K195" s="30">
        <v>210</v>
      </c>
    </row>
    <row r="196" spans="2:11" s="4" customFormat="1" ht="15.95" hidden="1" customHeight="1" x14ac:dyDescent="0.25">
      <c r="C196" s="7" t="s">
        <v>87</v>
      </c>
      <c r="D196" s="7"/>
      <c r="E196" s="8">
        <f t="shared" si="12"/>
        <v>16</v>
      </c>
      <c r="F196" s="8"/>
      <c r="G196" s="8"/>
      <c r="H196" s="8"/>
      <c r="I196" s="8">
        <v>2</v>
      </c>
      <c r="J196" s="10" t="s">
        <v>166</v>
      </c>
      <c r="K196" s="30">
        <v>8</v>
      </c>
    </row>
    <row r="197" spans="2:11" s="4" customFormat="1" ht="15.95" hidden="1" customHeight="1" x14ac:dyDescent="0.25">
      <c r="C197" s="7" t="s">
        <v>73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C198" s="7" t="s">
        <v>84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B199" s="29" t="s">
        <v>249</v>
      </c>
      <c r="C199" s="7" t="s">
        <v>85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25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85</v>
      </c>
    </row>
    <row r="201" spans="2:11" s="4" customFormat="1" ht="15.95" hidden="1" customHeight="1" x14ac:dyDescent="0.25">
      <c r="C201" s="7" t="s">
        <v>89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C202" s="7" t="s">
        <v>90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5</v>
      </c>
    </row>
    <row r="203" spans="2:11" s="4" customFormat="1" ht="15.95" hidden="1" customHeight="1" x14ac:dyDescent="0.25">
      <c r="C203" s="7" t="s">
        <v>92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12</v>
      </c>
    </row>
    <row r="204" spans="2:11" s="4" customFormat="1" ht="15.95" hidden="1" customHeight="1" x14ac:dyDescent="0.25">
      <c r="C204" s="7" t="s">
        <v>93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25</v>
      </c>
    </row>
    <row r="205" spans="2:11" s="4" customFormat="1" ht="15.95" hidden="1" customHeight="1" x14ac:dyDescent="0.25">
      <c r="C205" s="7" t="s">
        <v>94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20</v>
      </c>
    </row>
    <row r="206" spans="2:11" s="4" customFormat="1" ht="15.95" hidden="1" customHeight="1" x14ac:dyDescent="0.25">
      <c r="C206" s="7" t="s">
        <v>121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6</v>
      </c>
    </row>
    <row r="207" spans="2:11" s="4" customFormat="1" ht="15.95" hidden="1" customHeight="1" x14ac:dyDescent="0.25">
      <c r="C207" s="7" t="s">
        <v>123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3</v>
      </c>
    </row>
    <row r="208" spans="2:11" s="4" customFormat="1" ht="15.95" hidden="1" customHeight="1" x14ac:dyDescent="0.25">
      <c r="C208" s="7" t="s">
        <v>124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35</v>
      </c>
    </row>
    <row r="209" spans="3:11" s="4" customFormat="1" ht="15.95" hidden="1" customHeight="1" x14ac:dyDescent="0.25">
      <c r="C209" s="7" t="s">
        <v>247</v>
      </c>
      <c r="D209" s="7"/>
      <c r="E209" s="8">
        <f t="shared" si="12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166</v>
      </c>
      <c r="K209" s="30">
        <v>20</v>
      </c>
    </row>
    <row r="210" spans="3:11" s="4" customFormat="1" ht="15.95" hidden="1" customHeight="1" x14ac:dyDescent="0.25">
      <c r="C210" s="7" t="s">
        <v>246</v>
      </c>
      <c r="D210" s="7"/>
      <c r="E210" s="8">
        <f t="shared" si="12"/>
        <v>170</v>
      </c>
      <c r="F210" s="8"/>
      <c r="G210" s="8"/>
      <c r="H210" s="8"/>
      <c r="I210" s="8">
        <v>2</v>
      </c>
      <c r="J210" s="10" t="s">
        <v>166</v>
      </c>
      <c r="K210" s="30">
        <v>85</v>
      </c>
    </row>
    <row r="211" spans="3:11" s="4" customFormat="1" ht="15.95" customHeight="1" x14ac:dyDescent="0.25">
      <c r="C211" s="26" t="s">
        <v>183</v>
      </c>
      <c r="D211" s="27">
        <f>SUM(E212:E222)</f>
        <v>1742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244</v>
      </c>
      <c r="D212" s="7"/>
      <c r="E212" s="8">
        <f t="shared" ref="E212:E222" si="13">I212*K212</f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10.71</v>
      </c>
    </row>
    <row r="213" spans="3:11" s="4" customFormat="1" ht="15.95" hidden="1" customHeight="1" x14ac:dyDescent="0.25">
      <c r="C213" s="7" t="s">
        <v>243</v>
      </c>
      <c r="D213" s="7"/>
      <c r="E213" s="8">
        <f t="shared" si="13"/>
        <v>371.52</v>
      </c>
      <c r="F213" s="8">
        <v>1</v>
      </c>
      <c r="G213" s="8">
        <v>1</v>
      </c>
      <c r="H213" s="12"/>
      <c r="I213" s="8">
        <v>24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3"/>
        <v>232.20000000000002</v>
      </c>
      <c r="F214" s="8">
        <v>1</v>
      </c>
      <c r="G214" s="8">
        <v>1</v>
      </c>
      <c r="H214" s="12"/>
      <c r="I214" s="8">
        <v>15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191</v>
      </c>
      <c r="D215" s="7"/>
      <c r="E215" s="8">
        <f t="shared" si="13"/>
        <v>157.19999999999999</v>
      </c>
      <c r="F215" s="8">
        <v>1</v>
      </c>
      <c r="G215" s="8">
        <v>1</v>
      </c>
      <c r="H215" s="12"/>
      <c r="I215" s="8">
        <v>12</v>
      </c>
      <c r="J215" s="10" t="s">
        <v>111</v>
      </c>
      <c r="K215" s="30">
        <v>13.1</v>
      </c>
    </row>
    <row r="216" spans="3:11" s="4" customFormat="1" ht="15.95" hidden="1" customHeight="1" x14ac:dyDescent="0.25">
      <c r="C216" s="7" t="s">
        <v>258</v>
      </c>
      <c r="D216" s="7"/>
      <c r="E216" s="8">
        <f t="shared" si="13"/>
        <v>666.68</v>
      </c>
      <c r="F216" s="8">
        <v>1</v>
      </c>
      <c r="G216" s="8">
        <v>1</v>
      </c>
      <c r="H216" s="12"/>
      <c r="I216" s="8">
        <v>7</v>
      </c>
      <c r="J216" s="10" t="s">
        <v>111</v>
      </c>
      <c r="K216" s="30">
        <v>95.24</v>
      </c>
    </row>
    <row r="217" spans="3:11" s="4" customFormat="1" ht="15.95" hidden="1" customHeight="1" x14ac:dyDescent="0.25">
      <c r="C217" s="7" t="s">
        <v>259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47.62</v>
      </c>
    </row>
    <row r="218" spans="3:11" s="4" customFormat="1" ht="15.95" hidden="1" customHeight="1" x14ac:dyDescent="0.25">
      <c r="C218" s="7" t="s">
        <v>71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35.71</v>
      </c>
    </row>
    <row r="219" spans="3:11" s="4" customFormat="1" ht="15.95" hidden="1" customHeight="1" x14ac:dyDescent="0.25">
      <c r="C219" s="7" t="s">
        <v>122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28.57</v>
      </c>
    </row>
    <row r="220" spans="3:11" s="4" customFormat="1" ht="15.95" hidden="1" customHeight="1" x14ac:dyDescent="0.25">
      <c r="C220" s="7" t="s">
        <v>52</v>
      </c>
      <c r="D220" s="7"/>
      <c r="E220" s="8">
        <f t="shared" si="13"/>
        <v>314.39999999999998</v>
      </c>
      <c r="F220" s="8">
        <v>1</v>
      </c>
      <c r="G220" s="8">
        <v>1</v>
      </c>
      <c r="H220" s="12"/>
      <c r="I220" s="8">
        <v>24</v>
      </c>
      <c r="J220" s="10" t="s">
        <v>111</v>
      </c>
      <c r="K220" s="30">
        <v>13.1</v>
      </c>
    </row>
    <row r="221" spans="3:11" s="4" customFormat="1" ht="15.95" hidden="1" customHeight="1" x14ac:dyDescent="0.25">
      <c r="C221" s="7" t="s">
        <v>245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10.71</v>
      </c>
    </row>
    <row r="223" spans="3:11" s="4" customFormat="1" ht="15.95" customHeight="1" x14ac:dyDescent="0.25">
      <c r="C223" s="26" t="s">
        <v>182</v>
      </c>
      <c r="D223" s="27">
        <f>SUM(E224:E262)</f>
        <v>710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21</v>
      </c>
      <c r="D224" s="7"/>
      <c r="E224" s="8">
        <f t="shared" ref="E224:E262" si="14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166</v>
      </c>
      <c r="K224" s="30">
        <v>320</v>
      </c>
    </row>
    <row r="225" spans="3:11" s="4" customFormat="1" ht="15.95" hidden="1" customHeight="1" x14ac:dyDescent="0.25">
      <c r="C225" s="7" t="s">
        <v>213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210</v>
      </c>
    </row>
    <row r="226" spans="3:11" s="4" customFormat="1" ht="15.95" hidden="1" customHeight="1" x14ac:dyDescent="0.25">
      <c r="C226" s="7" t="s">
        <v>214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215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216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110</v>
      </c>
    </row>
    <row r="229" spans="3:11" s="4" customFormat="1" ht="15.95" hidden="1" customHeight="1" x14ac:dyDescent="0.25">
      <c r="C229" s="7" t="s">
        <v>217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166</v>
      </c>
      <c r="K229" s="30">
        <v>310</v>
      </c>
    </row>
    <row r="230" spans="3:11" s="4" customFormat="1" ht="15.95" hidden="1" customHeight="1" x14ac:dyDescent="0.25">
      <c r="C230" s="7" t="s">
        <v>218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166</v>
      </c>
      <c r="K230" s="30">
        <v>160</v>
      </c>
    </row>
    <row r="231" spans="3:11" s="4" customFormat="1" ht="15.95" hidden="1" customHeight="1" x14ac:dyDescent="0.25">
      <c r="C231" s="7" t="s">
        <v>59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166</v>
      </c>
      <c r="K231" s="30">
        <v>10</v>
      </c>
    </row>
    <row r="232" spans="3:11" s="4" customFormat="1" ht="15.95" hidden="1" customHeight="1" x14ac:dyDescent="0.25">
      <c r="C232" s="7" t="s">
        <v>222</v>
      </c>
      <c r="D232" s="7"/>
      <c r="E232" s="8">
        <f t="shared" si="14"/>
        <v>0</v>
      </c>
      <c r="F232" s="12"/>
      <c r="G232" s="12"/>
      <c r="H232" s="12"/>
      <c r="I232" s="8">
        <v>0</v>
      </c>
      <c r="J232" s="10" t="s">
        <v>166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181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4"/>
        <v>250</v>
      </c>
      <c r="F237" s="8"/>
      <c r="G237" s="8"/>
      <c r="H237" s="8"/>
      <c r="I237" s="8">
        <v>1</v>
      </c>
      <c r="J237" s="10" t="s">
        <v>166</v>
      </c>
      <c r="K237" s="30">
        <v>250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390</v>
      </c>
    </row>
    <row r="239" spans="3:11" s="4" customFormat="1" ht="15.95" hidden="1" customHeight="1" x14ac:dyDescent="0.25">
      <c r="C239" s="7" t="s">
        <v>236</v>
      </c>
      <c r="D239" s="7"/>
      <c r="E239" s="8">
        <f t="shared" si="14"/>
        <v>460</v>
      </c>
      <c r="F239" s="8"/>
      <c r="G239" s="8"/>
      <c r="H239" s="8"/>
      <c r="I239" s="8">
        <v>1</v>
      </c>
      <c r="J239" s="10" t="s">
        <v>166</v>
      </c>
      <c r="K239" s="30">
        <v>460</v>
      </c>
    </row>
    <row r="240" spans="3:11" s="4" customFormat="1" ht="15.95" hidden="1" customHeight="1" x14ac:dyDescent="0.25">
      <c r="C240" s="7" t="s">
        <v>211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850</v>
      </c>
    </row>
    <row r="241" spans="3:11" s="4" customFormat="1" ht="15.95" hidden="1" customHeight="1" x14ac:dyDescent="0.25">
      <c r="C241" s="7" t="s">
        <v>187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1400</v>
      </c>
    </row>
    <row r="242" spans="3:11" s="4" customFormat="1" ht="15.95" hidden="1" customHeight="1" x14ac:dyDescent="0.25">
      <c r="C242" s="7" t="s">
        <v>238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360</v>
      </c>
    </row>
    <row r="243" spans="3:11" s="4" customFormat="1" ht="15.95" hidden="1" customHeight="1" x14ac:dyDescent="0.25">
      <c r="C243" s="7" t="s">
        <v>241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550</v>
      </c>
    </row>
    <row r="244" spans="3:11" s="4" customFormat="1" ht="15.95" hidden="1" customHeight="1" x14ac:dyDescent="0.25">
      <c r="C244" s="7" t="s">
        <v>242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580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680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750</v>
      </c>
    </row>
    <row r="247" spans="3:11" s="4" customFormat="1" ht="15.95" hidden="1" customHeight="1" x14ac:dyDescent="0.25">
      <c r="C247" s="7" t="s">
        <v>235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340</v>
      </c>
    </row>
    <row r="248" spans="3:11" s="4" customFormat="1" ht="15.95" hidden="1" customHeight="1" x14ac:dyDescent="0.25">
      <c r="C248" s="7" t="s">
        <v>240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160</v>
      </c>
    </row>
    <row r="249" spans="3:11" s="4" customFormat="1" ht="15.95" hidden="1" customHeight="1" x14ac:dyDescent="0.25">
      <c r="C249" s="7" t="s">
        <v>237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227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223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400</v>
      </c>
    </row>
    <row r="252" spans="3:11" s="4" customFormat="1" ht="15.95" hidden="1" customHeight="1" x14ac:dyDescent="0.25">
      <c r="C252" s="7" t="s">
        <v>225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260</v>
      </c>
    </row>
    <row r="253" spans="3:11" s="4" customFormat="1" ht="15.95" hidden="1" customHeight="1" x14ac:dyDescent="0.25">
      <c r="C253" s="7" t="s">
        <v>231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180</v>
      </c>
    </row>
    <row r="254" spans="3:11" s="4" customFormat="1" ht="15.95" hidden="1" customHeight="1" x14ac:dyDescent="0.25">
      <c r="C254" s="7" t="s">
        <v>232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120</v>
      </c>
    </row>
    <row r="255" spans="3:11" s="4" customFormat="1" ht="15.95" hidden="1" customHeight="1" x14ac:dyDescent="0.25">
      <c r="C255" s="7" t="s">
        <v>233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220</v>
      </c>
    </row>
    <row r="256" spans="3:11" s="4" customFormat="1" ht="15.95" hidden="1" customHeight="1" x14ac:dyDescent="0.25">
      <c r="C256" s="7" t="s">
        <v>226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230</v>
      </c>
    </row>
    <row r="257" spans="3:11" s="4" customFormat="1" ht="15.95" hidden="1" customHeight="1" x14ac:dyDescent="0.25">
      <c r="C257" s="7" t="s">
        <v>228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229</v>
      </c>
      <c r="K257" s="30">
        <v>500</v>
      </c>
    </row>
    <row r="258" spans="3:11" s="4" customFormat="1" ht="15.95" hidden="1" customHeight="1" x14ac:dyDescent="0.25">
      <c r="C258" s="7" t="s">
        <v>230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180</v>
      </c>
    </row>
    <row r="259" spans="3:11" s="4" customFormat="1" ht="15.95" hidden="1" customHeight="1" x14ac:dyDescent="0.25">
      <c r="C259" s="7" t="s">
        <v>224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260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6500</v>
      </c>
    </row>
    <row r="261" spans="3:11" s="4" customFormat="1" ht="15.95" hidden="1" customHeight="1" x14ac:dyDescent="0.25">
      <c r="C261" s="7" t="s">
        <v>221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166</v>
      </c>
      <c r="K261" s="30">
        <v>8800</v>
      </c>
    </row>
    <row r="262" spans="3:11" s="4" customFormat="1" ht="15.95" hidden="1" customHeight="1" x14ac:dyDescent="0.25">
      <c r="C262" s="7" t="s">
        <v>220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166</v>
      </c>
      <c r="K262" s="30">
        <v>1050</v>
      </c>
    </row>
    <row r="263" spans="3:11" s="22" customFormat="1" ht="15.95" customHeight="1" x14ac:dyDescent="0.25">
      <c r="C263" s="32" t="s">
        <v>148</v>
      </c>
      <c r="D263" s="33">
        <f>SUM(E264)</f>
        <v>11800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11800</v>
      </c>
      <c r="F264" s="24"/>
      <c r="G264" s="24"/>
      <c r="H264" s="24"/>
      <c r="I264" s="24">
        <v>1</v>
      </c>
      <c r="J264" s="25" t="s">
        <v>166</v>
      </c>
      <c r="K264" s="48">
        <v>11800</v>
      </c>
    </row>
    <row r="265" spans="3:11" s="22" customFormat="1" ht="15.95" customHeight="1" x14ac:dyDescent="0.25">
      <c r="C265" s="32" t="s">
        <v>146</v>
      </c>
      <c r="D265" s="33">
        <f>SUM(E266)</f>
        <v>5000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5000</v>
      </c>
      <c r="F266" s="41"/>
      <c r="G266" s="41"/>
      <c r="H266" s="41"/>
      <c r="I266" s="24">
        <v>4</v>
      </c>
      <c r="J266" s="25" t="s">
        <v>149</v>
      </c>
      <c r="K266" s="48">
        <v>1250</v>
      </c>
    </row>
    <row r="267" spans="3:11" s="22" customFormat="1" ht="15.95" customHeight="1" x14ac:dyDescent="0.25">
      <c r="C267" s="32" t="s">
        <v>147</v>
      </c>
      <c r="D267" s="33">
        <f>SUM(E268)</f>
        <v>6000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6000</v>
      </c>
      <c r="F268" s="41"/>
      <c r="G268" s="41"/>
      <c r="H268" s="41"/>
      <c r="I268" s="24">
        <v>4</v>
      </c>
      <c r="J268" s="25" t="s">
        <v>166</v>
      </c>
      <c r="K268" s="48">
        <v>1500</v>
      </c>
    </row>
    <row r="269" spans="3:11" s="22" customFormat="1" ht="15.95" customHeight="1" x14ac:dyDescent="0.25">
      <c r="C269" s="32" t="s">
        <v>212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166</v>
      </c>
      <c r="K270" s="48">
        <v>1200</v>
      </c>
    </row>
    <row r="271" spans="3:11" s="22" customFormat="1" ht="15.95" customHeight="1" x14ac:dyDescent="0.25">
      <c r="C271" s="32" t="s">
        <v>264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263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166</v>
      </c>
      <c r="K272" s="48">
        <v>0</v>
      </c>
    </row>
    <row r="273" spans="3:11" ht="15.95" customHeight="1" thickBot="1" x14ac:dyDescent="0.3">
      <c r="C273" s="18" t="s">
        <v>57</v>
      </c>
      <c r="D273" s="14">
        <f>SUM(D2:D272)</f>
        <v>42091.51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2025-12-23T12:40:33Z</dcterms:modified>
</cp:coreProperties>
</file>