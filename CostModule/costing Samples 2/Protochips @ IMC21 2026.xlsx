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Protochips @ IMC21 2026\"/>
    </mc:Choice>
  </mc:AlternateContent>
  <xr:revisionPtr revIDLastSave="0" documentId="13_ncr:1_{18E61C79-3BFD-49FF-A91B-EC436ECE8E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265" i="1" l="1"/>
  <c r="D264" i="1" s="1"/>
  <c r="E136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2" i="1" l="1"/>
</calcChain>
</file>

<file path=xl/sharedStrings.xml><?xml version="1.0" encoding="utf-8"?>
<sst xmlns="http://schemas.openxmlformats.org/spreadsheetml/2006/main" count="582" uniqueCount="284">
  <si>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</si>
  <si>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</si>
  <si>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</si>
  <si>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</si>
  <si>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</si>
  <si>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</si>
  <si>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</si>
  <si>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</si>
  <si>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</si>
  <si>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</si>
  <si>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</si>
  <si>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</si>
  <si>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</si>
  <si>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</si>
  <si>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</si>
  <si>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</si>
  <si>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</si>
  <si>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</si>
  <si>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</si>
  <si>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</si>
  <si>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</si>
  <si>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</si>
  <si>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</si>
  <si>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</si>
  <si>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</si>
  <si>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</si>
  <si>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</si>
  <si>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</si>
  <si>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</si>
  <si>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</si>
  <si>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</si>
  <si>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</si>
  <si>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</si>
  <si>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</si>
  <si>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</si>
  <si>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</si>
  <si>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</si>
  <si>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</si>
  <si>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</si>
  <si>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</si>
  <si>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</si>
  <si>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</si>
  <si>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</si>
  <si>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</si>
  <si>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</si>
  <si>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</si>
  <si>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</si>
  <si>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</si>
  <si>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</si>
  <si>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</si>
  <si>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</si>
  <si>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</si>
  <si>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</si>
  <si>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</si>
  <si>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</si>
  <si>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</si>
  <si>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</si>
  <si>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</si>
  <si>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</si>
  <si>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</si>
  <si>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</si>
  <si>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</si>
  <si>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</si>
  <si>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</si>
  <si>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</si>
  <si>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</si>
  <si>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</si>
  <si>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</si>
  <si>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</si>
  <si>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</si>
  <si>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</si>
  <si>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</si>
  <si>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</si>
  <si>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</si>
  <si>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</si>
  <si>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</si>
  <si>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</si>
  <si>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</si>
  <si>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</si>
  <si>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</si>
  <si>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</si>
  <si>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</si>
  <si>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</si>
  <si>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</si>
  <si>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</si>
  <si>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</si>
  <si>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</si>
  <si>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</si>
  <si>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</si>
  <si>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</si>
  <si>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</si>
  <si>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</si>
  <si>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</si>
  <si>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</si>
  <si>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</si>
  <si>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</si>
  <si>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</si>
  <si>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</si>
  <si>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</si>
  <si>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</si>
  <si>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</si>
  <si>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</si>
  <si>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</si>
  <si>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</si>
  <si>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</si>
  <si>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</si>
  <si>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</si>
  <si>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</si>
  <si>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</si>
  <si>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</si>
  <si>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</si>
  <si>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</si>
  <si>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</si>
  <si>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</si>
  <si>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</si>
  <si>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</si>
  <si>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</si>
  <si>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</si>
  <si>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</si>
  <si>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</si>
  <si>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</si>
  <si>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</si>
  <si>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</si>
  <si>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</si>
  <si>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</si>
  <si>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</si>
  <si>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</si>
  <si>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</si>
  <si>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</si>
  <si>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</si>
  <si>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</si>
  <si>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</si>
  <si>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</si>
  <si>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</si>
  <si>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</si>
  <si>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</si>
  <si>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</si>
  <si>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</si>
  <si>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</si>
  <si>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</si>
  <si>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</si>
  <si>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</si>
  <si>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</si>
  <si>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</si>
  <si>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</si>
  <si>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</si>
  <si>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</si>
  <si>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</si>
  <si>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</si>
  <si>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</si>
  <si>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</si>
  <si>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</si>
  <si>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</si>
  <si>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</si>
  <si>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</si>
  <si>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</si>
  <si>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</si>
  <si>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</si>
  <si>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</si>
  <si>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</si>
  <si>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</si>
  <si>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</si>
  <si>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</si>
  <si>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</si>
  <si>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</si>
  <si>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</si>
  <si>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</si>
  <si>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</si>
  <si>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</si>
  <si>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</si>
  <si>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</si>
  <si>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</si>
  <si>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</si>
  <si>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</si>
  <si>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</si>
  <si>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</si>
  <si>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</si>
  <si>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</si>
  <si>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</si>
  <si>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</si>
  <si>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</si>
  <si>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</si>
  <si>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</si>
  <si>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</si>
  <si>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</si>
  <si>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</si>
  <si>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</si>
  <si>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</si>
  <si>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</si>
  <si>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</si>
  <si>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</si>
  <si>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</si>
  <si>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</si>
  <si>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</si>
  <si>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</si>
  <si>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</si>
  <si>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</si>
  <si>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</si>
  <si>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</si>
  <si>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</si>
  <si>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</si>
  <si>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</si>
  <si>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</si>
  <si>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</si>
  <si>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</si>
  <si>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</si>
  <si>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</si>
  <si>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</si>
  <si>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</si>
  <si>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</si>
  <si>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</si>
  <si>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</si>
  <si>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</si>
  <si>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</si>
  <si>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</si>
  <si>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</si>
  <si>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</si>
  <si>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</si>
  <si>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</si>
  <si>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</si>
  <si>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</si>
  <si>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</si>
  <si>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</si>
  <si>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</si>
  <si>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</si>
  <si>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</si>
  <si>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</si>
  <si>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</si>
  <si>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</si>
  <si>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</si>
  <si>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</si>
  <si>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</si>
  <si>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</si>
  <si>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</si>
  <si>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</si>
  <si>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</si>
  <si>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</si>
  <si>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</si>
  <si>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</si>
  <si>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</si>
  <si>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</si>
  <si>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</si>
  <si>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</si>
  <si>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</si>
  <si>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</si>
  <si>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</si>
  <si>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</si>
  <si>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</si>
  <si>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</si>
  <si>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</si>
  <si>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</si>
  <si>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</si>
  <si>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</si>
  <si>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</si>
  <si>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</si>
  <si>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</si>
  <si>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</si>
  <si>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</si>
  <si>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</si>
  <si>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</si>
  <si>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</si>
  <si>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</si>
  <si>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</si>
  <si>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</si>
  <si>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</si>
  <si>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</si>
  <si>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</si>
  <si>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</si>
  <si>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</si>
  <si>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</si>
  <si>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</si>
  <si>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</si>
  <si>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(Laminated)- 2.0 x 0.5 x 1.0</t>
  </si>
  <si>
    <t>Podium (Laminated)- 2.0 x 0.5 x 1.0</t>
  </si>
  <si>
    <t>Opt Nr:-  1</t>
  </si>
  <si>
    <t>Date:- 30-03-2026</t>
  </si>
  <si>
    <t>PROTOCHIPS</t>
  </si>
  <si>
    <t>IMC21 2026</t>
  </si>
  <si>
    <t>6M X 6M</t>
  </si>
  <si>
    <t>36 SQM</t>
  </si>
  <si>
    <t>4M</t>
  </si>
  <si>
    <t>31 Aug-04 Sep, 2026</t>
  </si>
  <si>
    <t>Liverpool, UK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</si>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</sst>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1</xdr:rowOff>
    </xdr:from>
    <xdr:to>
      <xdr:col>1</xdr:col>
      <xdr:colOff>1040316</xdr:colOff>
      <xdr:row>267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660F69-064B-4E3D-897B-075039651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97591" cy="177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971.62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543.02</v>
      </c>
      <c r="F5" s="8"/>
      <c r="G5" s="8"/>
      <c r="H5" s="8"/>
      <c r="I5" s="9">
        <v>38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380</v>
      </c>
      <c r="F7" s="8"/>
      <c r="G7" s="8"/>
      <c r="H7" s="8"/>
      <c r="I7" s="9">
        <v>38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48.599999999999994</v>
      </c>
      <c r="F9" s="8"/>
      <c r="G9" s="8"/>
      <c r="H9" s="8"/>
      <c r="I9" s="9">
        <v>12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2698.89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/>
      <c r="C25" s="7" t="s">
        <v>36</v>
      </c>
      <c r="D25" s="7"/>
      <c r="E25" s="8">
        <f t="shared" si="1"/>
        <v>880.04</v>
      </c>
      <c r="F25" s="8">
        <v>1</v>
      </c>
      <c r="G25" s="8">
        <v>0.1</v>
      </c>
      <c r="H25" s="8">
        <v>3</v>
      </c>
      <c r="I25" s="9">
        <v>14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857.16000000000008</v>
      </c>
      <c r="F29" s="8">
        <v>1</v>
      </c>
      <c r="G29" s="8">
        <v>0.1</v>
      </c>
      <c r="H29" s="8">
        <v>3.5</v>
      </c>
      <c r="I29" s="9">
        <v>12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419.05</v>
      </c>
      <c r="F30" s="8">
        <v>1</v>
      </c>
      <c r="G30" s="8">
        <v>0.1</v>
      </c>
      <c r="H30" s="8">
        <v>3.5</v>
      </c>
      <c r="I30" s="9">
        <v>5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307.14</v>
      </c>
      <c r="F60" s="8">
        <v>1</v>
      </c>
      <c r="G60" s="8">
        <v>0.2</v>
      </c>
      <c r="H60" s="8">
        <v>3.5</v>
      </c>
      <c r="I60" s="9">
        <v>3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235.5</v>
      </c>
      <c r="F80" s="24">
        <v>1</v>
      </c>
      <c r="G80" s="24"/>
      <c r="H80" s="24">
        <v>1</v>
      </c>
      <c r="I80" s="44">
        <v>15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857.12999999999988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268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285.70999999999998</v>
      </c>
      <c r="F112" s="8">
        <v>2</v>
      </c>
      <c r="G112" s="8">
        <v>0.5</v>
      </c>
      <c r="H112" s="8">
        <v>1</v>
      </c>
      <c r="I112" s="8">
        <v>1</v>
      </c>
      <c r="J112" s="10" t="s">
        <v>166</v>
      </c>
      <c r="K112" s="30">
        <v>285.70999999999998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571.41999999999996</v>
      </c>
      <c r="F113" s="8">
        <v>2</v>
      </c>
      <c r="G113" s="8">
        <v>0.5</v>
      </c>
      <c r="H113" s="8">
        <v>1</v>
      </c>
      <c r="I113" s="8">
        <v>2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50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941.33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95.2</v>
      </c>
      <c r="F152" s="8"/>
      <c r="G152" s="8"/>
      <c r="H152" s="8"/>
      <c r="I152" s="8">
        <v>8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150</v>
      </c>
      <c r="F153" s="8"/>
      <c r="G153" s="8"/>
      <c r="H153" s="8"/>
      <c r="I153" s="8">
        <v>3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30</v>
      </c>
      <c r="F158" s="8"/>
      <c r="G158" s="8"/>
      <c r="H158" s="8"/>
      <c r="I158" s="8">
        <v>3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60</v>
      </c>
      <c r="F159" s="12"/>
      <c r="G159" s="12"/>
      <c r="H159" s="12"/>
      <c r="I159" s="8">
        <v>12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71.400000000000006</v>
      </c>
      <c r="F160" s="8"/>
      <c r="G160" s="8"/>
      <c r="H160" s="8"/>
      <c r="I160" s="8">
        <v>6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344.25</v>
      </c>
      <c r="F163" s="8"/>
      <c r="G163" s="8"/>
      <c r="H163" s="8"/>
      <c r="I163" s="8">
        <v>85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301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15</v>
      </c>
      <c r="F166" s="12"/>
      <c r="G166" s="12"/>
      <c r="H166" s="12"/>
      <c r="I166" s="8">
        <v>1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105</v>
      </c>
      <c r="F194" s="8"/>
      <c r="G194" s="8"/>
      <c r="H194" s="8"/>
      <c r="I194" s="8">
        <v>7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36</v>
      </c>
      <c r="F203" s="8"/>
      <c r="G203" s="8"/>
      <c r="H203" s="8"/>
      <c r="I203" s="8">
        <v>6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604.92000000000007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526.32000000000005</v>
      </c>
      <c r="F210" s="8">
        <v>1</v>
      </c>
      <c r="G210" s="8">
        <v>1</v>
      </c>
      <c r="H210" s="12"/>
      <c r="I210" s="8">
        <v>34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78.599999999999994</v>
      </c>
      <c r="F212" s="8">
        <v>1</v>
      </c>
      <c r="G212" s="8">
        <v>1</v>
      </c>
      <c r="H212" s="12"/>
      <c r="I212" s="8">
        <v>6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1220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440</v>
      </c>
      <c r="F233" s="8"/>
      <c r="G233" s="8"/>
      <c r="H233" s="8"/>
      <c r="I233" s="8">
        <v>2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780</v>
      </c>
      <c r="F235" s="8"/>
      <c r="G235" s="8"/>
      <c r="H235" s="8"/>
      <c r="I235" s="8">
        <v>2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9500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9500</v>
      </c>
      <c r="F261" s="24"/>
      <c r="G261" s="24"/>
      <c r="H261" s="24"/>
      <c r="I261" s="24">
        <v>1</v>
      </c>
      <c r="J261" s="25" t="s">
        <v>166</v>
      </c>
      <c r="K261" s="48">
        <v>9500</v>
      </c>
    </row>
    <row r="262" spans="3:11" s="22" customFormat="1" ht="15.95" customHeight="1" x14ac:dyDescent="0.25">
      <c r="C262" s="32" t="s">
        <v>146</v>
      </c>
      <c r="D262" s="33">
        <f>SUM(E263)</f>
        <v>9100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9100</v>
      </c>
      <c r="F263" s="41"/>
      <c r="G263" s="41"/>
      <c r="H263" s="41"/>
      <c r="I263" s="24">
        <v>2</v>
      </c>
      <c r="J263" s="25" t="s">
        <v>149</v>
      </c>
      <c r="K263" s="48">
        <v>4550</v>
      </c>
    </row>
    <row r="264" spans="3:11" s="22" customFormat="1" ht="15.95" customHeight="1" x14ac:dyDescent="0.25">
      <c r="C264" s="32" t="s">
        <v>271</v>
      </c>
      <c r="D264" s="33">
        <f>SUM(E265)</f>
        <v>1600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1600</v>
      </c>
      <c r="F265" s="41"/>
      <c r="G265" s="41"/>
      <c r="H265" s="41"/>
      <c r="I265" s="24">
        <v>1</v>
      </c>
      <c r="J265" s="25" t="s">
        <v>166</v>
      </c>
      <c r="K265" s="48">
        <v>1600</v>
      </c>
    </row>
    <row r="266" spans="3:11" s="22" customFormat="1" ht="15.95" customHeight="1" x14ac:dyDescent="0.25">
      <c r="C266" s="32" t="s">
        <v>147</v>
      </c>
      <c r="D266" s="33">
        <f>SUM(E267)</f>
        <v>8000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8000</v>
      </c>
      <c r="F267" s="41"/>
      <c r="G267" s="41"/>
      <c r="H267" s="41"/>
      <c r="I267" s="24">
        <v>2</v>
      </c>
      <c r="J267" s="25" t="s">
        <v>166</v>
      </c>
      <c r="K267" s="48">
        <v>4000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263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166</v>
      </c>
      <c r="K271" s="48">
        <v>1000</v>
      </c>
    </row>
    <row r="272" spans="3:11" ht="15.95" customHeight="1" thickBot="1" x14ac:dyDescent="0.3">
      <c r="C272" s="18" t="s">
        <v>57</v>
      </c>
      <c r="D272" s="14">
        <f>SUM(D2:D271)</f>
        <v>38079.89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2026-03-30T11:21:18Z</dcterms:modified>
</cp:coreProperties>
</file>