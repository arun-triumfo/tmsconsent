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TIAMA@ Glasstec 2026\Standard Cost\"/>
    </mc:Choice>
  </mc:AlternateContent>
  <xr:revisionPtr revIDLastSave="0" documentId="13_ncr:1_{E846929E-917D-4916-9395-C3D076E06E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Europe!$C$1:$K$279</definedName>
    <definedName name="_xlnm.Print_Area" localSheetId="0">Europe!$A$1:$H$279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5" i="1" l="1"/>
  <c r="E119" i="1"/>
  <c r="E115" i="1"/>
  <c r="E117" i="1"/>
  <c r="E116" i="1"/>
  <c r="E114" i="1"/>
  <c r="E113" i="1"/>
  <c r="E112" i="1"/>
  <c r="E72" i="1"/>
  <c r="E272" i="1" l="1"/>
  <c r="D271" i="1" s="1"/>
  <c r="E142" i="1" l="1"/>
  <c r="E278" i="1" l="1"/>
  <c r="D277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8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40" i="1"/>
  <c r="E141" i="1"/>
  <c r="E143" i="1"/>
  <c r="E144" i="1"/>
  <c r="E145" i="1"/>
  <c r="E146" i="1"/>
  <c r="E147" i="1"/>
  <c r="E148" i="1"/>
  <c r="E151" i="1"/>
  <c r="E152" i="1"/>
  <c r="E153" i="1"/>
  <c r="E154" i="1"/>
  <c r="E155" i="1"/>
  <c r="E156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9" i="1"/>
  <c r="E198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6" i="1"/>
  <c r="E217" i="1"/>
  <c r="E218" i="1"/>
  <c r="E219" i="1"/>
  <c r="E220" i="1"/>
  <c r="E221" i="1"/>
  <c r="E222" i="1"/>
  <c r="E223" i="1"/>
  <c r="E224" i="1"/>
  <c r="E225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6" i="1"/>
  <c r="E276" i="1" l="1"/>
  <c r="D275" i="1" s="1"/>
  <c r="E274" i="1"/>
  <c r="D273" i="1" s="1"/>
  <c r="E270" i="1"/>
  <c r="D269" i="1" s="1"/>
  <c r="E268" i="1"/>
  <c r="D267" i="1" s="1"/>
  <c r="E14" i="1" l="1"/>
  <c r="E89" i="1" l="1"/>
  <c r="D88" i="1" s="1"/>
  <c r="E15" i="1" l="1"/>
  <c r="E84" i="1" l="1"/>
  <c r="E85" i="1"/>
  <c r="E86" i="1"/>
  <c r="E215" i="1" l="1"/>
  <c r="E139" i="1"/>
  <c r="E172" i="1"/>
  <c r="D171" i="1" s="1"/>
  <c r="D214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69" i="1"/>
  <c r="E70" i="1"/>
  <c r="E61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0" i="1" l="1"/>
  <c r="E62" i="1" l="1"/>
  <c r="E59" i="1"/>
  <c r="E44" i="1" l="1"/>
  <c r="E40" i="1"/>
  <c r="E41" i="1"/>
  <c r="E158" i="1" l="1"/>
  <c r="E150" i="1" l="1"/>
  <c r="E67" i="1" l="1"/>
  <c r="E68" i="1"/>
  <c r="E71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6" i="1"/>
  <c r="E77" i="1"/>
  <c r="E78" i="1"/>
  <c r="E110" i="1"/>
  <c r="E227" i="1"/>
  <c r="D226" i="1" s="1"/>
  <c r="D16" i="1" l="1"/>
  <c r="D157" i="1"/>
  <c r="D138" i="1"/>
  <c r="D149" i="1"/>
  <c r="D109" i="1"/>
  <c r="D279" i="1" l="1"/>
</calcChain>
</file>

<file path=xl/sharedStrings.xml><?xml version="1.0" encoding="utf-8"?>
<sst xmlns="http://schemas.openxmlformats.org/spreadsheetml/2006/main" count="601" uniqueCount="291">
  <si>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</si>
  <si>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</si>
  <si>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</si>
  <si>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</si>
  <si>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</si>
  <si>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</si>
  <si>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</si>
  <si>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</si>
  <si>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</si>
  <si>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</si>
  <si>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</si>
  <si>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</si>
  <si>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</si>
  <si>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</si>
  <si>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</si>
  <si>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</si>
  <si>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</si>
  <si>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</si>
  <si>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</si>
  <si>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</si>
  <si>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</si>
  <si>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</si>
  <si>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</si>
  <si>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</si>
  <si>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</si>
  <si>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</si>
  <si>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</si>
  <si>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</si>
  <si>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</si>
  <si>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</si>
  <si>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</si>
  <si>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</si>
  <si>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</si>
  <si>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</si>
  <si>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</si>
  <si>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</si>
  <si>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</si>
  <si>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</si>
  <si>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</si>
  <si>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</si>
  <si>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</si>
  <si>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</si>
  <si>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</si>
  <si>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</si>
  <si>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</si>
  <si>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</si>
  <si>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</si>
  <si>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</si>
  <si>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</si>
  <si>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</si>
  <si>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</si>
  <si>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</si>
  <si>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</si>
  <si>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</si>
  <si>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</si>
  <si>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</si>
  <si>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</si>
  <si>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</si>
  <si>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</si>
  <si>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</si>
  <si>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</si>
  <si>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</si>
  <si>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</si>
  <si>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</si>
  <si>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</si>
  <si>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</si>
  <si>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</si>
  <si>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</si>
  <si>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</si>
  <si>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</si>
  <si>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</si>
  <si>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</si>
  <si>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</si>
  <si>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</si>
  <si>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</si>
  <si>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</si>
  <si>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</si>
  <si>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</si>
  <si>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</si>
  <si>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</si>
  <si>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</si>
  <si>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</si>
  <si>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</si>
  <si>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</si>
  <si>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</si>
  <si>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</si>
  <si>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</si>
  <si>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</si>
  <si>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</si>
  <si>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</si>
  <si>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</si>
  <si>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</si>
  <si>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</si>
  <si>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</si>
  <si>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</si>
  <si>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</si>
  <si>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</si>
  <si>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</si>
  <si>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</si>
  <si>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</si>
  <si>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</si>
  <si>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</si>
  <si>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</si>
  <si>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</si>
  <si>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</si>
  <si>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</si>
  <si>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</si>
  <si>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</si>
  <si>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</si>
  <si>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</si>
  <si>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</si>
  <si>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</si>
  <si>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</si>
  <si>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</si>
  <si>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</si>
  <si>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</si>
  <si>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</si>
  <si>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</si>
  <si>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</si>
  <si>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</si>
  <si>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</si>
  <si>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</si>
  <si>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</si>
  <si>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</si>
  <si>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</si>
  <si>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</si>
  <si>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</si>
  <si>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</si>
  <si>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</si>
  <si>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</si>
  <si>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</si>
  <si>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</si>
  <si>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</si>
  <si>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</si>
  <si>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</si>
  <si>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</si>
  <si>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</si>
  <si>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</si>
  <si>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</si>
  <si>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</si>
  <si>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</si>
  <si>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</si>
  <si>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</si>
  <si>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</si>
  <si>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</si>
  <si>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</si>
  <si>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</si>
  <si>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</si>
  <si>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</si>
  <si>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</si>
  <si>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</si>
  <si>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</si>
  <si>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</si>
  <si>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</si>
  <si>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</si>
  <si>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</si>
  <si>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</si>
  <si>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</si>
  <si>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</si>
  <si>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</si>
  <si>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</si>
  <si>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</si>
  <si>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</si>
  <si>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</si>
  <si>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</si>
  <si>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</si>
  <si>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</si>
  <si>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</si>
  <si>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</si>
  <si>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</si>
  <si>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</si>
  <si>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</si>
  <si>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</si>
  <si>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</si>
  <si>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</si>
  <si>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</si>
  <si>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</si>
  <si>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</si>
  <si>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</si>
  <si>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</si>
  <si>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</si>
  <si>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</si>
  <si>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</si>
  <si>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</si>
  <si>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</si>
  <si>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</si>
  <si>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</si>
  <si>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</si>
  <si>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</si>
  <si>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</si>
  <si>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</si>
  <si>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</si>
  <si>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</si>
  <si>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</si>
  <si>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</si>
  <si>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</si>
  <si>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</si>
  <si>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</si>
  <si>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</si>
  <si>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</si>
  <si>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</si>
  <si>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</si>
  <si>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</si>
  <si>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</si>
  <si>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</si>
  <si>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</si>
  <si>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</si>
  <si>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</si>
  <si>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</si>
  <si>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</si>
  <si>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</si>
  <si>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</si>
  <si>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</si>
  <si>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</si>
  <si>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</si>
  <si>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</si>
  <si>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</si>
  <si>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</si>
  <si>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</si>
  <si>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</si>
  <si>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</si>
  <si>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</si>
  <si>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</si>
  <si>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</si>
  <si>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</si>
  <si>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</si>
  <si>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</si>
  <si>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</si>
  <si>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</si>
  <si>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</si>
  <si>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</si>
  <si>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</si>
  <si>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</si>
  <si>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</si>
  <si>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</si>
  <si>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</si>
  <si>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</si>
  <si>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</si>
  <si>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</si>
  <si>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</si>
  <si>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</si>
  <si>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</si>
  <si>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</si>
  <si>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</si>
  <si>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</si>
  <si>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</si>
  <si>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</si>
  <si>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</si>
  <si>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</si>
  <si>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</si>
  <si>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</si>
  <si>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</si>
  <si>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</si>
  <si>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</si>
  <si>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</si>
  <si>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</si>
  <si>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</si>
  <si>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</si>
  <si>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</si>
  <si>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</si>
  <si>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</si>
  <si>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</si>
  <si>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</si>
  <si>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</si>
  <si>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</si>
  <si>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</si>
  <si>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</si>
  <si>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</si>
  <si>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</si>
  <si>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</si>
  <si>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</si>
  <si>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Bar Counter (Laminated)- 6.2 x 0.8 x 1.0</t>
  </si>
  <si>
    <t>Cabinate (Laminated)- 0.6 x 0.5 x 1.0</t>
  </si>
  <si>
    <t>Cabinate (Laminated)- 1.0 x 0.5 x 1.0</t>
  </si>
  <si>
    <t>Table (Laminated)- 2.0 x 0.6 x 1.0</t>
  </si>
  <si>
    <t>Round Sittind (Laminated)-  2m DIA</t>
  </si>
  <si>
    <t>Cabinate (Laminated)- 5.5 x 0.5 x 1.0</t>
  </si>
  <si>
    <t>Reck (Laminated)- 1.0 x 0.5 x 2.0</t>
  </si>
  <si>
    <t>GREEN WALL</t>
  </si>
  <si>
    <t>2 nos</t>
  </si>
  <si>
    <t>Opt Nr:-  1</t>
  </si>
  <si>
    <t>Date:- 22-04-2026</t>
  </si>
  <si>
    <t>TIAMA</t>
  </si>
  <si>
    <t>GLASSTEC 2026</t>
  </si>
  <si>
    <t>16M X 12M</t>
  </si>
  <si>
    <t>192 SQM</t>
  </si>
  <si>
    <t>5.5M</t>
  </si>
  <si>
    <t>20-23 OCT, 2026</t>
  </si>
  <si>
    <t>DUSSELDORF</t>
  </si>
  <si>
    <t>M2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</si>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</sst>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149</xdr:row>
      <xdr:rowOff>0</xdr:rowOff>
    </xdr:from>
    <xdr:to>
      <xdr:col>1</xdr:col>
      <xdr:colOff>1057276</xdr:colOff>
      <xdr:row>272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F0EB46-1A74-412D-9541-CC95183F0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666875"/>
          <a:ext cx="2114550" cy="1571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80"/>
  <sheetViews>
    <sheetView tabSelected="1" zoomScaleNormal="100" zoomScaleSheetLayoutView="85" workbookViewId="0">
      <pane ySplit="1" topLeftCell="A2" activePane="bottomLeft" state="frozen"/>
      <selection pane="bottomLeft" activeCell="D281" sqref="D28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3.14062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280</v>
      </c>
      <c r="B1" s="31" t="s">
        <v>281</v>
      </c>
      <c r="C1" s="19" t="s">
        <v>46</v>
      </c>
      <c r="D1" s="19" t="s">
        <v>130</v>
      </c>
      <c r="E1" s="20" t="s">
        <v>265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265</v>
      </c>
    </row>
    <row r="2" spans="1:11" s="4" customFormat="1" ht="15.95" customHeight="1" x14ac:dyDescent="0.25">
      <c r="A2" s="21" t="s">
        <v>139</v>
      </c>
      <c r="B2" s="4" t="s">
        <v>282</v>
      </c>
      <c r="C2" s="26" t="s">
        <v>150</v>
      </c>
      <c r="D2" s="27">
        <f>SUM(E3:E11)</f>
        <v>8013.99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2872.29</v>
      </c>
      <c r="F5" s="8"/>
      <c r="G5" s="8"/>
      <c r="H5" s="8"/>
      <c r="I5" s="9">
        <v>201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4914.8999999999996</v>
      </c>
      <c r="F8" s="8"/>
      <c r="G8" s="8"/>
      <c r="H8" s="8"/>
      <c r="I8" s="9">
        <v>215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226.79999999999998</v>
      </c>
      <c r="F9" s="8"/>
      <c r="G9" s="8"/>
      <c r="H9" s="8"/>
      <c r="I9" s="9">
        <v>56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283</v>
      </c>
      <c r="C12" s="26" t="s">
        <v>193</v>
      </c>
      <c r="D12" s="52">
        <f>SUM(E13:E15)</f>
        <v>365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365</v>
      </c>
      <c r="F14" s="8"/>
      <c r="G14" s="8"/>
      <c r="H14" s="8"/>
      <c r="I14" s="9">
        <v>1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288</v>
      </c>
      <c r="C16" s="26" t="s">
        <v>183</v>
      </c>
      <c r="D16" s="27">
        <f>SUM(E17:E87)</f>
        <v>11705.85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2202.06</v>
      </c>
      <c r="F28" s="8">
        <v>1</v>
      </c>
      <c r="G28" s="8">
        <v>0.1</v>
      </c>
      <c r="H28" s="8">
        <v>3</v>
      </c>
      <c r="I28" s="9">
        <v>21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2657.04</v>
      </c>
      <c r="F42" s="8">
        <v>1</v>
      </c>
      <c r="G42" s="8">
        <v>0.1</v>
      </c>
      <c r="H42" s="8">
        <v>5</v>
      </c>
      <c r="I42" s="9">
        <v>24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B54" s="29" t="s">
        <v>248</v>
      </c>
      <c r="C54" s="7" t="s">
        <v>37</v>
      </c>
      <c r="D54" s="7"/>
      <c r="E54" s="8">
        <f t="shared" si="2"/>
        <v>200</v>
      </c>
      <c r="F54" s="8">
        <v>1</v>
      </c>
      <c r="G54" s="8">
        <v>0.2</v>
      </c>
      <c r="H54" s="8">
        <v>2.5</v>
      </c>
      <c r="I54" s="9">
        <v>2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B56" s="29" t="s">
        <v>248</v>
      </c>
      <c r="C56" s="7" t="s">
        <v>35</v>
      </c>
      <c r="D56" s="7"/>
      <c r="E56" s="8">
        <f t="shared" si="2"/>
        <v>487.15000000000003</v>
      </c>
      <c r="F56" s="8">
        <v>1</v>
      </c>
      <c r="G56" s="8">
        <v>0.2</v>
      </c>
      <c r="H56" s="8">
        <v>3</v>
      </c>
      <c r="I56" s="9">
        <v>5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B60" s="29" t="s">
        <v>248</v>
      </c>
      <c r="C60" s="7" t="s">
        <v>105</v>
      </c>
      <c r="D60" s="7"/>
      <c r="E60" s="8">
        <f t="shared" si="2"/>
        <v>204.76</v>
      </c>
      <c r="F60" s="8">
        <v>1</v>
      </c>
      <c r="G60" s="8">
        <v>0.2</v>
      </c>
      <c r="H60" s="8">
        <v>3.5</v>
      </c>
      <c r="I60" s="9">
        <v>2</v>
      </c>
      <c r="J60" s="10" t="s">
        <v>155</v>
      </c>
      <c r="K60" s="30">
        <v>102.38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155</v>
      </c>
      <c r="K61" s="30">
        <v>117.14</v>
      </c>
    </row>
    <row r="62" spans="2:11" ht="15.95" hidden="1" customHeight="1" x14ac:dyDescent="0.25">
      <c r="C62" s="7" t="s">
        <v>77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155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155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130.94999999999999</v>
      </c>
    </row>
    <row r="69" spans="1:11" ht="15.95" hidden="1" customHeight="1" x14ac:dyDescent="0.25">
      <c r="C69" s="7" t="s">
        <v>107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140.47999999999999</v>
      </c>
    </row>
    <row r="70" spans="1:11" ht="15.95" hidden="1" customHeight="1" x14ac:dyDescent="0.25">
      <c r="C70" s="7" t="s">
        <v>137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155</v>
      </c>
      <c r="K71" s="30">
        <v>111.43</v>
      </c>
    </row>
    <row r="72" spans="1:11" ht="15.95" hidden="1" customHeight="1" x14ac:dyDescent="0.25">
      <c r="B72" s="29" t="s">
        <v>248</v>
      </c>
      <c r="C72" s="7" t="s">
        <v>68</v>
      </c>
      <c r="D72" s="7"/>
      <c r="E72" s="8">
        <f t="shared" ref="E72" si="3">I72*K72</f>
        <v>4066.7200000000003</v>
      </c>
      <c r="F72" s="8">
        <v>1</v>
      </c>
      <c r="G72" s="8">
        <v>0.2</v>
      </c>
      <c r="H72" s="8">
        <v>5</v>
      </c>
      <c r="I72" s="9">
        <v>28</v>
      </c>
      <c r="J72" s="10" t="s">
        <v>155</v>
      </c>
      <c r="K72" s="30">
        <v>145.24</v>
      </c>
    </row>
    <row r="73" spans="1:11" ht="15.95" hidden="1" customHeight="1" x14ac:dyDescent="0.25">
      <c r="B73" s="29"/>
      <c r="C73" s="7" t="s">
        <v>68</v>
      </c>
      <c r="D73" s="7"/>
      <c r="E73" s="8">
        <f t="shared" si="2"/>
        <v>1888.1200000000001</v>
      </c>
      <c r="F73" s="8">
        <v>1</v>
      </c>
      <c r="G73" s="8">
        <v>0.2</v>
      </c>
      <c r="H73" s="8">
        <v>5</v>
      </c>
      <c r="I73" s="9">
        <v>13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259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260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261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260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287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263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264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284</v>
      </c>
      <c r="C109" s="26" t="s">
        <v>195</v>
      </c>
      <c r="D109" s="27">
        <f>SUM(E110:E137)</f>
        <v>3705.7200000000003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267</v>
      </c>
      <c r="D110" s="7"/>
      <c r="E110" s="8">
        <f t="shared" ref="E110:E137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268</v>
      </c>
      <c r="D112" s="7"/>
      <c r="E112" s="8">
        <f t="shared" ref="E112:E117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165</v>
      </c>
      <c r="K112" s="30">
        <v>358.69</v>
      </c>
    </row>
    <row r="113" spans="3:11" s="4" customFormat="1" ht="15.95" hidden="1" customHeight="1" x14ac:dyDescent="0.25">
      <c r="C113" s="7" t="s">
        <v>271</v>
      </c>
      <c r="D113" s="7"/>
      <c r="E113" s="8">
        <f t="shared" si="7"/>
        <v>580</v>
      </c>
      <c r="F113" s="8">
        <v>6.2</v>
      </c>
      <c r="G113" s="8">
        <v>0.8</v>
      </c>
      <c r="H113" s="8">
        <v>1</v>
      </c>
      <c r="I113" s="8">
        <v>1</v>
      </c>
      <c r="J113" s="10" t="s">
        <v>165</v>
      </c>
      <c r="K113" s="30">
        <v>580</v>
      </c>
    </row>
    <row r="114" spans="3:11" s="4" customFormat="1" ht="15.95" hidden="1" customHeight="1" x14ac:dyDescent="0.25">
      <c r="C114" s="7" t="s">
        <v>272</v>
      </c>
      <c r="D114" s="7"/>
      <c r="E114" s="8">
        <f t="shared" si="7"/>
        <v>240</v>
      </c>
      <c r="F114" s="8">
        <v>0.6</v>
      </c>
      <c r="G114" s="8">
        <v>0.5</v>
      </c>
      <c r="H114" s="8">
        <v>1</v>
      </c>
      <c r="I114" s="8">
        <v>2</v>
      </c>
      <c r="J114" s="10" t="s">
        <v>165</v>
      </c>
      <c r="K114" s="30">
        <v>120</v>
      </c>
    </row>
    <row r="115" spans="3:11" s="4" customFormat="1" ht="15.95" hidden="1" customHeight="1" x14ac:dyDescent="0.25">
      <c r="C115" s="7" t="s">
        <v>273</v>
      </c>
      <c r="D115" s="7"/>
      <c r="E115" s="8">
        <f t="shared" ref="E115" si="8">I115*K115</f>
        <v>773.8</v>
      </c>
      <c r="F115" s="8">
        <v>1</v>
      </c>
      <c r="G115" s="8">
        <v>0.5</v>
      </c>
      <c r="H115" s="8">
        <v>1</v>
      </c>
      <c r="I115" s="8">
        <v>5</v>
      </c>
      <c r="J115" s="10" t="s">
        <v>165</v>
      </c>
      <c r="K115" s="30">
        <v>154.76</v>
      </c>
    </row>
    <row r="116" spans="3:11" s="4" customFormat="1" ht="15.95" hidden="1" customHeight="1" x14ac:dyDescent="0.25">
      <c r="C116" s="7" t="s">
        <v>276</v>
      </c>
      <c r="D116" s="7"/>
      <c r="E116" s="8">
        <f t="shared" si="7"/>
        <v>500</v>
      </c>
      <c r="F116" s="8">
        <v>5.5</v>
      </c>
      <c r="G116" s="8">
        <v>0.5</v>
      </c>
      <c r="H116" s="8">
        <v>1</v>
      </c>
      <c r="I116" s="8">
        <v>1</v>
      </c>
      <c r="J116" s="10" t="s">
        <v>165</v>
      </c>
      <c r="K116" s="30">
        <v>500</v>
      </c>
    </row>
    <row r="117" spans="3:11" s="4" customFormat="1" ht="15.95" hidden="1" customHeight="1" x14ac:dyDescent="0.25">
      <c r="C117" s="7" t="s">
        <v>274</v>
      </c>
      <c r="D117" s="7"/>
      <c r="E117" s="8">
        <f t="shared" si="7"/>
        <v>309.52</v>
      </c>
      <c r="F117" s="8">
        <v>2</v>
      </c>
      <c r="G117" s="8">
        <v>0.6</v>
      </c>
      <c r="H117" s="8">
        <v>1</v>
      </c>
      <c r="I117" s="8">
        <v>2</v>
      </c>
      <c r="J117" s="10" t="s">
        <v>165</v>
      </c>
      <c r="K117" s="30">
        <v>154.76</v>
      </c>
    </row>
    <row r="118" spans="3:11" s="4" customFormat="1" ht="15.95" hidden="1" customHeight="1" x14ac:dyDescent="0.25">
      <c r="C118" s="7" t="s">
        <v>275</v>
      </c>
      <c r="D118" s="7"/>
      <c r="E118" s="8">
        <f t="shared" si="6"/>
        <v>350</v>
      </c>
      <c r="F118" s="8">
        <v>2</v>
      </c>
      <c r="G118" s="8">
        <v>2</v>
      </c>
      <c r="H118" s="8">
        <v>1</v>
      </c>
      <c r="I118" s="8">
        <v>1</v>
      </c>
      <c r="J118" s="10" t="s">
        <v>165</v>
      </c>
      <c r="K118" s="30">
        <v>350</v>
      </c>
    </row>
    <row r="119" spans="3:11" s="4" customFormat="1" ht="15.95" hidden="1" customHeight="1" x14ac:dyDescent="0.25">
      <c r="C119" s="7" t="s">
        <v>277</v>
      </c>
      <c r="D119" s="7"/>
      <c r="E119" s="8">
        <f t="shared" si="6"/>
        <v>952.4</v>
      </c>
      <c r="F119" s="8">
        <v>1</v>
      </c>
      <c r="G119" s="8">
        <v>0.5</v>
      </c>
      <c r="H119" s="8">
        <v>2</v>
      </c>
      <c r="I119" s="8">
        <v>5</v>
      </c>
      <c r="J119" s="10" t="s">
        <v>165</v>
      </c>
      <c r="K119" s="30">
        <v>190.48</v>
      </c>
    </row>
    <row r="120" spans="3:11" s="4" customFormat="1" ht="15.95" hidden="1" customHeight="1" x14ac:dyDescent="0.25">
      <c r="C120" s="7" t="s">
        <v>254</v>
      </c>
      <c r="D120" s="7"/>
      <c r="E120" s="8">
        <f t="shared" si="6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165</v>
      </c>
      <c r="K120" s="30">
        <v>302.29000000000002</v>
      </c>
    </row>
    <row r="121" spans="3:11" s="4" customFormat="1" ht="15.95" hidden="1" customHeight="1" x14ac:dyDescent="0.25">
      <c r="C121" s="7" t="s">
        <v>252</v>
      </c>
      <c r="D121" s="7"/>
      <c r="E121" s="8">
        <f t="shared" si="6"/>
        <v>0</v>
      </c>
      <c r="F121" s="8">
        <v>4.5</v>
      </c>
      <c r="G121" s="8">
        <v>1</v>
      </c>
      <c r="H121" s="8">
        <v>1</v>
      </c>
      <c r="I121" s="8">
        <v>0</v>
      </c>
      <c r="J121" s="10" t="s">
        <v>165</v>
      </c>
      <c r="K121" s="30">
        <v>604.02</v>
      </c>
    </row>
    <row r="122" spans="3:11" s="4" customFormat="1" ht="15.95" hidden="1" customHeight="1" x14ac:dyDescent="0.25">
      <c r="C122" s="7" t="s">
        <v>255</v>
      </c>
      <c r="D122" s="7"/>
      <c r="E122" s="8">
        <f t="shared" si="6"/>
        <v>0</v>
      </c>
      <c r="F122" s="8">
        <v>4.5</v>
      </c>
      <c r="G122" s="8">
        <v>1</v>
      </c>
      <c r="H122" s="8">
        <v>1</v>
      </c>
      <c r="I122" s="8">
        <v>0</v>
      </c>
      <c r="J122" s="10" t="s">
        <v>165</v>
      </c>
      <c r="K122" s="30">
        <v>423.86</v>
      </c>
    </row>
    <row r="123" spans="3:11" s="4" customFormat="1" ht="15.95" hidden="1" customHeight="1" x14ac:dyDescent="0.25">
      <c r="C123" s="7" t="s">
        <v>156</v>
      </c>
      <c r="D123" s="7"/>
      <c r="E123" s="8">
        <f t="shared" si="6"/>
        <v>0</v>
      </c>
      <c r="F123" s="8">
        <v>4</v>
      </c>
      <c r="G123" s="8">
        <v>0.5</v>
      </c>
      <c r="H123" s="8">
        <v>1</v>
      </c>
      <c r="I123" s="8">
        <v>0</v>
      </c>
      <c r="J123" s="10" t="s">
        <v>165</v>
      </c>
      <c r="K123" s="30">
        <v>595.24</v>
      </c>
    </row>
    <row r="124" spans="3:11" s="4" customFormat="1" ht="15.95" hidden="1" customHeight="1" x14ac:dyDescent="0.25">
      <c r="C124" s="7" t="s">
        <v>196</v>
      </c>
      <c r="D124" s="7"/>
      <c r="E124" s="8">
        <f t="shared" si="6"/>
        <v>0</v>
      </c>
      <c r="F124" s="8">
        <v>1.5</v>
      </c>
      <c r="G124" s="8">
        <v>0.4</v>
      </c>
      <c r="H124" s="8">
        <v>1</v>
      </c>
      <c r="I124" s="8">
        <v>0</v>
      </c>
      <c r="J124" s="10" t="s">
        <v>165</v>
      </c>
      <c r="K124" s="30">
        <v>161.9</v>
      </c>
    </row>
    <row r="125" spans="3:11" s="4" customFormat="1" ht="15.95" hidden="1" customHeight="1" x14ac:dyDescent="0.25">
      <c r="C125" s="7" t="s">
        <v>197</v>
      </c>
      <c r="D125" s="7"/>
      <c r="E125" s="8">
        <f t="shared" si="6"/>
        <v>0</v>
      </c>
      <c r="F125" s="8">
        <v>1</v>
      </c>
      <c r="G125" s="8">
        <v>0.5</v>
      </c>
      <c r="H125" s="8">
        <v>0.9</v>
      </c>
      <c r="I125" s="8">
        <v>0</v>
      </c>
      <c r="J125" s="10" t="s">
        <v>165</v>
      </c>
      <c r="K125" s="30">
        <v>190.48</v>
      </c>
    </row>
    <row r="126" spans="3:11" s="4" customFormat="1" ht="15.95" hidden="1" customHeight="1" x14ac:dyDescent="0.25">
      <c r="C126" s="7" t="s">
        <v>198</v>
      </c>
      <c r="D126" s="7"/>
      <c r="E126" s="8">
        <f t="shared" si="6"/>
        <v>0</v>
      </c>
      <c r="F126" s="8">
        <v>2.4</v>
      </c>
      <c r="G126" s="8">
        <v>0.4</v>
      </c>
      <c r="H126" s="8">
        <v>1</v>
      </c>
      <c r="I126" s="8">
        <v>0</v>
      </c>
      <c r="J126" s="10" t="s">
        <v>165</v>
      </c>
      <c r="K126" s="30">
        <v>216.67</v>
      </c>
    </row>
    <row r="127" spans="3:11" s="4" customFormat="1" ht="15.95" hidden="1" customHeight="1" x14ac:dyDescent="0.25">
      <c r="C127" s="7" t="s">
        <v>199</v>
      </c>
      <c r="D127" s="7"/>
      <c r="E127" s="8">
        <f t="shared" si="6"/>
        <v>0</v>
      </c>
      <c r="F127" s="8">
        <v>1.2</v>
      </c>
      <c r="G127" s="8">
        <v>0.4</v>
      </c>
      <c r="H127" s="8">
        <v>1</v>
      </c>
      <c r="I127" s="8">
        <v>0</v>
      </c>
      <c r="J127" s="10" t="s">
        <v>165</v>
      </c>
      <c r="K127" s="30">
        <v>154.76</v>
      </c>
    </row>
    <row r="128" spans="3:11" s="4" customFormat="1" ht="15.95" hidden="1" customHeight="1" x14ac:dyDescent="0.25">
      <c r="C128" s="7" t="s">
        <v>200</v>
      </c>
      <c r="D128" s="7"/>
      <c r="E128" s="8">
        <f t="shared" si="6"/>
        <v>0</v>
      </c>
      <c r="F128" s="8">
        <v>0.5</v>
      </c>
      <c r="G128" s="8">
        <v>0.5</v>
      </c>
      <c r="H128" s="8">
        <v>1</v>
      </c>
      <c r="I128" s="8">
        <v>0</v>
      </c>
      <c r="J128" s="10" t="s">
        <v>165</v>
      </c>
      <c r="K128" s="30">
        <v>177.98</v>
      </c>
    </row>
    <row r="129" spans="1:11" s="4" customFormat="1" ht="15.95" hidden="1" customHeight="1" x14ac:dyDescent="0.25">
      <c r="C129" s="7" t="s">
        <v>201</v>
      </c>
      <c r="D129" s="7"/>
      <c r="E129" s="8">
        <f t="shared" si="6"/>
        <v>0</v>
      </c>
      <c r="F129" s="8">
        <v>0.5</v>
      </c>
      <c r="G129" s="8">
        <v>0.5</v>
      </c>
      <c r="H129" s="8">
        <v>1</v>
      </c>
      <c r="I129" s="8">
        <v>0</v>
      </c>
      <c r="J129" s="10" t="s">
        <v>165</v>
      </c>
      <c r="K129" s="30">
        <v>260.12</v>
      </c>
    </row>
    <row r="130" spans="1:11" s="4" customFormat="1" ht="15.95" hidden="1" customHeight="1" x14ac:dyDescent="0.25">
      <c r="B130" s="29" t="s">
        <v>248</v>
      </c>
      <c r="C130" s="7" t="s">
        <v>119</v>
      </c>
      <c r="D130" s="7"/>
      <c r="E130" s="8">
        <f t="shared" si="6"/>
        <v>0</v>
      </c>
      <c r="F130" s="8">
        <v>0.5</v>
      </c>
      <c r="G130" s="8">
        <v>0.5</v>
      </c>
      <c r="H130" s="8">
        <v>2</v>
      </c>
      <c r="I130" s="8">
        <v>0</v>
      </c>
      <c r="J130" s="10" t="s">
        <v>165</v>
      </c>
      <c r="K130" s="30">
        <v>210</v>
      </c>
    </row>
    <row r="131" spans="1:11" s="4" customFormat="1" ht="15.95" hidden="1" customHeight="1" x14ac:dyDescent="0.25">
      <c r="C131" s="7" t="s">
        <v>124</v>
      </c>
      <c r="D131" s="7"/>
      <c r="E131" s="8">
        <f t="shared" si="6"/>
        <v>0</v>
      </c>
      <c r="F131" s="8">
        <v>2.1</v>
      </c>
      <c r="G131" s="8">
        <v>2</v>
      </c>
      <c r="H131" s="8">
        <v>0.9</v>
      </c>
      <c r="I131" s="8">
        <v>0</v>
      </c>
      <c r="J131" s="10" t="s">
        <v>165</v>
      </c>
      <c r="K131" s="30">
        <v>223.81</v>
      </c>
    </row>
    <row r="132" spans="1:11" s="4" customFormat="1" ht="15.95" hidden="1" customHeight="1" x14ac:dyDescent="0.25">
      <c r="C132" s="7" t="s">
        <v>125</v>
      </c>
      <c r="D132" s="7"/>
      <c r="E132" s="8">
        <f t="shared" si="6"/>
        <v>0</v>
      </c>
      <c r="F132" s="8">
        <v>0.45</v>
      </c>
      <c r="G132" s="8">
        <v>0.45</v>
      </c>
      <c r="H132" s="8">
        <v>0.5</v>
      </c>
      <c r="I132" s="8">
        <v>0</v>
      </c>
      <c r="J132" s="10" t="s">
        <v>165</v>
      </c>
      <c r="K132" s="30">
        <v>65</v>
      </c>
    </row>
    <row r="133" spans="1:11" s="4" customFormat="1" ht="15.95" hidden="1" customHeight="1" x14ac:dyDescent="0.25">
      <c r="C133" s="7" t="s">
        <v>126</v>
      </c>
      <c r="D133" s="7"/>
      <c r="E133" s="8">
        <f t="shared" si="6"/>
        <v>0</v>
      </c>
      <c r="F133" s="8">
        <v>1.1000000000000001</v>
      </c>
      <c r="G133" s="8">
        <v>0.35</v>
      </c>
      <c r="H133" s="8">
        <v>1.8</v>
      </c>
      <c r="I133" s="8">
        <v>0</v>
      </c>
      <c r="J133" s="10" t="s">
        <v>165</v>
      </c>
      <c r="K133" s="30">
        <v>35</v>
      </c>
    </row>
    <row r="134" spans="1:11" s="4" customFormat="1" ht="15.95" hidden="1" customHeight="1" x14ac:dyDescent="0.25">
      <c r="B134" s="29" t="s">
        <v>248</v>
      </c>
      <c r="C134" s="7" t="s">
        <v>55</v>
      </c>
      <c r="D134" s="7"/>
      <c r="E134" s="8">
        <f t="shared" si="6"/>
        <v>0</v>
      </c>
      <c r="F134" s="8"/>
      <c r="G134" s="8"/>
      <c r="H134" s="8"/>
      <c r="I134" s="8">
        <v>0</v>
      </c>
      <c r="J134" s="10" t="s">
        <v>165</v>
      </c>
      <c r="K134" s="30">
        <v>12</v>
      </c>
    </row>
    <row r="135" spans="1:11" s="4" customFormat="1" ht="15.95" hidden="1" customHeight="1" x14ac:dyDescent="0.25">
      <c r="C135" s="7" t="s">
        <v>129</v>
      </c>
      <c r="D135" s="7"/>
      <c r="E135" s="8">
        <f t="shared" si="6"/>
        <v>0</v>
      </c>
      <c r="F135" s="8">
        <v>1</v>
      </c>
      <c r="G135" s="8">
        <v>0.1</v>
      </c>
      <c r="H135" s="8">
        <v>1</v>
      </c>
      <c r="I135" s="8">
        <v>0</v>
      </c>
      <c r="J135" s="10" t="s">
        <v>110</v>
      </c>
      <c r="K135" s="30">
        <v>21.9</v>
      </c>
    </row>
    <row r="136" spans="1:11" s="4" customFormat="1" ht="15.95" hidden="1" customHeight="1" x14ac:dyDescent="0.25">
      <c r="C136" s="7" t="s">
        <v>202</v>
      </c>
      <c r="D136" s="7"/>
      <c r="E136" s="8">
        <f t="shared" si="6"/>
        <v>0</v>
      </c>
      <c r="F136" s="8">
        <v>0.5</v>
      </c>
      <c r="G136" s="8">
        <v>0.5</v>
      </c>
      <c r="H136" s="8">
        <v>0.5</v>
      </c>
      <c r="I136" s="8">
        <v>0</v>
      </c>
      <c r="J136" s="10" t="s">
        <v>165</v>
      </c>
      <c r="K136" s="30">
        <v>177.98</v>
      </c>
    </row>
    <row r="137" spans="1:11" s="4" customFormat="1" ht="15.95" hidden="1" customHeight="1" x14ac:dyDescent="0.25">
      <c r="C137" s="7" t="s">
        <v>177</v>
      </c>
      <c r="D137" s="7"/>
      <c r="E137" s="8">
        <f t="shared" si="6"/>
        <v>0</v>
      </c>
      <c r="F137" s="8">
        <v>0.84</v>
      </c>
      <c r="G137" s="8">
        <v>0.84</v>
      </c>
      <c r="H137" s="8">
        <v>2.1</v>
      </c>
      <c r="I137" s="8">
        <v>0</v>
      </c>
      <c r="J137" s="10" t="s">
        <v>165</v>
      </c>
      <c r="K137" s="30">
        <v>383.33</v>
      </c>
    </row>
    <row r="138" spans="1:11" s="4" customFormat="1" ht="15.95" customHeight="1" x14ac:dyDescent="0.25">
      <c r="A138" s="21" t="s">
        <v>142</v>
      </c>
      <c r="B138" s="4" t="s">
        <v>285</v>
      </c>
      <c r="C138" s="26" t="s">
        <v>203</v>
      </c>
      <c r="D138" s="27">
        <f>SUM(E139:E148)</f>
        <v>2512.875</v>
      </c>
      <c r="E138" s="51"/>
      <c r="F138" s="27"/>
      <c r="G138" s="27"/>
      <c r="H138" s="27"/>
      <c r="I138" s="27"/>
      <c r="J138" s="28"/>
      <c r="K138" s="47"/>
    </row>
    <row r="139" spans="1:11" s="4" customFormat="1" ht="15.95" hidden="1" customHeight="1" x14ac:dyDescent="0.25">
      <c r="B139" s="29" t="s">
        <v>248</v>
      </c>
      <c r="C139" s="7" t="s">
        <v>49</v>
      </c>
      <c r="D139" s="7"/>
      <c r="E139" s="8">
        <f t="shared" ref="E139:E148" si="9">I139*K139</f>
        <v>70</v>
      </c>
      <c r="F139" s="12"/>
      <c r="G139" s="12"/>
      <c r="H139" s="12"/>
      <c r="I139" s="8">
        <v>2</v>
      </c>
      <c r="J139" s="10" t="s">
        <v>165</v>
      </c>
      <c r="K139" s="30">
        <v>35</v>
      </c>
    </row>
    <row r="140" spans="1:11" s="4" customFormat="1" ht="15.95" hidden="1" customHeight="1" x14ac:dyDescent="0.25">
      <c r="B140" s="29" t="s">
        <v>248</v>
      </c>
      <c r="C140" s="7" t="s">
        <v>50</v>
      </c>
      <c r="D140" s="7"/>
      <c r="E140" s="8">
        <f t="shared" si="9"/>
        <v>50</v>
      </c>
      <c r="F140" s="8"/>
      <c r="G140" s="8"/>
      <c r="H140" s="8"/>
      <c r="I140" s="8">
        <v>1</v>
      </c>
      <c r="J140" s="10" t="s">
        <v>165</v>
      </c>
      <c r="K140" s="30">
        <v>50</v>
      </c>
    </row>
    <row r="141" spans="1:11" s="4" customFormat="1" ht="15.95" hidden="1" customHeight="1" x14ac:dyDescent="0.25">
      <c r="B141" s="29" t="s">
        <v>248</v>
      </c>
      <c r="C141" s="7" t="s">
        <v>269</v>
      </c>
      <c r="D141" s="7"/>
      <c r="E141" s="8">
        <f t="shared" si="9"/>
        <v>1964.325</v>
      </c>
      <c r="F141" s="8">
        <v>1</v>
      </c>
      <c r="G141" s="8">
        <v>0</v>
      </c>
      <c r="H141" s="8">
        <v>2</v>
      </c>
      <c r="I141" s="8">
        <v>16.5</v>
      </c>
      <c r="J141" s="10" t="s">
        <v>165</v>
      </c>
      <c r="K141" s="30">
        <v>119.05</v>
      </c>
    </row>
    <row r="142" spans="1:11" s="4" customFormat="1" ht="15.95" hidden="1" customHeight="1" x14ac:dyDescent="0.25">
      <c r="C142" s="7" t="s">
        <v>121</v>
      </c>
      <c r="D142" s="7"/>
      <c r="E142" s="8">
        <f t="shared" si="9"/>
        <v>428.55</v>
      </c>
      <c r="F142" s="8">
        <v>1</v>
      </c>
      <c r="G142" s="8">
        <v>1</v>
      </c>
      <c r="H142" s="8"/>
      <c r="I142" s="8">
        <v>15</v>
      </c>
      <c r="J142" s="10" t="s">
        <v>110</v>
      </c>
      <c r="K142" s="30">
        <v>28.57</v>
      </c>
    </row>
    <row r="143" spans="1:11" s="4" customFormat="1" ht="15.95" hidden="1" customHeight="1" x14ac:dyDescent="0.25">
      <c r="C143" s="7" t="s">
        <v>73</v>
      </c>
      <c r="D143" s="7"/>
      <c r="E143" s="8">
        <f t="shared" si="9"/>
        <v>0</v>
      </c>
      <c r="F143" s="8">
        <v>1</v>
      </c>
      <c r="G143" s="8">
        <v>0</v>
      </c>
      <c r="H143" s="8">
        <v>1</v>
      </c>
      <c r="I143" s="8">
        <v>0</v>
      </c>
      <c r="J143" s="10" t="s">
        <v>165</v>
      </c>
      <c r="K143" s="30">
        <v>11.9</v>
      </c>
    </row>
    <row r="144" spans="1:11" s="4" customFormat="1" ht="15.95" hidden="1" customHeight="1" x14ac:dyDescent="0.25">
      <c r="C144" s="7" t="s">
        <v>20</v>
      </c>
      <c r="D144" s="7"/>
      <c r="E144" s="8">
        <f t="shared" si="9"/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165</v>
      </c>
      <c r="K144" s="30">
        <v>136.9</v>
      </c>
    </row>
    <row r="145" spans="1:11" s="4" customFormat="1" ht="15.95" hidden="1" customHeight="1" x14ac:dyDescent="0.25">
      <c r="C145" s="7" t="s">
        <v>170</v>
      </c>
      <c r="D145" s="7"/>
      <c r="E145" s="8">
        <f t="shared" si="9"/>
        <v>0</v>
      </c>
      <c r="F145" s="8">
        <v>1</v>
      </c>
      <c r="G145" s="8">
        <v>1</v>
      </c>
      <c r="H145" s="8">
        <v>0</v>
      </c>
      <c r="I145" s="8">
        <v>0</v>
      </c>
      <c r="J145" s="10" t="s">
        <v>110</v>
      </c>
      <c r="K145" s="30">
        <v>22.62</v>
      </c>
    </row>
    <row r="146" spans="1:11" s="4" customFormat="1" ht="15.95" hidden="1" customHeight="1" x14ac:dyDescent="0.25">
      <c r="C146" s="7" t="s">
        <v>161</v>
      </c>
      <c r="D146" s="7"/>
      <c r="E146" s="8">
        <f t="shared" si="9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110</v>
      </c>
      <c r="K146" s="30">
        <v>83.33</v>
      </c>
    </row>
    <row r="147" spans="1:11" s="4" customFormat="1" ht="15.95" hidden="1" customHeight="1" x14ac:dyDescent="0.25">
      <c r="C147" s="7" t="s">
        <v>162</v>
      </c>
      <c r="D147" s="7"/>
      <c r="E147" s="8">
        <f t="shared" si="9"/>
        <v>0</v>
      </c>
      <c r="F147" s="8">
        <v>1</v>
      </c>
      <c r="G147" s="8">
        <v>0.1</v>
      </c>
      <c r="H147" s="8">
        <v>1</v>
      </c>
      <c r="I147" s="8">
        <v>0</v>
      </c>
      <c r="J147" s="10" t="s">
        <v>110</v>
      </c>
      <c r="K147" s="30">
        <v>32.14</v>
      </c>
    </row>
    <row r="148" spans="1:11" s="4" customFormat="1" ht="15.95" hidden="1" customHeight="1" x14ac:dyDescent="0.25">
      <c r="C148" s="7" t="s">
        <v>163</v>
      </c>
      <c r="D148" s="7"/>
      <c r="E148" s="8">
        <f t="shared" si="9"/>
        <v>0</v>
      </c>
      <c r="F148" s="8">
        <v>1</v>
      </c>
      <c r="G148" s="8">
        <v>0.1</v>
      </c>
      <c r="H148" s="8">
        <v>1</v>
      </c>
      <c r="I148" s="8">
        <v>0</v>
      </c>
      <c r="J148" s="10" t="s">
        <v>110</v>
      </c>
      <c r="K148" s="30">
        <v>38.1</v>
      </c>
    </row>
    <row r="149" spans="1:11" s="4" customFormat="1" ht="15.95" customHeight="1" x14ac:dyDescent="0.25">
      <c r="A149" s="21" t="s">
        <v>141</v>
      </c>
      <c r="B149" s="4" t="s">
        <v>286</v>
      </c>
      <c r="C149" s="26" t="s">
        <v>204</v>
      </c>
      <c r="D149" s="27">
        <f>SUM(E150:E156)</f>
        <v>851</v>
      </c>
      <c r="E149" s="51"/>
      <c r="F149" s="27"/>
      <c r="G149" s="27"/>
      <c r="H149" s="27"/>
      <c r="I149" s="27"/>
      <c r="J149" s="28"/>
      <c r="K149" s="47"/>
    </row>
    <row r="150" spans="1:11" s="4" customFormat="1" ht="15.95" hidden="1" customHeight="1" x14ac:dyDescent="0.25">
      <c r="C150" s="7" t="s">
        <v>266</v>
      </c>
      <c r="D150" s="7"/>
      <c r="E150" s="8">
        <f t="shared" ref="E150:E156" si="10">I150*K150</f>
        <v>0</v>
      </c>
      <c r="F150" s="8">
        <v>2</v>
      </c>
      <c r="G150" s="8">
        <v>0.2</v>
      </c>
      <c r="H150" s="8">
        <v>0.2</v>
      </c>
      <c r="I150" s="8">
        <v>0</v>
      </c>
      <c r="J150" s="10" t="s">
        <v>165</v>
      </c>
      <c r="K150" s="30">
        <v>109.52</v>
      </c>
    </row>
    <row r="151" spans="1:11" s="4" customFormat="1" ht="15.95" hidden="1" customHeight="1" x14ac:dyDescent="0.25">
      <c r="C151" s="7" t="s">
        <v>85</v>
      </c>
      <c r="D151" s="7"/>
      <c r="E151" s="8">
        <f t="shared" si="10"/>
        <v>0</v>
      </c>
      <c r="F151" s="8">
        <v>6</v>
      </c>
      <c r="G151" s="8">
        <v>0.2</v>
      </c>
      <c r="H151" s="8">
        <v>1</v>
      </c>
      <c r="I151" s="8">
        <v>0</v>
      </c>
      <c r="J151" s="10" t="s">
        <v>165</v>
      </c>
      <c r="K151" s="30">
        <v>219.05</v>
      </c>
    </row>
    <row r="152" spans="1:11" s="4" customFormat="1" ht="15.95" hidden="1" customHeight="1" x14ac:dyDescent="0.25">
      <c r="C152" s="7" t="s">
        <v>179</v>
      </c>
      <c r="D152" s="7"/>
      <c r="E152" s="8">
        <f t="shared" si="10"/>
        <v>36</v>
      </c>
      <c r="F152" s="8">
        <v>0</v>
      </c>
      <c r="G152" s="8">
        <v>0</v>
      </c>
      <c r="H152" s="8">
        <v>0</v>
      </c>
      <c r="I152" s="8">
        <v>12</v>
      </c>
      <c r="J152" s="10" t="s">
        <v>165</v>
      </c>
      <c r="K152" s="30">
        <v>3</v>
      </c>
    </row>
    <row r="153" spans="1:11" s="4" customFormat="1" ht="15.95" hidden="1" customHeight="1" x14ac:dyDescent="0.25">
      <c r="C153" s="7" t="s">
        <v>53</v>
      </c>
      <c r="D153" s="7"/>
      <c r="E153" s="8">
        <f t="shared" si="10"/>
        <v>25</v>
      </c>
      <c r="F153" s="8">
        <v>0</v>
      </c>
      <c r="G153" s="8">
        <v>0</v>
      </c>
      <c r="H153" s="8">
        <v>0</v>
      </c>
      <c r="I153" s="8">
        <v>1</v>
      </c>
      <c r="J153" s="10" t="s">
        <v>165</v>
      </c>
      <c r="K153" s="30">
        <v>25</v>
      </c>
    </row>
    <row r="154" spans="1:11" s="4" customFormat="1" ht="15.95" hidden="1" customHeight="1" x14ac:dyDescent="0.25">
      <c r="B154" s="29"/>
      <c r="C154" s="7" t="s">
        <v>278</v>
      </c>
      <c r="D154" s="7"/>
      <c r="E154" s="8">
        <f t="shared" si="10"/>
        <v>750</v>
      </c>
      <c r="F154" s="8"/>
      <c r="G154" s="8"/>
      <c r="H154" s="8"/>
      <c r="I154" s="8">
        <v>15</v>
      </c>
      <c r="J154" s="10" t="s">
        <v>110</v>
      </c>
      <c r="K154" s="30">
        <v>50</v>
      </c>
    </row>
    <row r="155" spans="1:11" s="4" customFormat="1" ht="15.95" hidden="1" customHeight="1" x14ac:dyDescent="0.25">
      <c r="C155" s="7" t="s">
        <v>90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25</v>
      </c>
    </row>
    <row r="156" spans="1:11" s="4" customFormat="1" ht="15.95" hidden="1" customHeight="1" x14ac:dyDescent="0.25">
      <c r="C156" s="7" t="s">
        <v>247</v>
      </c>
      <c r="D156" s="7"/>
      <c r="E156" s="8">
        <f t="shared" si="10"/>
        <v>40</v>
      </c>
      <c r="F156" s="8"/>
      <c r="G156" s="8"/>
      <c r="H156" s="8"/>
      <c r="I156" s="8">
        <v>2</v>
      </c>
      <c r="J156" s="10" t="s">
        <v>165</v>
      </c>
      <c r="K156" s="30">
        <v>20</v>
      </c>
    </row>
    <row r="157" spans="1:11" s="4" customFormat="1" ht="15.95" customHeight="1" x14ac:dyDescent="0.25">
      <c r="C157" s="26" t="s">
        <v>131</v>
      </c>
      <c r="D157" s="27">
        <f>SUM(E158:E170)</f>
        <v>1881.48</v>
      </c>
      <c r="E157" s="51"/>
      <c r="F157" s="27"/>
      <c r="G157" s="27"/>
      <c r="H157" s="27"/>
      <c r="I157" s="27"/>
      <c r="J157" s="28"/>
      <c r="K157" s="47"/>
    </row>
    <row r="158" spans="1:11" s="4" customFormat="1" ht="15.95" hidden="1" customHeight="1" x14ac:dyDescent="0.25">
      <c r="B158" s="29" t="s">
        <v>248</v>
      </c>
      <c r="C158" s="7" t="s">
        <v>19</v>
      </c>
      <c r="D158" s="7"/>
      <c r="E158" s="8">
        <f t="shared" ref="E158:E170" si="11">I158*K158</f>
        <v>357</v>
      </c>
      <c r="F158" s="8"/>
      <c r="G158" s="8"/>
      <c r="H158" s="8"/>
      <c r="I158" s="8">
        <v>30</v>
      </c>
      <c r="J158" s="10" t="s">
        <v>165</v>
      </c>
      <c r="K158" s="30">
        <v>11.9</v>
      </c>
    </row>
    <row r="159" spans="1:11" s="4" customFormat="1" ht="15.95" hidden="1" customHeight="1" x14ac:dyDescent="0.25">
      <c r="B159" s="29" t="s">
        <v>248</v>
      </c>
      <c r="C159" s="7" t="s">
        <v>62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165</v>
      </c>
      <c r="K159" s="30">
        <v>50</v>
      </c>
    </row>
    <row r="160" spans="1:11" s="4" customFormat="1" ht="15.95" hidden="1" customHeight="1" x14ac:dyDescent="0.25">
      <c r="B160" s="29" t="s">
        <v>248</v>
      </c>
      <c r="C160" s="7" t="s">
        <v>63</v>
      </c>
      <c r="D160" s="7"/>
      <c r="E160" s="8">
        <f t="shared" si="11"/>
        <v>0</v>
      </c>
      <c r="F160" s="8"/>
      <c r="G160" s="8"/>
      <c r="H160" s="8"/>
      <c r="I160" s="8">
        <v>0</v>
      </c>
      <c r="J160" s="10" t="s">
        <v>165</v>
      </c>
      <c r="K160" s="30">
        <v>65</v>
      </c>
    </row>
    <row r="161" spans="2:11" s="4" customFormat="1" ht="15.95" hidden="1" customHeight="1" x14ac:dyDescent="0.25">
      <c r="C161" s="7" t="s">
        <v>81</v>
      </c>
      <c r="D161" s="7"/>
      <c r="E161" s="8">
        <f t="shared" si="11"/>
        <v>0</v>
      </c>
      <c r="F161" s="8"/>
      <c r="G161" s="8"/>
      <c r="H161" s="8"/>
      <c r="I161" s="8">
        <v>0</v>
      </c>
      <c r="J161" s="10" t="s">
        <v>165</v>
      </c>
      <c r="K161" s="30">
        <v>23.81</v>
      </c>
    </row>
    <row r="162" spans="2:11" s="4" customFormat="1" ht="15.95" hidden="1" customHeight="1" x14ac:dyDescent="0.25">
      <c r="C162" s="7" t="s">
        <v>82</v>
      </c>
      <c r="D162" s="7"/>
      <c r="E162" s="8">
        <f t="shared" si="11"/>
        <v>0</v>
      </c>
      <c r="F162" s="8"/>
      <c r="G162" s="8"/>
      <c r="H162" s="8"/>
      <c r="I162" s="8">
        <v>0</v>
      </c>
      <c r="J162" s="10" t="s">
        <v>165</v>
      </c>
      <c r="K162" s="30">
        <v>14.29</v>
      </c>
    </row>
    <row r="163" spans="2:11" s="4" customFormat="1" ht="15.95" hidden="1" customHeight="1" x14ac:dyDescent="0.25">
      <c r="B163" s="29" t="s">
        <v>248</v>
      </c>
      <c r="C163" s="7" t="s">
        <v>64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165</v>
      </c>
      <c r="K163" s="30">
        <v>10</v>
      </c>
    </row>
    <row r="164" spans="2:11" s="4" customFormat="1" ht="15.95" hidden="1" customHeight="1" x14ac:dyDescent="0.25">
      <c r="B164" s="29" t="s">
        <v>248</v>
      </c>
      <c r="C164" s="7" t="s">
        <v>18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165</v>
      </c>
      <c r="K164" s="30">
        <v>10</v>
      </c>
    </row>
    <row r="165" spans="2:11" s="4" customFormat="1" ht="15.95" hidden="1" customHeight="1" x14ac:dyDescent="0.25">
      <c r="C165" s="7" t="s">
        <v>51</v>
      </c>
      <c r="D165" s="7"/>
      <c r="E165" s="8">
        <f t="shared" si="11"/>
        <v>200</v>
      </c>
      <c r="F165" s="12"/>
      <c r="G165" s="12"/>
      <c r="H165" s="12"/>
      <c r="I165" s="8">
        <v>40</v>
      </c>
      <c r="J165" s="10" t="s">
        <v>165</v>
      </c>
      <c r="K165" s="30">
        <v>5</v>
      </c>
    </row>
    <row r="166" spans="2:11" s="4" customFormat="1" ht="15.95" hidden="1" customHeight="1" x14ac:dyDescent="0.25">
      <c r="B166" s="29" t="s">
        <v>248</v>
      </c>
      <c r="C166" s="7" t="s">
        <v>17</v>
      </c>
      <c r="D166" s="7"/>
      <c r="E166" s="8">
        <f t="shared" si="11"/>
        <v>0</v>
      </c>
      <c r="F166" s="8"/>
      <c r="G166" s="8"/>
      <c r="H166" s="8"/>
      <c r="I166" s="8">
        <v>0</v>
      </c>
      <c r="J166" s="10" t="s">
        <v>165</v>
      </c>
      <c r="K166" s="30">
        <v>11.9</v>
      </c>
    </row>
    <row r="167" spans="2:11" s="4" customFormat="1" ht="15.95" hidden="1" customHeight="1" x14ac:dyDescent="0.25">
      <c r="C167" s="7" t="s">
        <v>56</v>
      </c>
      <c r="D167" s="7"/>
      <c r="E167" s="8">
        <f t="shared" si="11"/>
        <v>0</v>
      </c>
      <c r="F167" s="8"/>
      <c r="G167" s="8"/>
      <c r="H167" s="8"/>
      <c r="I167" s="8">
        <v>0</v>
      </c>
      <c r="J167" s="10" t="s">
        <v>165</v>
      </c>
      <c r="K167" s="30">
        <v>4.76</v>
      </c>
    </row>
    <row r="168" spans="2:11" s="4" customFormat="1" ht="15.95" hidden="1" customHeight="1" x14ac:dyDescent="0.25">
      <c r="C168" s="7" t="s">
        <v>16</v>
      </c>
      <c r="D168" s="7"/>
      <c r="E168" s="8">
        <f t="shared" si="11"/>
        <v>0</v>
      </c>
      <c r="F168" s="8"/>
      <c r="G168" s="8"/>
      <c r="H168" s="8"/>
      <c r="I168" s="8">
        <v>0</v>
      </c>
      <c r="J168" s="10" t="s">
        <v>165</v>
      </c>
      <c r="K168" s="30">
        <v>2.38</v>
      </c>
    </row>
    <row r="169" spans="2:11" ht="15.95" hidden="1" customHeight="1" x14ac:dyDescent="0.25">
      <c r="C169" s="7" t="s">
        <v>187</v>
      </c>
      <c r="D169" s="7"/>
      <c r="E169" s="8">
        <f t="shared" si="11"/>
        <v>1134</v>
      </c>
      <c r="F169" s="8"/>
      <c r="G169" s="8"/>
      <c r="H169" s="8"/>
      <c r="I169" s="8">
        <v>280</v>
      </c>
      <c r="J169" s="10" t="s">
        <v>149</v>
      </c>
      <c r="K169" s="30">
        <v>4.05</v>
      </c>
    </row>
    <row r="170" spans="2:11" s="4" customFormat="1" ht="15.95" hidden="1" customHeight="1" x14ac:dyDescent="0.25">
      <c r="C170" s="7" t="s">
        <v>157</v>
      </c>
      <c r="D170" s="7"/>
      <c r="E170" s="8">
        <f t="shared" si="11"/>
        <v>190.48</v>
      </c>
      <c r="F170" s="8"/>
      <c r="G170" s="8"/>
      <c r="H170" s="8"/>
      <c r="I170" s="8">
        <v>1</v>
      </c>
      <c r="J170" s="10" t="s">
        <v>165</v>
      </c>
      <c r="K170" s="30">
        <v>190.48</v>
      </c>
    </row>
    <row r="171" spans="2:11" s="4" customFormat="1" ht="15.95" customHeight="1" x14ac:dyDescent="0.25">
      <c r="C171" s="26" t="s">
        <v>205</v>
      </c>
      <c r="D171" s="27">
        <f>SUM(E172:E213)</f>
        <v>1235</v>
      </c>
      <c r="E171" s="51"/>
      <c r="F171" s="27"/>
      <c r="G171" s="27"/>
      <c r="H171" s="27"/>
      <c r="I171" s="27"/>
      <c r="J171" s="28"/>
      <c r="K171" s="47"/>
    </row>
    <row r="172" spans="2:11" s="4" customFormat="1" ht="15.95" hidden="1" customHeight="1" x14ac:dyDescent="0.25">
      <c r="C172" s="7" t="s">
        <v>15</v>
      </c>
      <c r="D172" s="7"/>
      <c r="E172" s="8">
        <f t="shared" ref="E172:E213" si="12">I172*K172</f>
        <v>510</v>
      </c>
      <c r="F172" s="12"/>
      <c r="G172" s="12"/>
      <c r="H172" s="12"/>
      <c r="I172" s="8">
        <v>34</v>
      </c>
      <c r="J172" s="10" t="s">
        <v>165</v>
      </c>
      <c r="K172" s="30">
        <v>15</v>
      </c>
    </row>
    <row r="173" spans="2:11" s="4" customFormat="1" ht="15.95" hidden="1" customHeight="1" x14ac:dyDescent="0.25">
      <c r="C173" s="7" t="s">
        <v>14</v>
      </c>
      <c r="D173" s="7"/>
      <c r="E173" s="8">
        <f t="shared" si="12"/>
        <v>96</v>
      </c>
      <c r="F173" s="12"/>
      <c r="G173" s="12"/>
      <c r="H173" s="12"/>
      <c r="I173" s="8">
        <v>8</v>
      </c>
      <c r="J173" s="10" t="s">
        <v>165</v>
      </c>
      <c r="K173" s="30">
        <v>12</v>
      </c>
    </row>
    <row r="174" spans="2:11" s="4" customFormat="1" ht="15.95" hidden="1" customHeight="1" x14ac:dyDescent="0.25">
      <c r="C174" s="7" t="s">
        <v>13</v>
      </c>
      <c r="D174" s="7"/>
      <c r="E174" s="8">
        <f t="shared" si="12"/>
        <v>0</v>
      </c>
      <c r="F174" s="12"/>
      <c r="G174" s="12"/>
      <c r="H174" s="12"/>
      <c r="I174" s="8">
        <v>0</v>
      </c>
      <c r="J174" s="10" t="s">
        <v>165</v>
      </c>
      <c r="K174" s="30">
        <v>20</v>
      </c>
    </row>
    <row r="175" spans="2:11" s="4" customFormat="1" ht="15.95" hidden="1" customHeight="1" x14ac:dyDescent="0.25">
      <c r="C175" s="7" t="s">
        <v>12</v>
      </c>
      <c r="D175" s="7"/>
      <c r="E175" s="8">
        <f t="shared" si="12"/>
        <v>75</v>
      </c>
      <c r="F175" s="12"/>
      <c r="G175" s="12"/>
      <c r="H175" s="12"/>
      <c r="I175" s="8">
        <v>5</v>
      </c>
      <c r="J175" s="10" t="s">
        <v>165</v>
      </c>
      <c r="K175" s="30">
        <v>15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2"/>
        <v>25</v>
      </c>
      <c r="F176" s="12"/>
      <c r="G176" s="12"/>
      <c r="H176" s="12"/>
      <c r="I176" s="8">
        <v>1</v>
      </c>
      <c r="J176" s="10" t="s">
        <v>165</v>
      </c>
      <c r="K176" s="30">
        <v>25</v>
      </c>
    </row>
    <row r="177" spans="3:11" s="4" customFormat="1" ht="15.95" hidden="1" customHeight="1" x14ac:dyDescent="0.25">
      <c r="C177" s="7" t="s">
        <v>178</v>
      </c>
      <c r="D177" s="7"/>
      <c r="E177" s="8">
        <f t="shared" si="12"/>
        <v>0</v>
      </c>
      <c r="F177" s="12">
        <v>2.4</v>
      </c>
      <c r="G177" s="12">
        <v>0.7</v>
      </c>
      <c r="H177" s="12">
        <v>1</v>
      </c>
      <c r="I177" s="8">
        <v>0</v>
      </c>
      <c r="J177" s="10" t="s">
        <v>165</v>
      </c>
      <c r="K177" s="30">
        <v>385</v>
      </c>
    </row>
    <row r="178" spans="3:11" s="4" customFormat="1" ht="15.95" hidden="1" customHeight="1" x14ac:dyDescent="0.25">
      <c r="C178" s="7" t="s">
        <v>79</v>
      </c>
      <c r="D178" s="7"/>
      <c r="E178" s="8">
        <f t="shared" si="12"/>
        <v>0</v>
      </c>
      <c r="F178" s="12">
        <v>2</v>
      </c>
      <c r="G178" s="12">
        <v>0.4</v>
      </c>
      <c r="H178" s="12">
        <v>0.75</v>
      </c>
      <c r="I178" s="8">
        <v>0</v>
      </c>
      <c r="J178" s="10" t="s">
        <v>165</v>
      </c>
      <c r="K178" s="30">
        <v>130</v>
      </c>
    </row>
    <row r="179" spans="3:11" s="4" customFormat="1" ht="15.95" hidden="1" customHeight="1" x14ac:dyDescent="0.25">
      <c r="C179" s="7" t="s">
        <v>78</v>
      </c>
      <c r="D179" s="7"/>
      <c r="E179" s="8">
        <f t="shared" si="12"/>
        <v>0</v>
      </c>
      <c r="F179" s="12">
        <v>1.5</v>
      </c>
      <c r="G179" s="12">
        <v>0.4</v>
      </c>
      <c r="H179" s="12">
        <v>0.75</v>
      </c>
      <c r="I179" s="8">
        <v>0</v>
      </c>
      <c r="J179" s="10" t="s">
        <v>165</v>
      </c>
      <c r="K179" s="30">
        <v>230</v>
      </c>
    </row>
    <row r="180" spans="3:11" s="4" customFormat="1" ht="15.95" hidden="1" customHeight="1" x14ac:dyDescent="0.25">
      <c r="C180" s="7" t="s">
        <v>11</v>
      </c>
      <c r="D180" s="7"/>
      <c r="E180" s="8">
        <f t="shared" si="12"/>
        <v>0</v>
      </c>
      <c r="F180" s="12"/>
      <c r="G180" s="12"/>
      <c r="H180" s="12"/>
      <c r="I180" s="8">
        <v>0</v>
      </c>
      <c r="J180" s="10" t="s">
        <v>165</v>
      </c>
      <c r="K180" s="30">
        <v>65</v>
      </c>
    </row>
    <row r="181" spans="3:11" s="4" customFormat="1" ht="15.95" hidden="1" customHeight="1" x14ac:dyDescent="0.25">
      <c r="C181" s="7" t="s">
        <v>10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165</v>
      </c>
      <c r="K181" s="30">
        <v>85</v>
      </c>
    </row>
    <row r="182" spans="3:11" s="4" customFormat="1" ht="15.95" hidden="1" customHeight="1" x14ac:dyDescent="0.25">
      <c r="C182" s="7" t="s">
        <v>9</v>
      </c>
      <c r="D182" s="7"/>
      <c r="E182" s="8">
        <f t="shared" si="12"/>
        <v>0</v>
      </c>
      <c r="F182" s="12"/>
      <c r="G182" s="12"/>
      <c r="H182" s="12"/>
      <c r="I182" s="8">
        <v>0</v>
      </c>
      <c r="J182" s="10" t="s">
        <v>165</v>
      </c>
      <c r="K182" s="30">
        <v>120</v>
      </c>
    </row>
    <row r="183" spans="3:11" s="4" customFormat="1" ht="15.95" hidden="1" customHeight="1" x14ac:dyDescent="0.25">
      <c r="C183" s="7" t="s">
        <v>8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165</v>
      </c>
      <c r="K183" s="30">
        <v>10</v>
      </c>
    </row>
    <row r="184" spans="3:11" s="4" customFormat="1" ht="15.95" hidden="1" customHeight="1" x14ac:dyDescent="0.25">
      <c r="C184" s="7" t="s">
        <v>7</v>
      </c>
      <c r="D184" s="7"/>
      <c r="E184" s="8">
        <f t="shared" si="12"/>
        <v>48</v>
      </c>
      <c r="F184" s="12"/>
      <c r="G184" s="12"/>
      <c r="H184" s="12"/>
      <c r="I184" s="8">
        <v>6</v>
      </c>
      <c r="J184" s="10" t="s">
        <v>165</v>
      </c>
      <c r="K184" s="30">
        <v>8</v>
      </c>
    </row>
    <row r="185" spans="3:11" s="4" customFormat="1" ht="15.95" hidden="1" customHeight="1" x14ac:dyDescent="0.25">
      <c r="C185" s="7" t="s">
        <v>6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165</v>
      </c>
      <c r="K185" s="30">
        <v>15</v>
      </c>
    </row>
    <row r="186" spans="3:11" s="4" customFormat="1" ht="15.95" hidden="1" customHeight="1" x14ac:dyDescent="0.25">
      <c r="C186" s="7" t="s">
        <v>189</v>
      </c>
      <c r="D186" s="7"/>
      <c r="E186" s="8">
        <f t="shared" si="12"/>
        <v>140</v>
      </c>
      <c r="F186" s="12"/>
      <c r="G186" s="12"/>
      <c r="H186" s="12"/>
      <c r="I186" s="8">
        <v>4</v>
      </c>
      <c r="J186" s="10" t="s">
        <v>165</v>
      </c>
      <c r="K186" s="30">
        <v>35</v>
      </c>
    </row>
    <row r="187" spans="3:11" s="4" customFormat="1" ht="15.95" hidden="1" customHeight="1" x14ac:dyDescent="0.25">
      <c r="C187" s="7" t="s">
        <v>61</v>
      </c>
      <c r="D187" s="7"/>
      <c r="E187" s="8">
        <f t="shared" si="12"/>
        <v>170</v>
      </c>
      <c r="F187" s="12"/>
      <c r="G187" s="12"/>
      <c r="H187" s="12"/>
      <c r="I187" s="8">
        <v>2</v>
      </c>
      <c r="J187" s="10" t="s">
        <v>165</v>
      </c>
      <c r="K187" s="30">
        <v>85</v>
      </c>
    </row>
    <row r="188" spans="3:11" s="4" customFormat="1" ht="15.95" hidden="1" customHeight="1" x14ac:dyDescent="0.25">
      <c r="C188" s="7" t="s">
        <v>58</v>
      </c>
      <c r="D188" s="7"/>
      <c r="E188" s="8">
        <f t="shared" si="12"/>
        <v>0</v>
      </c>
      <c r="F188" s="12"/>
      <c r="G188" s="12"/>
      <c r="H188" s="12"/>
      <c r="I188" s="8">
        <v>0</v>
      </c>
      <c r="J188" s="10" t="s">
        <v>165</v>
      </c>
      <c r="K188" s="30">
        <v>35</v>
      </c>
    </row>
    <row r="189" spans="3:11" s="4" customFormat="1" ht="15.95" hidden="1" customHeight="1" x14ac:dyDescent="0.25">
      <c r="C189" s="7" t="s">
        <v>60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165</v>
      </c>
      <c r="K189" s="30">
        <v>25</v>
      </c>
    </row>
    <row r="190" spans="3:11" s="4" customFormat="1" ht="15.95" hidden="1" customHeight="1" x14ac:dyDescent="0.25">
      <c r="C190" s="7" t="s">
        <v>134</v>
      </c>
      <c r="D190" s="7"/>
      <c r="E190" s="8">
        <f t="shared" si="12"/>
        <v>0</v>
      </c>
      <c r="F190" s="12"/>
      <c r="G190" s="12"/>
      <c r="H190" s="12"/>
      <c r="I190" s="8">
        <v>0</v>
      </c>
      <c r="J190" s="10" t="s">
        <v>165</v>
      </c>
      <c r="K190" s="30">
        <v>35</v>
      </c>
    </row>
    <row r="191" spans="3:11" s="4" customFormat="1" ht="15.95" hidden="1" customHeight="1" x14ac:dyDescent="0.25">
      <c r="C191" s="7" t="s">
        <v>47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165</v>
      </c>
      <c r="K191" s="30">
        <v>12</v>
      </c>
    </row>
    <row r="192" spans="3:11" s="4" customFormat="1" ht="15.95" hidden="1" customHeight="1" x14ac:dyDescent="0.25">
      <c r="C192" s="7" t="s">
        <v>48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165</v>
      </c>
      <c r="K192" s="30">
        <v>25</v>
      </c>
    </row>
    <row r="193" spans="2:11" s="4" customFormat="1" ht="15.95" hidden="1" customHeight="1" x14ac:dyDescent="0.25">
      <c r="C193" s="7" t="s">
        <v>54</v>
      </c>
      <c r="D193" s="7"/>
      <c r="E193" s="8">
        <f t="shared" si="12"/>
        <v>0</v>
      </c>
      <c r="F193" s="12"/>
      <c r="G193" s="12"/>
      <c r="H193" s="12"/>
      <c r="I193" s="8">
        <v>0</v>
      </c>
      <c r="J193" s="10" t="s">
        <v>165</v>
      </c>
      <c r="K193" s="30">
        <v>150</v>
      </c>
    </row>
    <row r="194" spans="2:11" s="4" customFormat="1" ht="15.95" hidden="1" customHeight="1" x14ac:dyDescent="0.25">
      <c r="C194" s="7" t="s">
        <v>206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158</v>
      </c>
      <c r="D195" s="7"/>
      <c r="E195" s="8">
        <f t="shared" si="12"/>
        <v>0</v>
      </c>
      <c r="F195" s="12"/>
      <c r="G195" s="12"/>
      <c r="H195" s="12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C196" s="7" t="s">
        <v>207</v>
      </c>
      <c r="D196" s="7"/>
      <c r="E196" s="8">
        <f t="shared" si="12"/>
        <v>0</v>
      </c>
      <c r="F196" s="12"/>
      <c r="G196" s="12"/>
      <c r="H196" s="12"/>
      <c r="I196" s="8">
        <v>0</v>
      </c>
      <c r="J196" s="10" t="s">
        <v>165</v>
      </c>
      <c r="K196" s="30">
        <v>600</v>
      </c>
    </row>
    <row r="197" spans="2:11" s="4" customFormat="1" ht="15.95" hidden="1" customHeight="1" x14ac:dyDescent="0.25">
      <c r="C197" s="7" t="s">
        <v>208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165</v>
      </c>
      <c r="K197" s="30">
        <v>85</v>
      </c>
    </row>
    <row r="198" spans="2:11" s="4" customFormat="1" ht="15.95" hidden="1" customHeight="1" x14ac:dyDescent="0.25">
      <c r="C198" s="7" t="s">
        <v>256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165</v>
      </c>
      <c r="K198" s="30">
        <v>210</v>
      </c>
    </row>
    <row r="199" spans="2:11" s="4" customFormat="1" ht="15.95" hidden="1" customHeight="1" x14ac:dyDescent="0.25">
      <c r="C199" s="7" t="s">
        <v>86</v>
      </c>
      <c r="D199" s="7"/>
      <c r="E199" s="8">
        <f t="shared" si="12"/>
        <v>16</v>
      </c>
      <c r="F199" s="8"/>
      <c r="G199" s="8"/>
      <c r="H199" s="8"/>
      <c r="I199" s="8">
        <v>2</v>
      </c>
      <c r="J199" s="10" t="s">
        <v>165</v>
      </c>
      <c r="K199" s="30">
        <v>8</v>
      </c>
    </row>
    <row r="200" spans="2:11" s="4" customFormat="1" ht="15.95" hidden="1" customHeight="1" x14ac:dyDescent="0.25">
      <c r="C200" s="7" t="s">
        <v>72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165</v>
      </c>
      <c r="K200" s="30">
        <v>15</v>
      </c>
    </row>
    <row r="201" spans="2:11" s="4" customFormat="1" ht="15.95" hidden="1" customHeight="1" x14ac:dyDescent="0.25">
      <c r="C201" s="7" t="s">
        <v>83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165</v>
      </c>
      <c r="K201" s="30">
        <v>15</v>
      </c>
    </row>
    <row r="202" spans="2:11" s="4" customFormat="1" ht="15.95" hidden="1" customHeight="1" x14ac:dyDescent="0.25">
      <c r="B202" s="29" t="s">
        <v>248</v>
      </c>
      <c r="C202" s="7" t="s">
        <v>84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165</v>
      </c>
      <c r="K202" s="30">
        <v>25</v>
      </c>
    </row>
    <row r="203" spans="2:11" s="4" customFormat="1" ht="15.95" hidden="1" customHeight="1" x14ac:dyDescent="0.25">
      <c r="C203" s="7" t="s">
        <v>87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165</v>
      </c>
      <c r="K203" s="30">
        <v>85</v>
      </c>
    </row>
    <row r="204" spans="2:11" s="4" customFormat="1" ht="15.95" hidden="1" customHeight="1" x14ac:dyDescent="0.25">
      <c r="C204" s="7" t="s">
        <v>88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165</v>
      </c>
      <c r="K204" s="30">
        <v>15</v>
      </c>
    </row>
    <row r="205" spans="2:11" s="4" customFormat="1" ht="15.95" hidden="1" customHeight="1" x14ac:dyDescent="0.25">
      <c r="C205" s="7" t="s">
        <v>89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165</v>
      </c>
      <c r="K205" s="30">
        <v>5</v>
      </c>
    </row>
    <row r="206" spans="2:11" s="4" customFormat="1" ht="15.95" hidden="1" customHeight="1" x14ac:dyDescent="0.25">
      <c r="C206" s="7" t="s">
        <v>91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165</v>
      </c>
      <c r="K206" s="30">
        <v>12</v>
      </c>
    </row>
    <row r="207" spans="2:11" s="4" customFormat="1" ht="15.95" hidden="1" customHeight="1" x14ac:dyDescent="0.25">
      <c r="C207" s="7" t="s">
        <v>92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165</v>
      </c>
      <c r="K207" s="30">
        <v>25</v>
      </c>
    </row>
    <row r="208" spans="2:11" s="4" customFormat="1" ht="15.95" hidden="1" customHeight="1" x14ac:dyDescent="0.25">
      <c r="C208" s="7" t="s">
        <v>93</v>
      </c>
      <c r="D208" s="7"/>
      <c r="E208" s="8">
        <f t="shared" si="12"/>
        <v>0</v>
      </c>
      <c r="F208" s="8"/>
      <c r="G208" s="8"/>
      <c r="H208" s="8"/>
      <c r="I208" s="8">
        <v>0</v>
      </c>
      <c r="J208" s="10" t="s">
        <v>165</v>
      </c>
      <c r="K208" s="30">
        <v>20</v>
      </c>
    </row>
    <row r="209" spans="3:11" s="4" customFormat="1" ht="15.95" hidden="1" customHeight="1" x14ac:dyDescent="0.25">
      <c r="C209" s="7" t="s">
        <v>120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165</v>
      </c>
      <c r="K209" s="30">
        <v>6</v>
      </c>
    </row>
    <row r="210" spans="3:11" s="4" customFormat="1" ht="15.95" hidden="1" customHeight="1" x14ac:dyDescent="0.25">
      <c r="C210" s="7" t="s">
        <v>122</v>
      </c>
      <c r="D210" s="7"/>
      <c r="E210" s="8">
        <f t="shared" si="12"/>
        <v>0</v>
      </c>
      <c r="F210" s="8"/>
      <c r="G210" s="8"/>
      <c r="H210" s="8"/>
      <c r="I210" s="8">
        <v>0</v>
      </c>
      <c r="J210" s="10" t="s">
        <v>165</v>
      </c>
      <c r="K210" s="30">
        <v>3</v>
      </c>
    </row>
    <row r="211" spans="3:11" s="4" customFormat="1" ht="15.95" hidden="1" customHeight="1" x14ac:dyDescent="0.25">
      <c r="C211" s="7" t="s">
        <v>123</v>
      </c>
      <c r="D211" s="7"/>
      <c r="E211" s="8">
        <f t="shared" si="12"/>
        <v>70</v>
      </c>
      <c r="F211" s="8"/>
      <c r="G211" s="8"/>
      <c r="H211" s="8"/>
      <c r="I211" s="8">
        <v>2</v>
      </c>
      <c r="J211" s="10" t="s">
        <v>165</v>
      </c>
      <c r="K211" s="30">
        <v>35</v>
      </c>
    </row>
    <row r="212" spans="3:11" s="4" customFormat="1" ht="15.95" hidden="1" customHeight="1" x14ac:dyDescent="0.25">
      <c r="C212" s="7" t="s">
        <v>246</v>
      </c>
      <c r="D212" s="7"/>
      <c r="E212" s="8">
        <f t="shared" si="12"/>
        <v>0</v>
      </c>
      <c r="F212" s="8">
        <v>0.5</v>
      </c>
      <c r="G212" s="8">
        <v>0.5</v>
      </c>
      <c r="H212" s="8">
        <v>0.5</v>
      </c>
      <c r="I212" s="8">
        <v>0</v>
      </c>
      <c r="J212" s="10" t="s">
        <v>165</v>
      </c>
      <c r="K212" s="30">
        <v>20</v>
      </c>
    </row>
    <row r="213" spans="3:11" s="4" customFormat="1" ht="15.95" hidden="1" customHeight="1" x14ac:dyDescent="0.25">
      <c r="C213" s="7" t="s">
        <v>245</v>
      </c>
      <c r="D213" s="7"/>
      <c r="E213" s="8">
        <f t="shared" si="12"/>
        <v>85</v>
      </c>
      <c r="F213" s="8"/>
      <c r="G213" s="8"/>
      <c r="H213" s="8"/>
      <c r="I213" s="8">
        <v>1</v>
      </c>
      <c r="J213" s="10" t="s">
        <v>165</v>
      </c>
      <c r="K213" s="30">
        <v>85</v>
      </c>
    </row>
    <row r="214" spans="3:11" s="4" customFormat="1" ht="15.95" customHeight="1" x14ac:dyDescent="0.25">
      <c r="C214" s="26" t="s">
        <v>182</v>
      </c>
      <c r="D214" s="27">
        <f>SUM(E215:E225)</f>
        <v>3611.3999999999996</v>
      </c>
      <c r="E214" s="51"/>
      <c r="F214" s="27"/>
      <c r="G214" s="27"/>
      <c r="H214" s="27"/>
      <c r="I214" s="27"/>
      <c r="J214" s="28"/>
      <c r="K214" s="47"/>
    </row>
    <row r="215" spans="3:11" s="4" customFormat="1" ht="15.95" hidden="1" customHeight="1" x14ac:dyDescent="0.25">
      <c r="C215" s="7" t="s">
        <v>243</v>
      </c>
      <c r="D215" s="7"/>
      <c r="E215" s="8">
        <f t="shared" ref="E215:E225" si="13">I215*K215</f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10.71</v>
      </c>
    </row>
    <row r="216" spans="3:11" s="4" customFormat="1" ht="15.95" hidden="1" customHeight="1" x14ac:dyDescent="0.25">
      <c r="C216" s="7" t="s">
        <v>242</v>
      </c>
      <c r="D216" s="7"/>
      <c r="E216" s="8">
        <f t="shared" si="13"/>
        <v>1718.28</v>
      </c>
      <c r="F216" s="8">
        <v>1</v>
      </c>
      <c r="G216" s="8">
        <v>1</v>
      </c>
      <c r="H216" s="12"/>
      <c r="I216" s="8">
        <v>111</v>
      </c>
      <c r="J216" s="10" t="s">
        <v>110</v>
      </c>
      <c r="K216" s="30">
        <v>15.48</v>
      </c>
    </row>
    <row r="217" spans="3:11" s="4" customFormat="1" ht="15.95" hidden="1" customHeight="1" x14ac:dyDescent="0.25">
      <c r="C217" s="7" t="s">
        <v>5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110</v>
      </c>
      <c r="K217" s="30">
        <v>15.48</v>
      </c>
    </row>
    <row r="218" spans="3:11" s="4" customFormat="1" ht="15.95" hidden="1" customHeight="1" x14ac:dyDescent="0.25">
      <c r="C218" s="7" t="s">
        <v>190</v>
      </c>
      <c r="D218" s="7"/>
      <c r="E218" s="8">
        <f t="shared" si="13"/>
        <v>196.5</v>
      </c>
      <c r="F218" s="8">
        <v>1</v>
      </c>
      <c r="G218" s="8">
        <v>1</v>
      </c>
      <c r="H218" s="12"/>
      <c r="I218" s="8">
        <v>15</v>
      </c>
      <c r="J218" s="10" t="s">
        <v>110</v>
      </c>
      <c r="K218" s="30">
        <v>13.1</v>
      </c>
    </row>
    <row r="219" spans="3:11" s="4" customFormat="1" ht="15.95" hidden="1" customHeight="1" x14ac:dyDescent="0.25">
      <c r="C219" s="7" t="s">
        <v>257</v>
      </c>
      <c r="D219" s="7"/>
      <c r="E219" s="8">
        <f t="shared" si="13"/>
        <v>1238.1199999999999</v>
      </c>
      <c r="F219" s="8">
        <v>1</v>
      </c>
      <c r="G219" s="8">
        <v>1</v>
      </c>
      <c r="H219" s="12"/>
      <c r="I219" s="8">
        <v>13</v>
      </c>
      <c r="J219" s="10" t="s">
        <v>110</v>
      </c>
      <c r="K219" s="30">
        <v>95.24</v>
      </c>
    </row>
    <row r="220" spans="3:11" s="4" customFormat="1" ht="15.95" hidden="1" customHeight="1" x14ac:dyDescent="0.25">
      <c r="C220" s="7" t="s">
        <v>258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110</v>
      </c>
      <c r="K220" s="30">
        <v>47.62</v>
      </c>
    </row>
    <row r="221" spans="3:11" s="4" customFormat="1" ht="15.95" hidden="1" customHeight="1" x14ac:dyDescent="0.25">
      <c r="C221" s="7" t="s">
        <v>71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110</v>
      </c>
      <c r="K221" s="30">
        <v>35.71</v>
      </c>
    </row>
    <row r="222" spans="3:11" s="4" customFormat="1" ht="15.95" hidden="1" customHeight="1" x14ac:dyDescent="0.25">
      <c r="C222" s="7" t="s">
        <v>121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110</v>
      </c>
      <c r="K222" s="30">
        <v>28.57</v>
      </c>
    </row>
    <row r="223" spans="3:11" s="4" customFormat="1" ht="15.95" hidden="1" customHeight="1" x14ac:dyDescent="0.25">
      <c r="C223" s="7" t="s">
        <v>52</v>
      </c>
      <c r="D223" s="7"/>
      <c r="E223" s="8">
        <f t="shared" si="13"/>
        <v>458.5</v>
      </c>
      <c r="F223" s="8">
        <v>1</v>
      </c>
      <c r="G223" s="8">
        <v>1</v>
      </c>
      <c r="H223" s="12"/>
      <c r="I223" s="8">
        <v>35</v>
      </c>
      <c r="J223" s="10" t="s">
        <v>110</v>
      </c>
      <c r="K223" s="30">
        <v>13.1</v>
      </c>
    </row>
    <row r="224" spans="3:11" s="4" customFormat="1" ht="15.95" hidden="1" customHeight="1" x14ac:dyDescent="0.25">
      <c r="C224" s="7" t="s">
        <v>244</v>
      </c>
      <c r="D224" s="7"/>
      <c r="E224" s="8">
        <f t="shared" si="13"/>
        <v>0</v>
      </c>
      <c r="F224" s="8">
        <v>1</v>
      </c>
      <c r="G224" s="8">
        <v>1</v>
      </c>
      <c r="H224" s="12"/>
      <c r="I224" s="8">
        <v>0</v>
      </c>
      <c r="J224" s="10" t="s">
        <v>110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3"/>
        <v>0</v>
      </c>
      <c r="F225" s="8">
        <v>1</v>
      </c>
      <c r="G225" s="8">
        <v>1</v>
      </c>
      <c r="H225" s="12"/>
      <c r="I225" s="8">
        <v>0</v>
      </c>
      <c r="J225" s="10" t="s">
        <v>110</v>
      </c>
      <c r="K225" s="30">
        <v>10.71</v>
      </c>
    </row>
    <row r="226" spans="3:11" s="4" customFormat="1" ht="15.95" customHeight="1" x14ac:dyDescent="0.25">
      <c r="C226" s="26" t="s">
        <v>181</v>
      </c>
      <c r="D226" s="27">
        <f>SUM(E227:E266)</f>
        <v>34612.5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21</v>
      </c>
      <c r="D227" s="7"/>
      <c r="E227" s="8">
        <f t="shared" ref="E227:E266" si="14">I227*K227</f>
        <v>0</v>
      </c>
      <c r="F227" s="12">
        <v>1.5</v>
      </c>
      <c r="G227" s="12">
        <v>1</v>
      </c>
      <c r="H227" s="12">
        <v>1</v>
      </c>
      <c r="I227" s="8">
        <v>0</v>
      </c>
      <c r="J227" s="10" t="s">
        <v>165</v>
      </c>
      <c r="K227" s="30">
        <v>320</v>
      </c>
    </row>
    <row r="228" spans="3:11" s="4" customFormat="1" ht="15.95" hidden="1" customHeight="1" x14ac:dyDescent="0.25">
      <c r="C228" s="7" t="s">
        <v>212</v>
      </c>
      <c r="D228" s="7"/>
      <c r="E228" s="8">
        <f t="shared" si="14"/>
        <v>420</v>
      </c>
      <c r="F228" s="8"/>
      <c r="G228" s="8"/>
      <c r="H228" s="8"/>
      <c r="I228" s="8">
        <v>2</v>
      </c>
      <c r="J228" s="10" t="s">
        <v>165</v>
      </c>
      <c r="K228" s="30">
        <v>210</v>
      </c>
    </row>
    <row r="229" spans="3:11" s="4" customFormat="1" ht="15.95" hidden="1" customHeight="1" x14ac:dyDescent="0.25">
      <c r="C229" s="7" t="s">
        <v>213</v>
      </c>
      <c r="D229" s="7"/>
      <c r="E229" s="8">
        <f t="shared" si="14"/>
        <v>360</v>
      </c>
      <c r="F229" s="8"/>
      <c r="G229" s="8"/>
      <c r="H229" s="8"/>
      <c r="I229" s="8">
        <v>2</v>
      </c>
      <c r="J229" s="10" t="s">
        <v>165</v>
      </c>
      <c r="K229" s="30">
        <v>180</v>
      </c>
    </row>
    <row r="230" spans="3:11" s="4" customFormat="1" ht="15.95" hidden="1" customHeight="1" x14ac:dyDescent="0.25">
      <c r="C230" s="7" t="s">
        <v>214</v>
      </c>
      <c r="D230" s="7"/>
      <c r="E230" s="8">
        <f t="shared" si="14"/>
        <v>0</v>
      </c>
      <c r="F230" s="8"/>
      <c r="G230" s="8"/>
      <c r="H230" s="8"/>
      <c r="I230" s="8">
        <v>0</v>
      </c>
      <c r="J230" s="10" t="s">
        <v>165</v>
      </c>
      <c r="K230" s="30">
        <v>180</v>
      </c>
    </row>
    <row r="231" spans="3:11" s="4" customFormat="1" ht="15.95" hidden="1" customHeight="1" x14ac:dyDescent="0.25">
      <c r="C231" s="7" t="s">
        <v>215</v>
      </c>
      <c r="D231" s="7"/>
      <c r="E231" s="8">
        <f t="shared" si="14"/>
        <v>0</v>
      </c>
      <c r="F231" s="8"/>
      <c r="G231" s="8"/>
      <c r="H231" s="8"/>
      <c r="I231" s="8">
        <v>0</v>
      </c>
      <c r="J231" s="10" t="s">
        <v>165</v>
      </c>
      <c r="K231" s="30">
        <v>110</v>
      </c>
    </row>
    <row r="232" spans="3:11" s="4" customFormat="1" ht="15.95" hidden="1" customHeight="1" x14ac:dyDescent="0.25">
      <c r="C232" s="7" t="s">
        <v>216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165</v>
      </c>
      <c r="K232" s="30">
        <v>310</v>
      </c>
    </row>
    <row r="233" spans="3:11" s="4" customFormat="1" ht="15.95" hidden="1" customHeight="1" x14ac:dyDescent="0.25">
      <c r="C233" s="7" t="s">
        <v>217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165</v>
      </c>
      <c r="K233" s="30">
        <v>160</v>
      </c>
    </row>
    <row r="234" spans="3:11" s="4" customFormat="1" ht="15.95" hidden="1" customHeight="1" x14ac:dyDescent="0.25">
      <c r="C234" s="7" t="s">
        <v>59</v>
      </c>
      <c r="D234" s="7"/>
      <c r="E234" s="8">
        <f t="shared" si="14"/>
        <v>0</v>
      </c>
      <c r="F234" s="12"/>
      <c r="G234" s="12"/>
      <c r="H234" s="12"/>
      <c r="I234" s="8">
        <v>0</v>
      </c>
      <c r="J234" s="10" t="s">
        <v>165</v>
      </c>
      <c r="K234" s="30">
        <v>10</v>
      </c>
    </row>
    <row r="235" spans="3:11" s="4" customFormat="1" ht="15.95" hidden="1" customHeight="1" x14ac:dyDescent="0.25">
      <c r="C235" s="7" t="s">
        <v>221</v>
      </c>
      <c r="D235" s="7"/>
      <c r="E235" s="8">
        <f t="shared" si="14"/>
        <v>0</v>
      </c>
      <c r="F235" s="12"/>
      <c r="G235" s="12"/>
      <c r="H235" s="12"/>
      <c r="I235" s="8">
        <v>0</v>
      </c>
      <c r="J235" s="10" t="s">
        <v>165</v>
      </c>
      <c r="K235" s="30">
        <v>260</v>
      </c>
    </row>
    <row r="236" spans="3:11" s="4" customFormat="1" ht="15.95" hidden="1" customHeight="1" x14ac:dyDescent="0.25">
      <c r="C236" s="7" t="s">
        <v>3</v>
      </c>
      <c r="D236" s="7"/>
      <c r="E236" s="8">
        <f t="shared" si="14"/>
        <v>180</v>
      </c>
      <c r="F236" s="8"/>
      <c r="G236" s="8"/>
      <c r="H236" s="8"/>
      <c r="I236" s="8">
        <v>1</v>
      </c>
      <c r="J236" s="10" t="s">
        <v>165</v>
      </c>
      <c r="K236" s="30">
        <v>180</v>
      </c>
    </row>
    <row r="237" spans="3:11" s="4" customFormat="1" ht="15.95" hidden="1" customHeight="1" x14ac:dyDescent="0.25">
      <c r="C237" s="7" t="s">
        <v>2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165</v>
      </c>
      <c r="K237" s="30">
        <v>200</v>
      </c>
    </row>
    <row r="238" spans="3:11" s="4" customFormat="1" ht="15.95" hidden="1" customHeight="1" x14ac:dyDescent="0.25">
      <c r="C238" s="7" t="s">
        <v>1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165</v>
      </c>
      <c r="K238" s="30">
        <v>220</v>
      </c>
    </row>
    <row r="239" spans="3:11" s="4" customFormat="1" ht="15.95" hidden="1" customHeight="1" x14ac:dyDescent="0.25">
      <c r="C239" s="7" t="s">
        <v>180</v>
      </c>
      <c r="D239" s="7"/>
      <c r="E239" s="8">
        <f t="shared" si="14"/>
        <v>440</v>
      </c>
      <c r="F239" s="8"/>
      <c r="G239" s="8"/>
      <c r="H239" s="8"/>
      <c r="I239" s="8">
        <v>2</v>
      </c>
      <c r="J239" s="10" t="s">
        <v>165</v>
      </c>
      <c r="K239" s="30">
        <v>220</v>
      </c>
    </row>
    <row r="240" spans="3:11" s="4" customFormat="1" ht="15.95" hidden="1" customHeight="1" x14ac:dyDescent="0.25">
      <c r="C240" s="7" t="s">
        <v>0</v>
      </c>
      <c r="D240" s="7"/>
      <c r="E240" s="8">
        <f t="shared" si="14"/>
        <v>250</v>
      </c>
      <c r="F240" s="8"/>
      <c r="G240" s="8"/>
      <c r="H240" s="8"/>
      <c r="I240" s="8">
        <v>1</v>
      </c>
      <c r="J240" s="10" t="s">
        <v>165</v>
      </c>
      <c r="K240" s="30">
        <v>250</v>
      </c>
    </row>
    <row r="241" spans="3:11" s="4" customFormat="1" ht="15.95" hidden="1" customHeight="1" x14ac:dyDescent="0.25">
      <c r="C241" s="7" t="s">
        <v>209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165</v>
      </c>
      <c r="K241" s="30">
        <v>390</v>
      </c>
    </row>
    <row r="242" spans="3:11" s="4" customFormat="1" ht="15.95" hidden="1" customHeight="1" x14ac:dyDescent="0.25">
      <c r="C242" s="7" t="s">
        <v>235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165</v>
      </c>
      <c r="K242" s="30">
        <v>460</v>
      </c>
    </row>
    <row r="243" spans="3:11" s="4" customFormat="1" ht="15.95" hidden="1" customHeight="1" x14ac:dyDescent="0.25">
      <c r="C243" s="7" t="s">
        <v>210</v>
      </c>
      <c r="D243" s="7"/>
      <c r="E243" s="8">
        <f t="shared" si="14"/>
        <v>850</v>
      </c>
      <c r="F243" s="8"/>
      <c r="G243" s="8"/>
      <c r="H243" s="8"/>
      <c r="I243" s="8">
        <v>1</v>
      </c>
      <c r="J243" s="10" t="s">
        <v>165</v>
      </c>
      <c r="K243" s="30">
        <v>850</v>
      </c>
    </row>
    <row r="244" spans="3:11" s="4" customFormat="1" ht="15.95" hidden="1" customHeight="1" x14ac:dyDescent="0.25">
      <c r="C244" s="7" t="s">
        <v>186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165</v>
      </c>
      <c r="K244" s="30">
        <v>1400</v>
      </c>
    </row>
    <row r="245" spans="3:11" s="4" customFormat="1" ht="15.95" hidden="1" customHeight="1" x14ac:dyDescent="0.25">
      <c r="C245" s="7" t="s">
        <v>237</v>
      </c>
      <c r="D245" s="7"/>
      <c r="E245" s="8">
        <f t="shared" si="14"/>
        <v>720</v>
      </c>
      <c r="F245" s="8"/>
      <c r="G245" s="8"/>
      <c r="H245" s="8"/>
      <c r="I245" s="8">
        <v>2</v>
      </c>
      <c r="J245" s="10" t="s">
        <v>165</v>
      </c>
      <c r="K245" s="30">
        <v>360</v>
      </c>
    </row>
    <row r="246" spans="3:11" s="4" customFormat="1" ht="15.95" hidden="1" customHeight="1" x14ac:dyDescent="0.25">
      <c r="C246" s="7" t="s">
        <v>240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165</v>
      </c>
      <c r="K246" s="30">
        <v>550</v>
      </c>
    </row>
    <row r="247" spans="3:11" s="4" customFormat="1" ht="15.95" hidden="1" customHeight="1" x14ac:dyDescent="0.25">
      <c r="C247" s="7" t="s">
        <v>241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165</v>
      </c>
      <c r="K247" s="30">
        <v>580</v>
      </c>
    </row>
    <row r="248" spans="3:11" s="4" customFormat="1" ht="15.95" hidden="1" customHeight="1" x14ac:dyDescent="0.25">
      <c r="C248" s="7" t="s">
        <v>233</v>
      </c>
      <c r="D248" s="7"/>
      <c r="E248" s="8">
        <f t="shared" si="14"/>
        <v>680</v>
      </c>
      <c r="F248" s="8"/>
      <c r="G248" s="8"/>
      <c r="H248" s="8"/>
      <c r="I248" s="8">
        <v>1</v>
      </c>
      <c r="J248" s="10" t="s">
        <v>165</v>
      </c>
      <c r="K248" s="30">
        <v>680</v>
      </c>
    </row>
    <row r="249" spans="3:11" s="4" customFormat="1" ht="15.95" hidden="1" customHeight="1" x14ac:dyDescent="0.25">
      <c r="C249" s="7" t="s">
        <v>238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165</v>
      </c>
      <c r="K249" s="30">
        <v>750</v>
      </c>
    </row>
    <row r="250" spans="3:11" s="4" customFormat="1" ht="15.95" hidden="1" customHeight="1" x14ac:dyDescent="0.25">
      <c r="C250" s="7" t="s">
        <v>234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165</v>
      </c>
      <c r="K250" s="30">
        <v>340</v>
      </c>
    </row>
    <row r="251" spans="3:11" s="4" customFormat="1" ht="15.95" hidden="1" customHeight="1" x14ac:dyDescent="0.25">
      <c r="C251" s="7" t="s">
        <v>239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165</v>
      </c>
      <c r="K251" s="30">
        <v>160</v>
      </c>
    </row>
    <row r="252" spans="3:11" s="4" customFormat="1" ht="15.95" hidden="1" customHeight="1" x14ac:dyDescent="0.25">
      <c r="C252" s="7" t="s">
        <v>236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165</v>
      </c>
      <c r="K252" s="30">
        <v>130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165</v>
      </c>
      <c r="K253" s="30">
        <v>130</v>
      </c>
    </row>
    <row r="254" spans="3:11" s="4" customFormat="1" ht="15.95" hidden="1" customHeight="1" x14ac:dyDescent="0.25">
      <c r="C254" s="7" t="s">
        <v>222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165</v>
      </c>
      <c r="K254" s="30">
        <v>400</v>
      </c>
    </row>
    <row r="255" spans="3:11" s="4" customFormat="1" ht="15.95" hidden="1" customHeight="1" x14ac:dyDescent="0.25">
      <c r="C255" s="7" t="s">
        <v>224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165</v>
      </c>
      <c r="K255" s="30">
        <v>260</v>
      </c>
    </row>
    <row r="256" spans="3:11" s="4" customFormat="1" ht="15.95" hidden="1" customHeight="1" x14ac:dyDescent="0.25">
      <c r="C256" s="7" t="s">
        <v>230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165</v>
      </c>
      <c r="K256" s="30">
        <v>180</v>
      </c>
    </row>
    <row r="257" spans="3:11" s="4" customFormat="1" ht="15.95" hidden="1" customHeight="1" x14ac:dyDescent="0.25">
      <c r="C257" s="7" t="s">
        <v>231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165</v>
      </c>
      <c r="K257" s="30">
        <v>120</v>
      </c>
    </row>
    <row r="258" spans="3:11" s="4" customFormat="1" ht="15.95" hidden="1" customHeight="1" x14ac:dyDescent="0.25">
      <c r="C258" s="7" t="s">
        <v>232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165</v>
      </c>
      <c r="K258" s="30">
        <v>220</v>
      </c>
    </row>
    <row r="259" spans="3:11" s="4" customFormat="1" ht="15.95" hidden="1" customHeight="1" x14ac:dyDescent="0.25">
      <c r="C259" s="7" t="s">
        <v>225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165</v>
      </c>
      <c r="K259" s="30">
        <v>230</v>
      </c>
    </row>
    <row r="260" spans="3:11" s="4" customFormat="1" ht="15.95" hidden="1" customHeight="1" x14ac:dyDescent="0.25">
      <c r="C260" s="7" t="s">
        <v>227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228</v>
      </c>
      <c r="K260" s="30">
        <v>500</v>
      </c>
    </row>
    <row r="261" spans="3:11" s="4" customFormat="1" ht="15.95" hidden="1" customHeight="1" x14ac:dyDescent="0.25">
      <c r="C261" s="7" t="s">
        <v>229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165</v>
      </c>
      <c r="K261" s="30">
        <v>180</v>
      </c>
    </row>
    <row r="262" spans="3:11" s="4" customFormat="1" ht="15.95" hidden="1" customHeight="1" x14ac:dyDescent="0.25">
      <c r="C262" s="7" t="s">
        <v>223</v>
      </c>
      <c r="D262" s="7"/>
      <c r="E262" s="8">
        <f t="shared" si="14"/>
        <v>0</v>
      </c>
      <c r="F262" s="8"/>
      <c r="G262" s="8"/>
      <c r="H262" s="8"/>
      <c r="I262" s="8">
        <v>0</v>
      </c>
      <c r="J262" s="10" t="s">
        <v>165</v>
      </c>
      <c r="K262" s="30">
        <v>260</v>
      </c>
    </row>
    <row r="263" spans="3:11" s="4" customFormat="1" ht="15.95" hidden="1" customHeight="1" x14ac:dyDescent="0.25">
      <c r="C263" s="7" t="s">
        <v>218</v>
      </c>
      <c r="D263" s="7"/>
      <c r="E263" s="8">
        <f t="shared" si="14"/>
        <v>0</v>
      </c>
      <c r="F263" s="8"/>
      <c r="G263" s="8"/>
      <c r="H263" s="8"/>
      <c r="I263" s="8">
        <v>0</v>
      </c>
      <c r="J263" s="10" t="s">
        <v>165</v>
      </c>
      <c r="K263" s="30">
        <v>6500</v>
      </c>
    </row>
    <row r="264" spans="3:11" s="4" customFormat="1" ht="15.95" hidden="1" customHeight="1" x14ac:dyDescent="0.25">
      <c r="C264" s="7" t="s">
        <v>220</v>
      </c>
      <c r="D264" s="7"/>
      <c r="E264" s="8">
        <f t="shared" si="14"/>
        <v>0</v>
      </c>
      <c r="F264" s="8"/>
      <c r="G264" s="8"/>
      <c r="H264" s="8"/>
      <c r="I264" s="8">
        <v>0</v>
      </c>
      <c r="J264" s="10" t="s">
        <v>165</v>
      </c>
      <c r="K264" s="30">
        <v>8800</v>
      </c>
    </row>
    <row r="265" spans="3:11" s="4" customFormat="1" ht="15.95" hidden="1" customHeight="1" x14ac:dyDescent="0.25">
      <c r="C265" s="7" t="s">
        <v>219</v>
      </c>
      <c r="D265" s="7"/>
      <c r="E265" s="8">
        <f t="shared" ref="E265" si="15">I265*K265</f>
        <v>6300</v>
      </c>
      <c r="F265" s="8">
        <v>1</v>
      </c>
      <c r="G265" s="8">
        <v>3</v>
      </c>
      <c r="H265" s="8" t="s">
        <v>279</v>
      </c>
      <c r="I265" s="8">
        <v>6</v>
      </c>
      <c r="J265" s="10" t="s">
        <v>165</v>
      </c>
      <c r="K265" s="30">
        <v>1050</v>
      </c>
    </row>
    <row r="266" spans="3:11" s="4" customFormat="1" ht="15.95" hidden="1" customHeight="1" x14ac:dyDescent="0.25">
      <c r="C266" s="7" t="s">
        <v>219</v>
      </c>
      <c r="D266" s="7"/>
      <c r="E266" s="8">
        <f t="shared" si="14"/>
        <v>24412.5</v>
      </c>
      <c r="F266" s="8">
        <v>15.5</v>
      </c>
      <c r="G266" s="8">
        <v>1.5</v>
      </c>
      <c r="H266" s="8"/>
      <c r="I266" s="8">
        <v>23.25</v>
      </c>
      <c r="J266" s="10" t="s">
        <v>110</v>
      </c>
      <c r="K266" s="30">
        <v>1050</v>
      </c>
    </row>
    <row r="267" spans="3:11" s="22" customFormat="1" ht="15.95" customHeight="1" x14ac:dyDescent="0.25">
      <c r="C267" s="32" t="s">
        <v>147</v>
      </c>
      <c r="D267" s="33">
        <f>SUM(E268)</f>
        <v>18240</v>
      </c>
      <c r="E267" s="34"/>
      <c r="F267" s="35"/>
      <c r="G267" s="35"/>
      <c r="H267" s="35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K268*I268</f>
        <v>18240</v>
      </c>
      <c r="F268" s="24"/>
      <c r="G268" s="24"/>
      <c r="H268" s="24"/>
      <c r="I268" s="24">
        <v>192</v>
      </c>
      <c r="J268" s="25" t="s">
        <v>289</v>
      </c>
      <c r="K268" s="48">
        <v>95</v>
      </c>
    </row>
    <row r="269" spans="3:11" s="22" customFormat="1" ht="15.95" customHeight="1" x14ac:dyDescent="0.25">
      <c r="C269" s="32" t="s">
        <v>145</v>
      </c>
      <c r="D269" s="33">
        <f>SUM(E270)</f>
        <v>7500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7500</v>
      </c>
      <c r="F270" s="41"/>
      <c r="G270" s="41"/>
      <c r="H270" s="41"/>
      <c r="I270" s="24">
        <v>6</v>
      </c>
      <c r="J270" s="25" t="s">
        <v>148</v>
      </c>
      <c r="K270" s="48">
        <v>1250</v>
      </c>
    </row>
    <row r="271" spans="3:11" s="22" customFormat="1" ht="15.95" customHeight="1" x14ac:dyDescent="0.25">
      <c r="C271" s="32" t="s">
        <v>270</v>
      </c>
      <c r="D271" s="33">
        <f>SUM(E272)</f>
        <v>500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500</v>
      </c>
      <c r="F272" s="41"/>
      <c r="G272" s="41"/>
      <c r="H272" s="41"/>
      <c r="I272" s="24">
        <v>1</v>
      </c>
      <c r="J272" s="25" t="s">
        <v>165</v>
      </c>
      <c r="K272" s="48">
        <v>500</v>
      </c>
    </row>
    <row r="273" spans="3:11" s="22" customFormat="1" ht="15.95" customHeight="1" x14ac:dyDescent="0.25">
      <c r="C273" s="32" t="s">
        <v>146</v>
      </c>
      <c r="D273" s="33">
        <f>SUM(E274)</f>
        <v>9000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/>
      <c r="D274" s="38"/>
      <c r="E274" s="39">
        <f>I274*K274</f>
        <v>9000</v>
      </c>
      <c r="F274" s="41"/>
      <c r="G274" s="41"/>
      <c r="H274" s="41"/>
      <c r="I274" s="24">
        <v>6</v>
      </c>
      <c r="J274" s="25" t="s">
        <v>165</v>
      </c>
      <c r="K274" s="48">
        <v>1500</v>
      </c>
    </row>
    <row r="275" spans="3:11" s="22" customFormat="1" ht="15.95" customHeight="1" x14ac:dyDescent="0.25">
      <c r="C275" s="32" t="s">
        <v>211</v>
      </c>
      <c r="D275" s="33">
        <f>SUM(E276)</f>
        <v>1200</v>
      </c>
      <c r="E275" s="34"/>
      <c r="F275" s="40"/>
      <c r="G275" s="40"/>
      <c r="H275" s="40"/>
      <c r="I275" s="35"/>
      <c r="J275" s="36"/>
      <c r="K275" s="49"/>
    </row>
    <row r="276" spans="3:11" s="22" customFormat="1" ht="15.95" hidden="1" customHeight="1" x14ac:dyDescent="0.25">
      <c r="C276" s="37"/>
      <c r="D276" s="38"/>
      <c r="E276" s="39">
        <f>I276*K276</f>
        <v>1200</v>
      </c>
      <c r="F276" s="41"/>
      <c r="G276" s="41"/>
      <c r="H276" s="41"/>
      <c r="I276" s="24">
        <v>1</v>
      </c>
      <c r="J276" s="25" t="s">
        <v>165</v>
      </c>
      <c r="K276" s="48">
        <v>1200</v>
      </c>
    </row>
    <row r="277" spans="3:11" s="22" customFormat="1" ht="15.95" customHeight="1" x14ac:dyDescent="0.25">
      <c r="C277" s="32" t="s">
        <v>262</v>
      </c>
      <c r="D277" s="33">
        <f>SUM(E278)</f>
        <v>1000</v>
      </c>
      <c r="E277" s="34"/>
      <c r="F277" s="40"/>
      <c r="G277" s="40"/>
      <c r="H277" s="40"/>
      <c r="I277" s="35"/>
      <c r="J277" s="36"/>
      <c r="K277" s="49"/>
    </row>
    <row r="278" spans="3:11" s="22" customFormat="1" ht="15.95" hidden="1" customHeight="1" x14ac:dyDescent="0.25">
      <c r="C278" s="37" t="s">
        <v>290</v>
      </c>
      <c r="D278" s="38"/>
      <c r="E278" s="39">
        <f>I278*K278</f>
        <v>1000</v>
      </c>
      <c r="F278" s="41"/>
      <c r="G278" s="41"/>
      <c r="H278" s="41"/>
      <c r="I278" s="24">
        <v>1</v>
      </c>
      <c r="J278" s="25" t="s">
        <v>165</v>
      </c>
      <c r="K278" s="48">
        <v>1000</v>
      </c>
    </row>
    <row r="279" spans="3:11" ht="15.95" customHeight="1" thickBot="1" x14ac:dyDescent="0.3">
      <c r="C279" s="18" t="s">
        <v>57</v>
      </c>
      <c r="D279" s="14">
        <f>SUM(D2:D278)</f>
        <v>105934.815</v>
      </c>
      <c r="E279" s="15"/>
      <c r="F279" s="53"/>
      <c r="G279" s="53"/>
      <c r="H279" s="53"/>
      <c r="I279" s="53"/>
      <c r="J279" s="53"/>
      <c r="K279" s="53"/>
    </row>
    <row r="280" spans="3:11" ht="15.95" customHeight="1" thickTop="1" x14ac:dyDescent="0.25"/>
  </sheetData>
  <autoFilter ref="C1:K279" xr:uid="{00000000-0009-0000-0000-000000000000}">
    <filterColumn colId="1">
      <customFilters>
        <customFilter operator="notEqual" val=" "/>
      </customFilters>
    </filterColumn>
  </autoFilter>
  <mergeCells count="1">
    <mergeCell ref="F279:K279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2026-04-22T13:26:49Z</dcterms:modified>
</cp:coreProperties>
</file>