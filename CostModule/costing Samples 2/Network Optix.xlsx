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Network Optix @ Embedded World 2026\"/>
    </mc:Choice>
  </mc:AlternateContent>
  <xr:revisionPtr revIDLastSave="0" documentId="13_ncr:1_{FB5C944E-ED7E-4513-810E-1BCCD4783F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6" i="1" l="1"/>
  <c r="E113" i="1"/>
  <c r="E112" i="1"/>
  <c r="E26" i="1"/>
  <c r="E137" i="1" l="1"/>
  <c r="E271" i="1" l="1"/>
  <c r="D270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9" i="1" l="1"/>
  <c r="D88" i="1" s="1"/>
  <c r="E15" i="1" l="1"/>
  <c r="E84" i="1" l="1"/>
  <c r="E85" i="1"/>
  <c r="E86" i="1"/>
  <c r="E211" i="1" l="1"/>
  <c r="E134" i="1"/>
  <c r="E168" i="1"/>
  <c r="D167" i="1" s="1"/>
  <c r="D210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4" i="1" l="1"/>
  <c r="E145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3" i="1"/>
  <c r="D222" i="1" s="1"/>
  <c r="D16" i="1" l="1"/>
  <c r="D153" i="1"/>
  <c r="D133" i="1"/>
  <c r="D144" i="1"/>
  <c r="D109" i="1"/>
  <c r="D272" i="1" l="1"/>
</calcChain>
</file>

<file path=xl/sharedStrings.xml><?xml version="1.0" encoding="utf-8"?>
<sst xmlns="http://schemas.openxmlformats.org/spreadsheetml/2006/main" count="585" uniqueCount="283">
  <si>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</si>
  <si>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</si>
  <si>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</si>
  <si>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</si>
  <si>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</si>
  <si>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</si>
  <si>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</si>
  <si>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</si>
  <si>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</si>
  <si>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</si>
  <si>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</si>
  <si>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</si>
  <si>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</si>
  <si>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</si>
  <si>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</si>
  <si>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</si>
  <si>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</si>
  <si>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</si>
  <si>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</si>
  <si>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</si>
  <si>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</si>
  <si>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</si>
  <si>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</si>
  <si>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</si>
  <si>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</si>
  <si>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</si>
  <si>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</si>
  <si>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</si>
  <si>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</si>
  <si>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</si>
  <si>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</si>
  <si>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</si>
  <si>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</si>
  <si>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</si>
  <si>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</si>
  <si>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</si>
  <si>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</si>
  <si>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</si>
  <si>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</si>
  <si>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</si>
  <si>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</si>
  <si>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</si>
  <si>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</si>
  <si>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</si>
  <si>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</si>
  <si>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</si>
  <si>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</si>
  <si>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</si>
  <si>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</si>
  <si>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</si>
  <si>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</si>
  <si>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</si>
  <si>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</si>
  <si>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</si>
  <si>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</si>
  <si>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</si>
  <si>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</si>
  <si>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</si>
  <si>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</si>
  <si>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</si>
  <si>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</si>
  <si>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</si>
  <si>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</si>
  <si>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</si>
  <si>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</si>
  <si>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</si>
  <si>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</si>
  <si>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</si>
  <si>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</si>
  <si>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</si>
  <si>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</si>
  <si>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</si>
  <si>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</si>
  <si>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</si>
  <si>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</si>
  <si>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</si>
  <si>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</si>
  <si>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</si>
  <si>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</si>
  <si>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</si>
  <si>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</si>
  <si>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</si>
  <si>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</si>
  <si>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</si>
  <si>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</si>
  <si>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</si>
  <si>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</si>
  <si>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</si>
  <si>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</si>
  <si>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</si>
  <si>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</si>
  <si>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</si>
  <si>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</si>
  <si>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</si>
  <si>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</si>
  <si>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</si>
  <si>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</si>
  <si>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</si>
  <si>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</si>
  <si>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</si>
  <si>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</si>
  <si>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</si>
  <si>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</si>
  <si>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</si>
  <si>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</si>
  <si>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</si>
  <si>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</si>
  <si>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</si>
  <si>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</si>
  <si>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</si>
  <si>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</si>
  <si>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</si>
  <si>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</si>
  <si>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</si>
  <si>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</si>
  <si>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</si>
  <si>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</si>
  <si>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</si>
  <si>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</si>
  <si>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</si>
  <si>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</si>
  <si>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</si>
  <si>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</si>
  <si>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</si>
  <si>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</si>
  <si>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</si>
  <si>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</si>
  <si>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</si>
  <si>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</si>
  <si>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</si>
  <si>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</si>
  <si>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</si>
  <si>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</si>
  <si>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</si>
  <si>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</si>
  <si>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</si>
  <si>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</si>
  <si>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</si>
  <si>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</si>
  <si>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</si>
  <si>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</si>
  <si>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</si>
  <si>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</si>
  <si>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</si>
  <si>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</si>
  <si>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</si>
  <si>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</si>
  <si>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</si>
  <si>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</si>
  <si>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</si>
  <si>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</si>
  <si>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</si>
  <si>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</si>
  <si>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</si>
  <si>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</si>
  <si>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</si>
  <si>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</si>
  <si>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</si>
  <si>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</si>
  <si>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</si>
  <si>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</si>
  <si>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</si>
  <si>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</si>
  <si>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</si>
  <si>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</si>
  <si>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</si>
  <si>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</si>
  <si>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</si>
  <si>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</si>
  <si>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</si>
  <si>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</si>
  <si>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</si>
  <si>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</si>
  <si>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</si>
  <si>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</si>
  <si>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</si>
  <si>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</si>
  <si>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</si>
  <si>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</si>
  <si>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</si>
  <si>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</si>
  <si>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</si>
  <si>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</si>
  <si>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</si>
  <si>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</si>
  <si>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</si>
  <si>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</si>
  <si>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</si>
  <si>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</si>
  <si>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</si>
  <si>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</si>
  <si>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</si>
  <si>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</si>
  <si>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</si>
  <si>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</si>
  <si>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</si>
  <si>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</si>
  <si>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</si>
  <si>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</si>
  <si>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</si>
  <si>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</si>
  <si>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</si>
  <si>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</si>
  <si>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</si>
  <si>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</si>
  <si>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</si>
  <si>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</si>
  <si>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</si>
  <si>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</si>
  <si>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</si>
  <si>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</si>
  <si>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</si>
  <si>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</si>
  <si>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</si>
  <si>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</si>
  <si>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</si>
  <si>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</si>
  <si>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</si>
  <si>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</si>
  <si>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</si>
  <si>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</si>
  <si>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</si>
  <si>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</si>
  <si>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</si>
  <si>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</si>
  <si>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</si>
  <si>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</si>
  <si>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</si>
  <si>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</si>
  <si>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</si>
  <si>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</si>
  <si>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</si>
  <si>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</si>
  <si>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</si>
  <si>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</si>
  <si>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</si>
  <si>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</si>
  <si>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</si>
  <si>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</si>
  <si>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</si>
  <si>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</si>
  <si>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</si>
  <si>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</si>
  <si>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</si>
  <si>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</si>
  <si>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</si>
  <si>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</si>
  <si>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</si>
  <si>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</si>
  <si>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</si>
  <si>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</si>
  <si>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</si>
  <si>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</si>
  <si>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</si>
  <si>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</si>
  <si>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</si>
  <si>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</si>
  <si>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</si>
  <si>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</si>
  <si>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</si>
  <si>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</si>
  <si>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</si>
  <si>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</si>
  <si>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</si>
  <si>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</si>
  <si>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</si>
  <si>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</si>
  <si>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</si>
  <si>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</si>
  <si>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</si>
  <si>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</si>
  <si>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</si>
  <si>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Bar Counter (Laminated)- 2.1 x 0.5 x 1.0</t>
  </si>
  <si>
    <t>Podium (Laminated)- 1.2 x 0.5 x 1.0</t>
  </si>
  <si>
    <t>Opt Nr:-  1</t>
  </si>
  <si>
    <t>Date:- 24-12-2025</t>
  </si>
  <si>
    <t>Network Optix (EVOS)</t>
  </si>
  <si>
    <t>Embedded World 2026</t>
  </si>
  <si>
    <t>9M X 4M</t>
  </si>
  <si>
    <t>36 SQM</t>
  </si>
  <si>
    <t>4M</t>
  </si>
  <si>
    <t>March 10–12, 2026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</si>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</sst>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1047750</xdr:colOff>
      <xdr:row>267</xdr:row>
      <xdr:rowOff>147895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1281F-079B-4158-8D27-F4B5E1048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548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62" sqref="D26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1028.32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543.02</v>
      </c>
      <c r="F5" s="8"/>
      <c r="G5" s="8"/>
      <c r="H5" s="8"/>
      <c r="I5" s="9">
        <v>38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380</v>
      </c>
      <c r="F7" s="8"/>
      <c r="G7" s="8"/>
      <c r="H7" s="8"/>
      <c r="I7" s="9">
        <v>38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105.3</v>
      </c>
      <c r="F9" s="8"/>
      <c r="G9" s="8"/>
      <c r="H9" s="8"/>
      <c r="I9" s="9">
        <v>26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SUM(E17:E87)</f>
        <v>2233.5999999999995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700</v>
      </c>
      <c r="F18" s="8">
        <v>1</v>
      </c>
      <c r="G18" s="8">
        <v>0.1</v>
      </c>
      <c r="H18" s="8">
        <v>2.5</v>
      </c>
      <c r="I18" s="9">
        <v>10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ref="E26" si="2">I26*K26</f>
        <v>557.67999999999995</v>
      </c>
      <c r="F26" s="8">
        <v>1</v>
      </c>
      <c r="G26" s="8">
        <v>0.1</v>
      </c>
      <c r="H26" s="8">
        <v>3</v>
      </c>
      <c r="I26" s="9">
        <v>8</v>
      </c>
      <c r="J26" s="10" t="s">
        <v>154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278.83999999999997</v>
      </c>
      <c r="F27" s="8">
        <v>1</v>
      </c>
      <c r="G27" s="8">
        <v>0.1</v>
      </c>
      <c r="H27" s="8">
        <v>3</v>
      </c>
      <c r="I27" s="9">
        <v>4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304.58</v>
      </c>
      <c r="F77" s="8">
        <v>1</v>
      </c>
      <c r="G77" s="8">
        <v>0.2</v>
      </c>
      <c r="H77" s="8">
        <v>6</v>
      </c>
      <c r="I77" s="9">
        <v>2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392.5</v>
      </c>
      <c r="F81" s="24">
        <v>1</v>
      </c>
      <c r="G81" s="24"/>
      <c r="H81" s="24">
        <v>1</v>
      </c>
      <c r="I81" s="44">
        <v>25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281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278</v>
      </c>
      <c r="C109" s="26" t="s">
        <v>196</v>
      </c>
      <c r="D109" s="27">
        <f>SUM(E110:E132)</f>
        <v>1047.6299999999999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285.70999999999998</v>
      </c>
      <c r="F113" s="8">
        <v>2.1</v>
      </c>
      <c r="G113" s="8">
        <v>0.5</v>
      </c>
      <c r="H113" s="8">
        <v>1</v>
      </c>
      <c r="I113" s="8">
        <v>1</v>
      </c>
      <c r="J113" s="10" t="s">
        <v>166</v>
      </c>
      <c r="K113" s="30">
        <v>285.70999999999998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761.92</v>
      </c>
      <c r="F114" s="8">
        <v>1.2</v>
      </c>
      <c r="G114" s="8">
        <v>0.5</v>
      </c>
      <c r="H114" s="8">
        <v>1</v>
      </c>
      <c r="I114" s="8">
        <v>4</v>
      </c>
      <c r="J114" s="10" t="s">
        <v>166</v>
      </c>
      <c r="K114" s="30">
        <v>190.48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279</v>
      </c>
      <c r="C133" s="26" t="s">
        <v>204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280</v>
      </c>
      <c r="C144" s="26" t="s">
        <v>205</v>
      </c>
      <c r="D144" s="27">
        <f>SUM(E145:E152)</f>
        <v>573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2" si="9">I145*K145</f>
        <v>400</v>
      </c>
      <c r="F145" s="8">
        <v>1</v>
      </c>
      <c r="G145" s="8">
        <v>0.2</v>
      </c>
      <c r="H145" s="8">
        <v>0.2</v>
      </c>
      <c r="I145" s="8">
        <v>4</v>
      </c>
      <c r="J145" s="10" t="s">
        <v>166</v>
      </c>
      <c r="K145" s="30">
        <v>100</v>
      </c>
    </row>
    <row r="146" spans="2:11" s="4" customFormat="1" ht="15.95" hidden="1" customHeight="1" x14ac:dyDescent="0.25">
      <c r="C146" s="7" t="s">
        <v>268</v>
      </c>
      <c r="D146" s="7"/>
      <c r="E146" s="8">
        <f t="shared" ref="E146" si="10">I146*K146</f>
        <v>100</v>
      </c>
      <c r="F146" s="8">
        <v>0.5</v>
      </c>
      <c r="G146" s="8">
        <v>0.5</v>
      </c>
      <c r="H146" s="8">
        <v>1</v>
      </c>
      <c r="I146" s="8">
        <v>1</v>
      </c>
      <c r="J146" s="10" t="s">
        <v>166</v>
      </c>
      <c r="K146" s="30">
        <v>100</v>
      </c>
    </row>
    <row r="147" spans="2:11" s="4" customFormat="1" ht="15.95" hidden="1" customHeight="1" x14ac:dyDescent="0.25">
      <c r="C147" s="7" t="s">
        <v>86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2:11" s="4" customFormat="1" ht="15.95" hidden="1" customHeight="1" x14ac:dyDescent="0.25">
      <c r="C148" s="7" t="s">
        <v>180</v>
      </c>
      <c r="D148" s="7"/>
      <c r="E148" s="8">
        <f t="shared" si="9"/>
        <v>48</v>
      </c>
      <c r="F148" s="8">
        <v>0</v>
      </c>
      <c r="G148" s="8">
        <v>0</v>
      </c>
      <c r="H148" s="8">
        <v>0</v>
      </c>
      <c r="I148" s="8">
        <v>16</v>
      </c>
      <c r="J148" s="10" t="s">
        <v>166</v>
      </c>
      <c r="K148" s="30">
        <v>3</v>
      </c>
    </row>
    <row r="149" spans="2:11" s="4" customFormat="1" ht="15.95" hidden="1" customHeight="1" x14ac:dyDescent="0.25">
      <c r="C149" s="7" t="s">
        <v>53</v>
      </c>
      <c r="D149" s="7"/>
      <c r="E149" s="8">
        <f t="shared" si="9"/>
        <v>25</v>
      </c>
      <c r="F149" s="8">
        <v>0</v>
      </c>
      <c r="G149" s="8">
        <v>0</v>
      </c>
      <c r="H149" s="8">
        <v>0</v>
      </c>
      <c r="I149" s="8">
        <v>1</v>
      </c>
      <c r="J149" s="10" t="s">
        <v>166</v>
      </c>
      <c r="K149" s="30">
        <v>25</v>
      </c>
    </row>
    <row r="150" spans="2:11" s="4" customFormat="1" ht="15.95" hidden="1" customHeight="1" x14ac:dyDescent="0.25">
      <c r="B150" s="29" t="s">
        <v>249</v>
      </c>
      <c r="C150" s="7" t="s">
        <v>72</v>
      </c>
      <c r="D150" s="7"/>
      <c r="E150" s="8">
        <f t="shared" si="9"/>
        <v>0</v>
      </c>
      <c r="F150" s="8">
        <v>0.5</v>
      </c>
      <c r="G150" s="8">
        <v>0.5</v>
      </c>
      <c r="H150" s="8"/>
      <c r="I150" s="8">
        <v>0</v>
      </c>
      <c r="J150" s="10" t="s">
        <v>111</v>
      </c>
      <c r="K150" s="30">
        <v>25</v>
      </c>
    </row>
    <row r="151" spans="2:11" s="4" customFormat="1" ht="15.95" hidden="1" customHeight="1" x14ac:dyDescent="0.25">
      <c r="C151" s="7" t="s">
        <v>91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25</v>
      </c>
    </row>
    <row r="152" spans="2:11" s="4" customFormat="1" ht="15.95" hidden="1" customHeight="1" x14ac:dyDescent="0.25">
      <c r="C152" s="7" t="s">
        <v>248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166</v>
      </c>
      <c r="K152" s="30">
        <v>20</v>
      </c>
    </row>
    <row r="153" spans="2:11" s="4" customFormat="1" ht="15.95" customHeight="1" x14ac:dyDescent="0.25">
      <c r="C153" s="26" t="s">
        <v>132</v>
      </c>
      <c r="D153" s="27">
        <f>SUM(E154:E166)</f>
        <v>866.38</v>
      </c>
      <c r="E153" s="51"/>
      <c r="F153" s="27"/>
      <c r="G153" s="27"/>
      <c r="H153" s="27"/>
      <c r="I153" s="27"/>
      <c r="J153" s="28"/>
      <c r="K153" s="47"/>
    </row>
    <row r="154" spans="2:11" s="4" customFormat="1" ht="15.95" hidden="1" customHeight="1" x14ac:dyDescent="0.25">
      <c r="B154" s="29" t="s">
        <v>249</v>
      </c>
      <c r="C154" s="7" t="s">
        <v>19</v>
      </c>
      <c r="D154" s="7"/>
      <c r="E154" s="8">
        <f t="shared" ref="E154:E166" si="11">I154*K154</f>
        <v>71.400000000000006</v>
      </c>
      <c r="F154" s="8"/>
      <c r="G154" s="8"/>
      <c r="H154" s="8"/>
      <c r="I154" s="8">
        <v>6</v>
      </c>
      <c r="J154" s="10" t="s">
        <v>166</v>
      </c>
      <c r="K154" s="30">
        <v>11.9</v>
      </c>
    </row>
    <row r="155" spans="2:11" s="4" customFormat="1" ht="15.95" hidden="1" customHeight="1" x14ac:dyDescent="0.25">
      <c r="B155" s="29" t="s">
        <v>249</v>
      </c>
      <c r="C155" s="7" t="s">
        <v>62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50</v>
      </c>
    </row>
    <row r="156" spans="2:11" s="4" customFormat="1" ht="15.95" hidden="1" customHeight="1" x14ac:dyDescent="0.25">
      <c r="B156" s="29" t="s">
        <v>249</v>
      </c>
      <c r="C156" s="7" t="s">
        <v>63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65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23.81</v>
      </c>
    </row>
    <row r="158" spans="2:11" s="4" customFormat="1" ht="15.95" hidden="1" customHeight="1" x14ac:dyDescent="0.25">
      <c r="C158" s="7" t="s">
        <v>83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14.29</v>
      </c>
    </row>
    <row r="159" spans="2:11" s="4" customFormat="1" ht="15.95" hidden="1" customHeight="1" x14ac:dyDescent="0.25">
      <c r="B159" s="29" t="s">
        <v>249</v>
      </c>
      <c r="C159" s="7" t="s">
        <v>64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B160" s="29" t="s">
        <v>249</v>
      </c>
      <c r="C160" s="7" t="s">
        <v>18</v>
      </c>
      <c r="D160" s="7"/>
      <c r="E160" s="8">
        <f t="shared" si="11"/>
        <v>180</v>
      </c>
      <c r="F160" s="8"/>
      <c r="G160" s="8"/>
      <c r="H160" s="8"/>
      <c r="I160" s="8">
        <v>18</v>
      </c>
      <c r="J160" s="10" t="s">
        <v>166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11"/>
        <v>60</v>
      </c>
      <c r="F161" s="12"/>
      <c r="G161" s="12"/>
      <c r="H161" s="12"/>
      <c r="I161" s="8">
        <v>12</v>
      </c>
      <c r="J161" s="10" t="s">
        <v>166</v>
      </c>
      <c r="K161" s="30">
        <v>5</v>
      </c>
    </row>
    <row r="162" spans="2:11" s="4" customFormat="1" ht="15.95" hidden="1" customHeight="1" x14ac:dyDescent="0.25">
      <c r="B162" s="29" t="s">
        <v>249</v>
      </c>
      <c r="C162" s="7" t="s">
        <v>17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166</v>
      </c>
      <c r="K164" s="30">
        <v>2.38</v>
      </c>
    </row>
    <row r="165" spans="2:11" ht="15.95" hidden="1" customHeight="1" x14ac:dyDescent="0.25">
      <c r="C165" s="7" t="s">
        <v>188</v>
      </c>
      <c r="D165" s="7"/>
      <c r="E165" s="8">
        <f t="shared" si="11"/>
        <v>364.5</v>
      </c>
      <c r="F165" s="8"/>
      <c r="G165" s="8"/>
      <c r="H165" s="8"/>
      <c r="I165" s="8">
        <v>90</v>
      </c>
      <c r="J165" s="10" t="s">
        <v>150</v>
      </c>
      <c r="K165" s="30">
        <v>4.05</v>
      </c>
    </row>
    <row r="166" spans="2:11" s="4" customFormat="1" ht="15.95" hidden="1" customHeight="1" x14ac:dyDescent="0.25">
      <c r="C166" s="7" t="s">
        <v>158</v>
      </c>
      <c r="D166" s="7"/>
      <c r="E166" s="8">
        <f t="shared" si="11"/>
        <v>190.48</v>
      </c>
      <c r="F166" s="8"/>
      <c r="G166" s="8"/>
      <c r="H166" s="8"/>
      <c r="I166" s="8">
        <v>1</v>
      </c>
      <c r="J166" s="10" t="s">
        <v>166</v>
      </c>
      <c r="K166" s="30">
        <v>190.48</v>
      </c>
    </row>
    <row r="167" spans="2:11" s="4" customFormat="1" ht="15.95" customHeight="1" x14ac:dyDescent="0.25">
      <c r="C167" s="26" t="s">
        <v>206</v>
      </c>
      <c r="D167" s="27">
        <f>SUM(E168:E209)</f>
        <v>317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2">I168*K168</f>
        <v>150</v>
      </c>
      <c r="F168" s="12"/>
      <c r="G168" s="12"/>
      <c r="H168" s="12"/>
      <c r="I168" s="8">
        <v>10</v>
      </c>
      <c r="J168" s="10" t="s">
        <v>166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2"/>
        <v>0</v>
      </c>
      <c r="F169" s="12"/>
      <c r="G169" s="12"/>
      <c r="H169" s="12"/>
      <c r="I169" s="8">
        <v>0</v>
      </c>
      <c r="J169" s="10" t="s">
        <v>166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166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2"/>
        <v>30</v>
      </c>
      <c r="F171" s="12"/>
      <c r="G171" s="12"/>
      <c r="H171" s="12"/>
      <c r="I171" s="8">
        <v>2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81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179</v>
      </c>
      <c r="D173" s="7"/>
      <c r="E173" s="8">
        <f t="shared" si="12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166</v>
      </c>
      <c r="K173" s="30">
        <v>385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2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130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2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2"/>
        <v>24</v>
      </c>
      <c r="F180" s="12"/>
      <c r="G180" s="12"/>
      <c r="H180" s="12"/>
      <c r="I180" s="8">
        <v>3</v>
      </c>
      <c r="J180" s="10" t="s">
        <v>166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15</v>
      </c>
    </row>
    <row r="182" spans="3:11" s="4" customFormat="1" ht="15.95" hidden="1" customHeight="1" x14ac:dyDescent="0.25">
      <c r="C182" s="7" t="s">
        <v>190</v>
      </c>
      <c r="D182" s="7"/>
      <c r="E182" s="8">
        <f t="shared" si="12"/>
        <v>70</v>
      </c>
      <c r="F182" s="12"/>
      <c r="G182" s="12"/>
      <c r="H182" s="12"/>
      <c r="I182" s="8">
        <v>2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166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2"/>
        <v>35</v>
      </c>
      <c r="F184" s="12"/>
      <c r="G184" s="12"/>
      <c r="H184" s="12"/>
      <c r="I184" s="8">
        <v>1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25</v>
      </c>
    </row>
    <row r="186" spans="3:11" s="4" customFormat="1" ht="15.95" hidden="1" customHeight="1" x14ac:dyDescent="0.25">
      <c r="C186" s="7" t="s">
        <v>135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150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2"/>
        <v>0</v>
      </c>
      <c r="F190" s="8"/>
      <c r="G190" s="8"/>
      <c r="H190" s="8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159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166</v>
      </c>
      <c r="K192" s="30">
        <v>600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85</v>
      </c>
    </row>
    <row r="194" spans="2:11" s="4" customFormat="1" ht="15.95" hidden="1" customHeight="1" x14ac:dyDescent="0.25">
      <c r="C194" s="7" t="s">
        <v>257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166</v>
      </c>
      <c r="K194" s="30">
        <v>210</v>
      </c>
    </row>
    <row r="195" spans="2:11" s="4" customFormat="1" ht="15.95" hidden="1" customHeight="1" x14ac:dyDescent="0.25">
      <c r="C195" s="7" t="s">
        <v>87</v>
      </c>
      <c r="D195" s="7"/>
      <c r="E195" s="8">
        <f t="shared" si="12"/>
        <v>8</v>
      </c>
      <c r="F195" s="8"/>
      <c r="G195" s="8"/>
      <c r="H195" s="8"/>
      <c r="I195" s="8">
        <v>1</v>
      </c>
      <c r="J195" s="10" t="s">
        <v>166</v>
      </c>
      <c r="K195" s="30">
        <v>8</v>
      </c>
    </row>
    <row r="196" spans="2:11" s="4" customFormat="1" ht="15.95" hidden="1" customHeight="1" x14ac:dyDescent="0.25">
      <c r="C196" s="7" t="s">
        <v>73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84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B198" s="29" t="s">
        <v>249</v>
      </c>
      <c r="C198" s="7" t="s">
        <v>85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25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85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5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12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25</v>
      </c>
    </row>
    <row r="204" spans="2:11" s="4" customFormat="1" ht="15.95" hidden="1" customHeight="1" x14ac:dyDescent="0.25">
      <c r="C204" s="7" t="s">
        <v>94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20</v>
      </c>
    </row>
    <row r="205" spans="2:11" s="4" customFormat="1" ht="15.95" hidden="1" customHeight="1" x14ac:dyDescent="0.25">
      <c r="C205" s="7" t="s">
        <v>121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6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35</v>
      </c>
    </row>
    <row r="208" spans="2:11" s="4" customFormat="1" ht="15.95" hidden="1" customHeight="1" x14ac:dyDescent="0.25">
      <c r="C208" s="7" t="s">
        <v>247</v>
      </c>
      <c r="D208" s="7"/>
      <c r="E208" s="8">
        <f t="shared" si="12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166</v>
      </c>
      <c r="K209" s="30">
        <v>85</v>
      </c>
    </row>
    <row r="210" spans="3:11" s="4" customFormat="1" ht="15.95" customHeight="1" x14ac:dyDescent="0.25">
      <c r="C210" s="26" t="s">
        <v>183</v>
      </c>
      <c r="D210" s="27">
        <f>SUM(E211:E221)</f>
        <v>1189.46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244</v>
      </c>
      <c r="D211" s="7"/>
      <c r="E211" s="8">
        <f t="shared" ref="E211:E221" si="13">I211*K211</f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10.71</v>
      </c>
    </row>
    <row r="212" spans="3:11" s="4" customFormat="1" ht="15.95" hidden="1" customHeight="1" x14ac:dyDescent="0.25">
      <c r="C212" s="7" t="s">
        <v>243</v>
      </c>
      <c r="D212" s="7"/>
      <c r="E212" s="8">
        <f t="shared" si="13"/>
        <v>665.64</v>
      </c>
      <c r="F212" s="8">
        <v>1</v>
      </c>
      <c r="G212" s="8">
        <v>1</v>
      </c>
      <c r="H212" s="12"/>
      <c r="I212" s="8">
        <v>43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3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191</v>
      </c>
      <c r="D214" s="7"/>
      <c r="E214" s="8">
        <f t="shared" si="13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13.1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3"/>
        <v>523.81999999999994</v>
      </c>
      <c r="F215" s="8">
        <v>1</v>
      </c>
      <c r="G215" s="8">
        <v>1</v>
      </c>
      <c r="H215" s="12"/>
      <c r="I215" s="8">
        <v>5.5</v>
      </c>
      <c r="J215" s="10" t="s">
        <v>111</v>
      </c>
      <c r="K215" s="30">
        <v>95.24</v>
      </c>
    </row>
    <row r="216" spans="3:11" s="4" customFormat="1" ht="15.95" hidden="1" customHeight="1" x14ac:dyDescent="0.25">
      <c r="C216" s="7" t="s">
        <v>259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35.71</v>
      </c>
    </row>
    <row r="218" spans="3:11" s="4" customFormat="1" ht="15.95" hidden="1" customHeight="1" x14ac:dyDescent="0.25">
      <c r="C218" s="7" t="s">
        <v>122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13.1</v>
      </c>
    </row>
    <row r="220" spans="3:11" s="4" customFormat="1" ht="15.95" hidden="1" customHeight="1" x14ac:dyDescent="0.25">
      <c r="C220" s="7" t="s">
        <v>245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10.71</v>
      </c>
    </row>
    <row r="222" spans="3:11" s="4" customFormat="1" ht="15.95" customHeight="1" x14ac:dyDescent="0.25">
      <c r="C222" s="26" t="s">
        <v>182</v>
      </c>
      <c r="D222" s="27">
        <f>SUM(E223:E261)</f>
        <v>2700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4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166</v>
      </c>
      <c r="K223" s="30">
        <v>320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210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110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310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10</v>
      </c>
    </row>
    <row r="231" spans="3:11" s="4" customFormat="1" ht="15.95" hidden="1" customHeight="1" x14ac:dyDescent="0.25">
      <c r="C231" s="7" t="s">
        <v>222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166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181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4"/>
        <v>1000</v>
      </c>
      <c r="F236" s="8"/>
      <c r="G236" s="8"/>
      <c r="H236" s="8"/>
      <c r="I236" s="8">
        <v>4</v>
      </c>
      <c r="J236" s="10" t="s">
        <v>166</v>
      </c>
      <c r="K236" s="30">
        <v>250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390</v>
      </c>
    </row>
    <row r="238" spans="3:11" s="4" customFormat="1" ht="15.95" hidden="1" customHeight="1" x14ac:dyDescent="0.25">
      <c r="C238" s="7" t="s">
        <v>236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460</v>
      </c>
    </row>
    <row r="239" spans="3:11" s="4" customFormat="1" ht="15.95" hidden="1" customHeight="1" x14ac:dyDescent="0.25">
      <c r="C239" s="7" t="s">
        <v>211</v>
      </c>
      <c r="D239" s="7"/>
      <c r="E239" s="8">
        <f t="shared" si="14"/>
        <v>1700</v>
      </c>
      <c r="F239" s="8"/>
      <c r="G239" s="8"/>
      <c r="H239" s="8"/>
      <c r="I239" s="8">
        <v>2</v>
      </c>
      <c r="J239" s="10" t="s">
        <v>166</v>
      </c>
      <c r="K239" s="30">
        <v>850</v>
      </c>
    </row>
    <row r="240" spans="3:11" s="4" customFormat="1" ht="15.95" hidden="1" customHeight="1" x14ac:dyDescent="0.25">
      <c r="C240" s="7" t="s">
        <v>187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1400</v>
      </c>
    </row>
    <row r="241" spans="3:11" s="4" customFormat="1" ht="15.95" hidden="1" customHeight="1" x14ac:dyDescent="0.25">
      <c r="C241" s="7" t="s">
        <v>238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360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550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580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680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750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340</v>
      </c>
    </row>
    <row r="247" spans="3:11" s="4" customFormat="1" ht="15.95" hidden="1" customHeight="1" x14ac:dyDescent="0.25">
      <c r="C247" s="7" t="s">
        <v>240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160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227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400</v>
      </c>
    </row>
    <row r="251" spans="3:11" s="4" customFormat="1" ht="15.95" hidden="1" customHeight="1" x14ac:dyDescent="0.25">
      <c r="C251" s="7" t="s">
        <v>225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260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180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120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220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230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229</v>
      </c>
      <c r="K256" s="30">
        <v>500</v>
      </c>
    </row>
    <row r="257" spans="3:11" s="4" customFormat="1" ht="15.95" hidden="1" customHeight="1" x14ac:dyDescent="0.25">
      <c r="C257" s="7" t="s">
        <v>230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260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6500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8800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166</v>
      </c>
      <c r="K261" s="30">
        <v>1050</v>
      </c>
    </row>
    <row r="262" spans="3:11" s="22" customFormat="1" ht="15.95" customHeight="1" x14ac:dyDescent="0.25">
      <c r="C262" s="32" t="s">
        <v>148</v>
      </c>
      <c r="D262" s="33">
        <f>SUM(E263)</f>
        <v>8500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8500</v>
      </c>
      <c r="F263" s="24"/>
      <c r="G263" s="24"/>
      <c r="H263" s="24"/>
      <c r="I263" s="24">
        <v>1</v>
      </c>
      <c r="J263" s="25" t="s">
        <v>166</v>
      </c>
      <c r="K263" s="48">
        <v>8500</v>
      </c>
    </row>
    <row r="264" spans="3:11" s="22" customFormat="1" ht="15.95" customHeight="1" x14ac:dyDescent="0.25">
      <c r="C264" s="32" t="s">
        <v>146</v>
      </c>
      <c r="D264" s="33">
        <f>SUM(E265)</f>
        <v>2500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2500</v>
      </c>
      <c r="F265" s="41"/>
      <c r="G265" s="41"/>
      <c r="H265" s="41"/>
      <c r="I265" s="24">
        <v>2</v>
      </c>
      <c r="J265" s="25" t="s">
        <v>149</v>
      </c>
      <c r="K265" s="48">
        <v>1250</v>
      </c>
    </row>
    <row r="266" spans="3:11" s="22" customFormat="1" ht="15.95" customHeight="1" x14ac:dyDescent="0.25">
      <c r="C266" s="32" t="s">
        <v>147</v>
      </c>
      <c r="D266" s="33">
        <f>SUM(E267)</f>
        <v>3000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3000</v>
      </c>
      <c r="F267" s="41"/>
      <c r="G267" s="41"/>
      <c r="H267" s="41"/>
      <c r="I267" s="24">
        <v>2</v>
      </c>
      <c r="J267" s="25" t="s">
        <v>166</v>
      </c>
      <c r="K267" s="48">
        <v>1500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264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263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166</v>
      </c>
      <c r="K271" s="48">
        <v>0</v>
      </c>
    </row>
    <row r="272" spans="3:11" ht="15.95" customHeight="1" thickBot="1" x14ac:dyDescent="0.3">
      <c r="C272" s="18" t="s">
        <v>57</v>
      </c>
      <c r="D272" s="14">
        <f>SUM(D2:D271)</f>
        <v>25190.39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2025-12-24T11:33:21Z</dcterms:modified>
</cp:coreProperties>
</file>