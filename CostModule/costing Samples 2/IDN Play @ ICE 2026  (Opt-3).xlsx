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DN Play @ ICE 2026\Option- 3\"/>
    </mc:Choice>
  </mc:AlternateContent>
  <xr:revisionPtr revIDLastSave="0" documentId="13_ncr:1_{17C9467F-70B9-4F0F-9075-4E51BC2720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Europe!$C$1:$K$274</definedName>
    <definedName name="_xlnm.Print_Area" localSheetId="0">Europe!$A$1:$H$274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96" i="1"/>
  <c r="E150" i="1"/>
  <c r="E119" i="1"/>
  <c r="E117" i="1"/>
  <c r="E35" i="1"/>
  <c r="E139" i="1" l="1"/>
  <c r="E273" i="1" l="1"/>
  <c r="D272" i="1" s="1"/>
  <c r="E82" i="1" l="1"/>
  <c r="E81" i="1"/>
  <c r="E91" i="1" l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14" i="1"/>
  <c r="E115" i="1"/>
  <c r="E116" i="1"/>
  <c r="E118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8" i="1"/>
  <c r="E149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1" i="1" l="1"/>
  <c r="D270" i="1" s="1"/>
  <c r="E269" i="1"/>
  <c r="D268" i="1" s="1"/>
  <c r="E267" i="1"/>
  <c r="D266" i="1" s="1"/>
  <c r="E265" i="1"/>
  <c r="D264" i="1" s="1"/>
  <c r="E15" i="1" l="1"/>
  <c r="E90" i="1" l="1"/>
  <c r="D89" i="1" s="1"/>
  <c r="E16" i="1" l="1"/>
  <c r="E85" i="1" l="1"/>
  <c r="E86" i="1"/>
  <c r="E87" i="1"/>
  <c r="E213" i="1" l="1"/>
  <c r="E136" i="1"/>
  <c r="E170" i="1"/>
  <c r="D169" i="1" s="1"/>
  <c r="D212" i="1" l="1"/>
  <c r="E88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4" i="1"/>
  <c r="E75" i="1"/>
  <c r="E71" i="1"/>
  <c r="E72" i="1"/>
  <c r="E63" i="1"/>
  <c r="E44" i="1" l="1"/>
  <c r="E45" i="1"/>
  <c r="E39" i="1"/>
  <c r="E40" i="1"/>
  <c r="E41" i="1"/>
  <c r="E32" i="1"/>
  <c r="E33" i="1"/>
  <c r="E28" i="1"/>
  <c r="E84" i="1" l="1"/>
  <c r="E83" i="1"/>
  <c r="E80" i="1"/>
  <c r="E52" i="1"/>
  <c r="E51" i="1"/>
  <c r="E50" i="1"/>
  <c r="E62" i="1" l="1"/>
  <c r="E64" i="1" l="1"/>
  <c r="E61" i="1"/>
  <c r="E46" i="1" l="1"/>
  <c r="E42" i="1"/>
  <c r="E43" i="1"/>
  <c r="E156" i="1" l="1"/>
  <c r="E147" i="1" l="1"/>
  <c r="E69" i="1" l="1"/>
  <c r="E70" i="1"/>
  <c r="E73" i="1"/>
  <c r="E76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6" i="1"/>
  <c r="E37" i="1"/>
  <c r="E38" i="1"/>
  <c r="E47" i="1"/>
  <c r="E48" i="1"/>
  <c r="E49" i="1"/>
  <c r="E53" i="1"/>
  <c r="E54" i="1"/>
  <c r="E55" i="1"/>
  <c r="E56" i="1"/>
  <c r="E57" i="1"/>
  <c r="E58" i="1"/>
  <c r="E59" i="1"/>
  <c r="E60" i="1"/>
  <c r="E65" i="1"/>
  <c r="E66" i="1"/>
  <c r="E67" i="1"/>
  <c r="E68" i="1"/>
  <c r="E77" i="1"/>
  <c r="E78" i="1"/>
  <c r="E79" i="1"/>
  <c r="E112" i="1"/>
  <c r="E225" i="1"/>
  <c r="D224" i="1" s="1"/>
  <c r="D17" i="1" l="1"/>
  <c r="D155" i="1"/>
  <c r="D135" i="1"/>
  <c r="D146" i="1"/>
  <c r="D111" i="1"/>
  <c r="D274" i="1" l="1"/>
</calcChain>
</file>

<file path=xl/sharedStrings.xml><?xml version="1.0" encoding="utf-8"?>
<sst xmlns="http://schemas.openxmlformats.org/spreadsheetml/2006/main" count="590" uniqueCount="287">
  <si>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</si>
  <si>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</si>
  <si>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</si>
  <si>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</si>
  <si>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</si>
  <si>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</si>
  <si>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</si>
  <si>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</si>
  <si>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</si>
  <si>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</si>
  <si>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</si>
  <si>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</si>
  <si>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</si>
  <si>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</si>
  <si>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</si>
  <si>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</si>
  <si>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</si>
  <si>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</si>
  <si>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</si>
  <si>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</si>
  <si>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</si>
  <si>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</si>
  <si>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</si>
  <si>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</si>
  <si>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</si>
  <si>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</si>
  <si>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</si>
  <si>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</si>
  <si>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</si>
  <si>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</si>
  <si>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</si>
  <si>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</si>
  <si>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</si>
  <si>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</si>
  <si>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</si>
  <si>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</si>
  <si>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</si>
  <si>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</si>
  <si>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</si>
  <si>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</si>
  <si>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</si>
  <si>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</si>
  <si>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</si>
  <si>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</si>
  <si>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</si>
  <si>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</si>
  <si>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</si>
  <si>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</si>
  <si>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</si>
  <si>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</si>
  <si>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</si>
  <si>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</si>
  <si>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</si>
  <si>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</si>
  <si>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</si>
  <si>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</si>
  <si>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</si>
  <si>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</si>
  <si>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</si>
  <si>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</si>
  <si>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</si>
  <si>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</si>
  <si>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</si>
  <si>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</si>
  <si>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</si>
  <si>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</si>
  <si>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</si>
  <si>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</si>
  <si>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</si>
  <si>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</si>
  <si>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</si>
  <si>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</si>
  <si>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</si>
  <si>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</si>
  <si>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</si>
  <si>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</si>
  <si>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</si>
  <si>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</si>
  <si>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</si>
  <si>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</si>
  <si>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</si>
  <si>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</si>
  <si>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</si>
  <si>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</si>
  <si>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</si>
  <si>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</si>
  <si>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</si>
  <si>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</si>
  <si>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</si>
  <si>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</si>
  <si>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</si>
  <si>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</si>
  <si>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</si>
  <si>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</si>
  <si>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</si>
  <si>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</si>
  <si>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</si>
  <si>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</si>
  <si>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</si>
  <si>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</si>
  <si>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</si>
  <si>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</si>
  <si>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</si>
  <si>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</si>
  <si>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</si>
  <si>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</si>
  <si>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</si>
  <si>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</si>
  <si>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</si>
  <si>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</si>
  <si>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</si>
  <si>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</si>
  <si>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</si>
  <si>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</si>
  <si>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</si>
  <si>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</si>
  <si>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</si>
  <si>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</si>
  <si>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</si>
  <si>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</si>
  <si>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</si>
  <si>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</si>
  <si>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</si>
  <si>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</si>
  <si>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</si>
  <si>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</si>
  <si>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</si>
  <si>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</si>
  <si>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</si>
  <si>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</si>
  <si>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</si>
  <si>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</si>
  <si>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</si>
  <si>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</si>
  <si>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</si>
  <si>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</si>
  <si>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</si>
  <si>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</si>
  <si>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</si>
  <si>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</si>
  <si>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</si>
  <si>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</si>
  <si>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</si>
  <si>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</si>
  <si>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</si>
  <si>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</si>
  <si>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</si>
  <si>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</si>
  <si>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</si>
  <si>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</si>
  <si>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</si>
  <si>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</si>
  <si>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</si>
  <si>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</si>
  <si>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</si>
  <si>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</si>
  <si>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</si>
  <si>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</si>
  <si>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</si>
  <si>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</si>
  <si>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</si>
  <si>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</si>
  <si>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</si>
  <si>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</si>
  <si>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</si>
  <si>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</si>
  <si>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</si>
  <si>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</si>
  <si>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</si>
  <si>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</si>
  <si>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</si>
  <si>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</si>
  <si>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</si>
  <si>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</si>
  <si>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</si>
  <si>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</si>
  <si>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</si>
  <si>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</si>
  <si>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</si>
  <si>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</si>
  <si>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</si>
  <si>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</si>
  <si>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</si>
  <si>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</si>
  <si>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</si>
  <si>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</si>
  <si>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</si>
  <si>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</si>
  <si>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</si>
  <si>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</si>
  <si>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</si>
  <si>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</si>
  <si>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</si>
  <si>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</si>
  <si>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</si>
  <si>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</si>
  <si>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</si>
  <si>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</si>
  <si>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</si>
  <si>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</si>
  <si>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</si>
  <si>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</si>
  <si>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</si>
  <si>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</si>
  <si>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</si>
  <si>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</si>
  <si>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</si>
  <si>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</si>
  <si>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</si>
  <si>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</si>
  <si>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</si>
  <si>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</si>
  <si>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</si>
  <si>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</si>
  <si>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</si>
  <si>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</si>
  <si>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</si>
  <si>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</si>
  <si>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</si>
  <si>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</si>
  <si>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</si>
  <si>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</si>
  <si>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</si>
  <si>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</si>
  <si>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</si>
  <si>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</si>
  <si>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</si>
  <si>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</si>
  <si>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</si>
  <si>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</si>
  <si>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</si>
  <si>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</si>
  <si>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</si>
  <si>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</si>
  <si>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</si>
  <si>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</si>
  <si>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</si>
  <si>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</si>
  <si>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</si>
  <si>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</si>
  <si>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</si>
  <si>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</si>
  <si>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</si>
  <si>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</si>
  <si>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</si>
  <si>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</si>
  <si>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</si>
  <si>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</si>
  <si>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</si>
  <si>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</si>
  <si>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</si>
  <si>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</si>
  <si>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</si>
  <si>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</si>
  <si>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</si>
  <si>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</si>
  <si>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</si>
  <si>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</si>
  <si>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</si>
  <si>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</si>
  <si>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</si>
  <si>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</si>
  <si>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</si>
  <si>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</si>
  <si>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</si>
  <si>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</si>
  <si>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</si>
  <si>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</si>
  <si>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</si>
  <si>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</si>
  <si>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Reception Counter (Laminated) 4.0 x 0.5 x 1.0</t>
  </si>
  <si>
    <t>Bar Counter (Laminated)  9.0 x 0.5 x 1.0</t>
  </si>
  <si>
    <t>Display Table (Laminated)- 2.5 x 1.5 x 1.0</t>
  </si>
  <si>
    <t>Plant Pots</t>
  </si>
  <si>
    <t>Counter (glass room) (Laminated)- 2.0 x 0.5 x 1.0</t>
  </si>
  <si>
    <t>Fabric Hanging (5m x 5m x 1m H) Fabric with Modular frame</t>
  </si>
  <si>
    <r>
      <t xml:space="preserve">Blue laminated floor (Standard Matt) </t>
    </r>
    <r>
      <rPr>
        <sz val="11"/>
        <color rgb="FFFF0000"/>
        <rFont val="Calibri"/>
        <family val="2"/>
        <scheme val="minor"/>
      </rPr>
      <t>TOP LAYER</t>
    </r>
  </si>
  <si>
    <t>Opt Nr:-  3</t>
  </si>
  <si>
    <t>Date:- 08-10-2025</t>
  </si>
  <si>
    <t>IDN PLAY</t>
  </si>
  <si>
    <t>ICE 2026</t>
  </si>
  <si>
    <t>27M X 9.5M</t>
  </si>
  <si>
    <t>257 SQM</t>
  </si>
  <si>
    <t>4M</t>
  </si>
  <si>
    <t>19 - 21 January 2026</t>
  </si>
  <si>
    <t>BARCELONA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</si>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</sst>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146</xdr:row>
      <xdr:rowOff>0</xdr:rowOff>
    </xdr:from>
    <xdr:to>
      <xdr:col>1</xdr:col>
      <xdr:colOff>1057276</xdr:colOff>
      <xdr:row>267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313E8-4F57-4906-9AF2-7CEC68D0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455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5"/>
  <sheetViews>
    <sheetView tabSelected="1" zoomScaleNormal="100" zoomScaleSheetLayoutView="85" workbookViewId="0">
      <pane ySplit="1" topLeftCell="A2" activePane="bottomLeft" state="frozen"/>
      <selection pane="bottomLeft" activeCell="D277" sqref="D27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279</v>
      </c>
      <c r="C2" s="26" t="s">
        <v>151</v>
      </c>
      <c r="D2" s="27">
        <f>SUM(E3:E12)</f>
        <v>10289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ref="E4" si="1">I4*K4</f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276</v>
      </c>
      <c r="D5" s="7"/>
      <c r="E5" s="8">
        <f t="shared" si="0"/>
        <v>3844.0099999999998</v>
      </c>
      <c r="F5" s="8"/>
      <c r="G5" s="8"/>
      <c r="H5" s="8"/>
      <c r="I5" s="9">
        <v>269</v>
      </c>
      <c r="J5" s="10" t="s">
        <v>165</v>
      </c>
      <c r="K5" s="30">
        <v>14.29</v>
      </c>
    </row>
    <row r="6" spans="1:11" ht="15.95" hidden="1" customHeight="1" x14ac:dyDescent="0.25">
      <c r="C6" s="7" t="s">
        <v>172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14.29</v>
      </c>
    </row>
    <row r="7" spans="1:11" ht="15.95" hidden="1" customHeight="1" x14ac:dyDescent="0.25">
      <c r="C7" s="7" t="s">
        <v>161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28.1</v>
      </c>
    </row>
    <row r="8" spans="1:11" ht="15.95" hidden="1" customHeight="1" x14ac:dyDescent="0.25">
      <c r="B8" s="29" t="s">
        <v>249</v>
      </c>
      <c r="C8" s="7" t="s">
        <v>152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10</v>
      </c>
    </row>
    <row r="9" spans="1:11" ht="15.95" hidden="1" customHeight="1" x14ac:dyDescent="0.25">
      <c r="B9" s="29" t="s">
        <v>249</v>
      </c>
      <c r="C9" s="7" t="s">
        <v>167</v>
      </c>
      <c r="D9" s="7"/>
      <c r="E9" s="8">
        <f t="shared" si="0"/>
        <v>6149.34</v>
      </c>
      <c r="F9" s="8"/>
      <c r="G9" s="8"/>
      <c r="H9" s="8"/>
      <c r="I9" s="9">
        <v>269</v>
      </c>
      <c r="J9" s="10" t="s">
        <v>165</v>
      </c>
      <c r="K9" s="30">
        <v>22.86</v>
      </c>
    </row>
    <row r="10" spans="1:11" ht="15.95" hidden="1" customHeight="1" x14ac:dyDescent="0.25">
      <c r="C10" s="7" t="s">
        <v>153</v>
      </c>
      <c r="D10" s="7"/>
      <c r="E10" s="8">
        <f t="shared" si="0"/>
        <v>295.64999999999998</v>
      </c>
      <c r="F10" s="8"/>
      <c r="G10" s="8"/>
      <c r="H10" s="8"/>
      <c r="I10" s="9">
        <v>73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280</v>
      </c>
      <c r="C13" s="26" t="s">
        <v>194</v>
      </c>
      <c r="D13" s="52">
        <f>SUM(E14:E16)</f>
        <v>265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265</v>
      </c>
      <c r="F14" s="8"/>
      <c r="G14" s="8"/>
      <c r="H14" s="8"/>
      <c r="I14" s="9">
        <v>1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285</v>
      </c>
      <c r="C17" s="26" t="s">
        <v>184</v>
      </c>
      <c r="D17" s="27">
        <f>SUM(E18:E88)</f>
        <v>5556.8099999999995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50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ref="E35" si="3">I35*K35</f>
        <v>3239.95</v>
      </c>
      <c r="F35" s="8">
        <v>1</v>
      </c>
      <c r="G35" s="8">
        <v>0.1</v>
      </c>
      <c r="H35" s="8">
        <v>4</v>
      </c>
      <c r="I35" s="9">
        <v>35</v>
      </c>
      <c r="J35" s="10" t="s">
        <v>154</v>
      </c>
      <c r="K35" s="30">
        <v>92.57</v>
      </c>
    </row>
    <row r="36" spans="2:11" ht="15.95" hidden="1" customHeight="1" x14ac:dyDescent="0.25">
      <c r="B36" s="29"/>
      <c r="C36" s="7" t="s">
        <v>31</v>
      </c>
      <c r="D36" s="7"/>
      <c r="E36" s="8">
        <f t="shared" si="2"/>
        <v>833.12999999999988</v>
      </c>
      <c r="F36" s="8">
        <v>1</v>
      </c>
      <c r="G36" s="8">
        <v>0.1</v>
      </c>
      <c r="H36" s="8">
        <v>4</v>
      </c>
      <c r="I36" s="9">
        <v>9</v>
      </c>
      <c r="J36" s="10" t="s">
        <v>154</v>
      </c>
      <c r="K36" s="30">
        <v>92.57</v>
      </c>
    </row>
    <row r="37" spans="2:11" ht="15.95" hidden="1" customHeight="1" x14ac:dyDescent="0.25">
      <c r="C37" s="7" t="s">
        <v>30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103.43</v>
      </c>
    </row>
    <row r="38" spans="2:11" ht="15.95" hidden="1" customHeight="1" x14ac:dyDescent="0.25">
      <c r="C38" s="7" t="s">
        <v>29</v>
      </c>
      <c r="D38" s="7"/>
      <c r="E38" s="8">
        <f t="shared" si="2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154</v>
      </c>
      <c r="K38" s="30">
        <v>146.29</v>
      </c>
    </row>
    <row r="39" spans="2:11" ht="15.95" hidden="1" customHeight="1" x14ac:dyDescent="0.25">
      <c r="C39" s="7" t="s">
        <v>75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76.19</v>
      </c>
    </row>
    <row r="40" spans="2:11" ht="15.95" hidden="1" customHeight="1" x14ac:dyDescent="0.25">
      <c r="C40" s="7" t="s">
        <v>100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104.76</v>
      </c>
    </row>
    <row r="41" spans="2:11" ht="15.95" hidden="1" customHeight="1" x14ac:dyDescent="0.25">
      <c r="C41" s="7" t="s">
        <v>101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115.24</v>
      </c>
    </row>
    <row r="42" spans="2:11" ht="15.95" hidden="1" customHeight="1" x14ac:dyDescent="0.25">
      <c r="C42" s="7" t="s">
        <v>102</v>
      </c>
      <c r="D42" s="7"/>
      <c r="E42" s="8">
        <f t="shared" si="2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154</v>
      </c>
      <c r="K42" s="30">
        <v>160.47999999999999</v>
      </c>
    </row>
    <row r="43" spans="2:11" ht="15.95" hidden="1" customHeight="1" x14ac:dyDescent="0.25">
      <c r="B43" s="29" t="s">
        <v>249</v>
      </c>
      <c r="C43" s="7" t="s">
        <v>76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77.38</v>
      </c>
    </row>
    <row r="44" spans="2:11" ht="15.95" hidden="1" customHeight="1" x14ac:dyDescent="0.25">
      <c r="B44" s="29" t="s">
        <v>249</v>
      </c>
      <c r="C44" s="7" t="s">
        <v>103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110.71</v>
      </c>
    </row>
    <row r="45" spans="2:11" ht="15.95" hidden="1" customHeight="1" x14ac:dyDescent="0.25">
      <c r="C45" s="7" t="s">
        <v>77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128.57</v>
      </c>
    </row>
    <row r="46" spans="2:11" ht="15.95" hidden="1" customHeight="1" x14ac:dyDescent="0.25">
      <c r="C46" s="7" t="s">
        <v>104</v>
      </c>
      <c r="D46" s="7"/>
      <c r="E46" s="8">
        <f t="shared" si="2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154</v>
      </c>
      <c r="K46" s="30">
        <v>169.05</v>
      </c>
    </row>
    <row r="47" spans="2:11" ht="15.95" hidden="1" customHeight="1" x14ac:dyDescent="0.25">
      <c r="C47" s="7" t="s">
        <v>28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79.14</v>
      </c>
    </row>
    <row r="48" spans="2:11" ht="15.95" hidden="1" customHeight="1" x14ac:dyDescent="0.25">
      <c r="C48" s="7" t="s">
        <v>27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115.14</v>
      </c>
    </row>
    <row r="49" spans="2:11" ht="15.95" hidden="1" customHeight="1" x14ac:dyDescent="0.25">
      <c r="C49" s="7" t="s">
        <v>26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136</v>
      </c>
    </row>
    <row r="50" spans="2:11" ht="15.95" hidden="1" customHeight="1" x14ac:dyDescent="0.25">
      <c r="C50" s="7" t="s">
        <v>25</v>
      </c>
      <c r="D50" s="7"/>
      <c r="E50" s="8">
        <f t="shared" si="2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154</v>
      </c>
      <c r="K50" s="30">
        <v>193.14</v>
      </c>
    </row>
    <row r="51" spans="2:11" ht="15.95" hidden="1" customHeight="1" x14ac:dyDescent="0.25">
      <c r="C51" s="7" t="s">
        <v>95</v>
      </c>
      <c r="D51" s="7"/>
      <c r="E51" s="8">
        <f t="shared" ref="E51:E82" si="4">I51*K51</f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41.67</v>
      </c>
    </row>
    <row r="52" spans="2:11" ht="15.95" hidden="1" customHeight="1" x14ac:dyDescent="0.25">
      <c r="C52" s="7" t="s">
        <v>96</v>
      </c>
      <c r="D52" s="7"/>
      <c r="E52" s="8">
        <f t="shared" si="4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154</v>
      </c>
      <c r="K52" s="30">
        <v>83.33</v>
      </c>
    </row>
    <row r="53" spans="2:11" ht="15.95" hidden="1" customHeight="1" x14ac:dyDescent="0.25">
      <c r="C53" s="7" t="s">
        <v>40</v>
      </c>
      <c r="D53" s="7"/>
      <c r="E53" s="8">
        <f t="shared" si="4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62.29</v>
      </c>
    </row>
    <row r="54" spans="2:11" ht="15.95" hidden="1" customHeight="1" x14ac:dyDescent="0.25">
      <c r="B54" s="29" t="s">
        <v>249</v>
      </c>
      <c r="C54" s="7" t="s">
        <v>39</v>
      </c>
      <c r="D54" s="7"/>
      <c r="E54" s="8">
        <f t="shared" si="4"/>
        <v>617.12</v>
      </c>
      <c r="F54" s="8">
        <v>1</v>
      </c>
      <c r="G54" s="8">
        <v>0.2</v>
      </c>
      <c r="H54" s="8">
        <v>2.5</v>
      </c>
      <c r="I54" s="9">
        <v>8</v>
      </c>
      <c r="J54" s="10" t="s">
        <v>156</v>
      </c>
      <c r="K54" s="30">
        <v>77.14</v>
      </c>
    </row>
    <row r="55" spans="2:11" ht="15.95" hidden="1" customHeight="1" x14ac:dyDescent="0.25">
      <c r="C55" s="7" t="s">
        <v>38</v>
      </c>
      <c r="D55" s="7"/>
      <c r="E55" s="8">
        <f t="shared" si="4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79.14</v>
      </c>
    </row>
    <row r="56" spans="2:11" ht="15.95" hidden="1" customHeight="1" x14ac:dyDescent="0.25">
      <c r="C56" s="7" t="s">
        <v>37</v>
      </c>
      <c r="D56" s="7"/>
      <c r="E56" s="8">
        <f t="shared" si="4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156</v>
      </c>
      <c r="K56" s="30">
        <v>100</v>
      </c>
    </row>
    <row r="57" spans="2:11" ht="15.95" hidden="1" customHeight="1" x14ac:dyDescent="0.25">
      <c r="C57" s="7" t="s">
        <v>36</v>
      </c>
      <c r="D57" s="7"/>
      <c r="E57" s="8">
        <f t="shared" si="4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80.569999999999993</v>
      </c>
    </row>
    <row r="58" spans="2:11" ht="15.95" hidden="1" customHeight="1" x14ac:dyDescent="0.25">
      <c r="C58" s="7" t="s">
        <v>35</v>
      </c>
      <c r="D58" s="7"/>
      <c r="E58" s="8">
        <f t="shared" si="4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97.43</v>
      </c>
    </row>
    <row r="59" spans="2:11" ht="15.95" hidden="1" customHeight="1" x14ac:dyDescent="0.25">
      <c r="C59" s="7" t="s">
        <v>34</v>
      </c>
      <c r="D59" s="7"/>
      <c r="E59" s="8">
        <f t="shared" si="4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112.57</v>
      </c>
    </row>
    <row r="60" spans="2:11" ht="15.95" hidden="1" customHeight="1" x14ac:dyDescent="0.25">
      <c r="C60" s="7" t="s">
        <v>33</v>
      </c>
      <c r="D60" s="7"/>
      <c r="E60" s="8">
        <f t="shared" si="4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156</v>
      </c>
      <c r="K60" s="30">
        <v>132.57</v>
      </c>
    </row>
    <row r="61" spans="2:11" ht="15.95" hidden="1" customHeight="1" x14ac:dyDescent="0.25">
      <c r="C61" s="7" t="s">
        <v>105</v>
      </c>
      <c r="D61" s="7"/>
      <c r="E61" s="8">
        <f t="shared" si="4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95.24</v>
      </c>
    </row>
    <row r="62" spans="2:11" ht="15.95" hidden="1" customHeight="1" x14ac:dyDescent="0.25">
      <c r="C62" s="7" t="s">
        <v>106</v>
      </c>
      <c r="D62" s="7"/>
      <c r="E62" s="8">
        <f t="shared" si="4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102.38</v>
      </c>
    </row>
    <row r="63" spans="2:11" ht="15.95" hidden="1" customHeight="1" x14ac:dyDescent="0.25">
      <c r="C63" s="7" t="s">
        <v>107</v>
      </c>
      <c r="D63" s="7"/>
      <c r="E63" s="8">
        <f t="shared" si="4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117.14</v>
      </c>
    </row>
    <row r="64" spans="2:11" ht="15.95" hidden="1" customHeight="1" x14ac:dyDescent="0.25">
      <c r="C64" s="7" t="s">
        <v>78</v>
      </c>
      <c r="D64" s="7"/>
      <c r="E64" s="8">
        <f t="shared" si="4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156</v>
      </c>
      <c r="K64" s="30">
        <v>142.86000000000001</v>
      </c>
    </row>
    <row r="65" spans="3:11" ht="15.95" hidden="1" customHeight="1" x14ac:dyDescent="0.25">
      <c r="C65" s="7" t="s">
        <v>32</v>
      </c>
      <c r="D65" s="7"/>
      <c r="E65" s="8">
        <f t="shared" si="4"/>
        <v>866.61</v>
      </c>
      <c r="F65" s="8">
        <v>1</v>
      </c>
      <c r="G65" s="8">
        <v>0.2</v>
      </c>
      <c r="H65" s="8">
        <v>4</v>
      </c>
      <c r="I65" s="9">
        <v>9</v>
      </c>
      <c r="J65" s="10" t="s">
        <v>156</v>
      </c>
      <c r="K65" s="30">
        <v>96.29</v>
      </c>
    </row>
    <row r="66" spans="3:11" ht="15.95" hidden="1" customHeight="1" x14ac:dyDescent="0.25">
      <c r="C66" s="7" t="s">
        <v>31</v>
      </c>
      <c r="D66" s="7"/>
      <c r="E66" s="8">
        <f t="shared" si="4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126</v>
      </c>
    </row>
    <row r="67" spans="3:11" ht="15.95" hidden="1" customHeight="1" x14ac:dyDescent="0.25">
      <c r="C67" s="7" t="s">
        <v>30</v>
      </c>
      <c r="D67" s="7"/>
      <c r="E67" s="8">
        <f t="shared" si="4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136</v>
      </c>
    </row>
    <row r="68" spans="3:11" ht="15.95" hidden="1" customHeight="1" x14ac:dyDescent="0.25">
      <c r="C68" s="7" t="s">
        <v>29</v>
      </c>
      <c r="D68" s="7"/>
      <c r="E68" s="8">
        <f t="shared" si="4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156</v>
      </c>
      <c r="K68" s="30">
        <v>179.71</v>
      </c>
    </row>
    <row r="69" spans="3:11" ht="15.95" hidden="1" customHeight="1" x14ac:dyDescent="0.25">
      <c r="C69" s="7" t="s">
        <v>69</v>
      </c>
      <c r="D69" s="7"/>
      <c r="E69" s="8">
        <f t="shared" si="4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100.95</v>
      </c>
    </row>
    <row r="70" spans="3:11" ht="15.95" hidden="1" customHeight="1" x14ac:dyDescent="0.25">
      <c r="C70" s="7" t="s">
        <v>70</v>
      </c>
      <c r="D70" s="7"/>
      <c r="E70" s="8">
        <f t="shared" si="4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130.94999999999999</v>
      </c>
    </row>
    <row r="71" spans="3:11" ht="15.95" hidden="1" customHeight="1" x14ac:dyDescent="0.25">
      <c r="C71" s="7" t="s">
        <v>108</v>
      </c>
      <c r="D71" s="7"/>
      <c r="E71" s="8">
        <f t="shared" si="4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140.47999999999999</v>
      </c>
    </row>
    <row r="72" spans="3:11" ht="15.95" hidden="1" customHeight="1" x14ac:dyDescent="0.25">
      <c r="C72" s="7" t="s">
        <v>138</v>
      </c>
      <c r="D72" s="7"/>
      <c r="E72" s="8">
        <f t="shared" si="4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156</v>
      </c>
      <c r="K72" s="30">
        <v>357.14</v>
      </c>
    </row>
    <row r="73" spans="3:11" ht="15.95" hidden="1" customHeight="1" x14ac:dyDescent="0.25">
      <c r="C73" s="7" t="s">
        <v>67</v>
      </c>
      <c r="D73" s="7"/>
      <c r="E73" s="8">
        <f t="shared" si="4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111.43</v>
      </c>
    </row>
    <row r="74" spans="3:11" ht="15.95" hidden="1" customHeight="1" x14ac:dyDescent="0.25">
      <c r="C74" s="7" t="s">
        <v>68</v>
      </c>
      <c r="D74" s="7"/>
      <c r="E74" s="8">
        <f t="shared" si="4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145.24</v>
      </c>
    </row>
    <row r="75" spans="3:11" ht="15.95" hidden="1" customHeight="1" x14ac:dyDescent="0.25">
      <c r="C75" s="7" t="s">
        <v>109</v>
      </c>
      <c r="D75" s="7"/>
      <c r="E75" s="8">
        <f t="shared" si="4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167.86</v>
      </c>
    </row>
    <row r="76" spans="3:11" ht="15.95" hidden="1" customHeight="1" x14ac:dyDescent="0.25">
      <c r="C76" s="7" t="s">
        <v>110</v>
      </c>
      <c r="D76" s="7"/>
      <c r="E76" s="8">
        <f t="shared" si="4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156</v>
      </c>
      <c r="K76" s="30">
        <v>223.81</v>
      </c>
    </row>
    <row r="77" spans="3:11" ht="15.95" hidden="1" customHeight="1" x14ac:dyDescent="0.25">
      <c r="C77" s="7" t="s">
        <v>28</v>
      </c>
      <c r="D77" s="7"/>
      <c r="E77" s="8">
        <f t="shared" si="4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116.29</v>
      </c>
    </row>
    <row r="78" spans="3:11" ht="15.95" hidden="1" customHeight="1" x14ac:dyDescent="0.25">
      <c r="C78" s="7" t="s">
        <v>27</v>
      </c>
      <c r="D78" s="7"/>
      <c r="E78" s="8">
        <f t="shared" si="4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152.29</v>
      </c>
    </row>
    <row r="79" spans="3:11" ht="15.95" hidden="1" customHeight="1" x14ac:dyDescent="0.25">
      <c r="C79" s="7" t="s">
        <v>26</v>
      </c>
      <c r="D79" s="7"/>
      <c r="E79" s="8">
        <f t="shared" si="4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173.14</v>
      </c>
    </row>
    <row r="80" spans="3:11" ht="15.95" hidden="1" customHeight="1" x14ac:dyDescent="0.25">
      <c r="C80" s="7" t="s">
        <v>25</v>
      </c>
      <c r="D80" s="7"/>
      <c r="E80" s="8">
        <f t="shared" si="4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24">
        <f t="shared" si="4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261</v>
      </c>
      <c r="D82" s="23"/>
      <c r="E82" s="24">
        <f t="shared" si="4"/>
        <v>0</v>
      </c>
      <c r="F82" s="24">
        <v>1</v>
      </c>
      <c r="G82" s="24"/>
      <c r="H82" s="24">
        <v>1</v>
      </c>
      <c r="I82" s="44">
        <v>0</v>
      </c>
      <c r="J82" s="25" t="s">
        <v>260</v>
      </c>
      <c r="K82" s="30">
        <v>15.7</v>
      </c>
    </row>
    <row r="83" spans="1:11" ht="15.95" hidden="1" customHeight="1" x14ac:dyDescent="0.25">
      <c r="C83" s="7" t="s">
        <v>95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4" t="s">
        <v>284</v>
      </c>
      <c r="C89" s="26" t="s">
        <v>195</v>
      </c>
      <c r="D89" s="27">
        <f>SUM(E90:E110)</f>
        <v>1956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10" si="6">I90*K90</f>
        <v>500</v>
      </c>
      <c r="F90" s="24"/>
      <c r="G90" s="24"/>
      <c r="H90" s="24"/>
      <c r="I90" s="24">
        <v>20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6"/>
        <v>40</v>
      </c>
      <c r="F91" s="24"/>
      <c r="G91" s="24"/>
      <c r="H91" s="24"/>
      <c r="I91" s="24">
        <v>4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6"/>
        <v>16</v>
      </c>
      <c r="F92" s="24"/>
      <c r="G92" s="24"/>
      <c r="H92" s="24"/>
      <c r="I92" s="24">
        <v>8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265</v>
      </c>
      <c r="D96" s="7"/>
      <c r="E96" s="24">
        <f t="shared" ref="E96" si="7">I96*K96</f>
        <v>0</v>
      </c>
      <c r="F96" s="8"/>
      <c r="G96" s="8"/>
      <c r="H96" s="8"/>
      <c r="I96" s="8">
        <v>0</v>
      </c>
      <c r="J96" s="10" t="s">
        <v>166</v>
      </c>
      <c r="K96" s="48">
        <v>830</v>
      </c>
    </row>
    <row r="97" spans="1:11" s="4" customFormat="1" ht="15.95" hidden="1" customHeight="1" x14ac:dyDescent="0.25">
      <c r="B97" s="29"/>
      <c r="C97" s="7" t="s">
        <v>275</v>
      </c>
      <c r="D97" s="7"/>
      <c r="E97" s="24">
        <f t="shared" si="6"/>
        <v>1400</v>
      </c>
      <c r="F97" s="8"/>
      <c r="G97" s="8"/>
      <c r="H97" s="8"/>
      <c r="I97" s="8">
        <v>1</v>
      </c>
      <c r="J97" s="10" t="s">
        <v>166</v>
      </c>
      <c r="K97" s="48">
        <v>1400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6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166</v>
      </c>
      <c r="K99" s="48">
        <v>1000</v>
      </c>
    </row>
    <row r="100" spans="1:11" s="4" customFormat="1" ht="15.95" hidden="1" customHeight="1" x14ac:dyDescent="0.25">
      <c r="B100" s="42"/>
      <c r="C100" s="7" t="s">
        <v>177</v>
      </c>
      <c r="D100" s="7"/>
      <c r="E100" s="24">
        <f t="shared" si="6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166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6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166</v>
      </c>
      <c r="K101" s="48">
        <v>1166.67</v>
      </c>
    </row>
    <row r="102" spans="1:11" s="4" customFormat="1" ht="15.95" hidden="1" customHeight="1" x14ac:dyDescent="0.25">
      <c r="B102" s="42"/>
      <c r="C102" s="7" t="s">
        <v>133</v>
      </c>
      <c r="D102" s="7"/>
      <c r="E102" s="24">
        <f t="shared" si="6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166</v>
      </c>
      <c r="K102" s="48">
        <v>35.71</v>
      </c>
    </row>
    <row r="103" spans="1:11" s="4" customFormat="1" ht="15.95" hidden="1" customHeight="1" x14ac:dyDescent="0.25">
      <c r="B103" s="29" t="s">
        <v>249</v>
      </c>
      <c r="C103" s="7" t="s">
        <v>114</v>
      </c>
      <c r="D103" s="7"/>
      <c r="E103" s="24">
        <f t="shared" si="6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111</v>
      </c>
      <c r="K103" s="48">
        <v>23.33</v>
      </c>
    </row>
    <row r="104" spans="1:11" s="4" customFormat="1" ht="15.95" hidden="1" customHeight="1" x14ac:dyDescent="0.25">
      <c r="B104" s="29" t="s">
        <v>249</v>
      </c>
      <c r="C104" s="7" t="s">
        <v>116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12.86</v>
      </c>
    </row>
    <row r="105" spans="1:11" s="4" customFormat="1" ht="15.95" hidden="1" customHeight="1" x14ac:dyDescent="0.25">
      <c r="B105" s="29" t="s">
        <v>249</v>
      </c>
      <c r="C105" s="7" t="s">
        <v>117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11.9</v>
      </c>
    </row>
    <row r="106" spans="1:11" s="4" customFormat="1" ht="15.95" hidden="1" customHeight="1" x14ac:dyDescent="0.25">
      <c r="B106" s="29" t="s">
        <v>249</v>
      </c>
      <c r="C106" s="7" t="s">
        <v>118</v>
      </c>
      <c r="D106" s="7"/>
      <c r="E106" s="24">
        <f t="shared" si="6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9.52</v>
      </c>
    </row>
    <row r="107" spans="1:11" s="4" customFormat="1" ht="15.95" hidden="1" customHeight="1" x14ac:dyDescent="0.25">
      <c r="C107" s="7" t="s">
        <v>252</v>
      </c>
      <c r="D107" s="7"/>
      <c r="E107" s="24">
        <f t="shared" si="6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111</v>
      </c>
      <c r="K107" s="48">
        <v>15.48</v>
      </c>
    </row>
    <row r="108" spans="1:11" s="4" customFormat="1" ht="15.95" hidden="1" customHeight="1" x14ac:dyDescent="0.25">
      <c r="C108" s="7" t="s">
        <v>115</v>
      </c>
      <c r="D108" s="7"/>
      <c r="E108" s="24">
        <f t="shared" si="6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111</v>
      </c>
      <c r="K108" s="48">
        <v>16.07</v>
      </c>
    </row>
    <row r="109" spans="1:11" s="4" customFormat="1" ht="15.95" hidden="1" customHeight="1" x14ac:dyDescent="0.25">
      <c r="C109" s="7" t="s">
        <v>119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166</v>
      </c>
      <c r="K109" s="48">
        <v>2142.86</v>
      </c>
    </row>
    <row r="110" spans="1:11" s="4" customFormat="1" ht="15.95" hidden="1" customHeight="1" x14ac:dyDescent="0.25">
      <c r="C110" s="7" t="s">
        <v>134</v>
      </c>
      <c r="D110" s="7"/>
      <c r="E110" s="24">
        <f t="shared" si="6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166</v>
      </c>
      <c r="K110" s="48">
        <v>11.9</v>
      </c>
    </row>
    <row r="111" spans="1:11" s="4" customFormat="1" ht="15.95" customHeight="1" x14ac:dyDescent="0.25">
      <c r="A111" s="21" t="s">
        <v>141</v>
      </c>
      <c r="B111" s="4" t="s">
        <v>281</v>
      </c>
      <c r="C111" s="26" t="s">
        <v>196</v>
      </c>
      <c r="D111" s="27">
        <f>SUM(E112:E134)</f>
        <v>2632.64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268</v>
      </c>
      <c r="D112" s="7"/>
      <c r="E112" s="8">
        <f t="shared" ref="E112:E134" si="8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262.86</v>
      </c>
    </row>
    <row r="113" spans="2:11" s="4" customFormat="1" ht="15.95" hidden="1" customHeight="1" x14ac:dyDescent="0.25">
      <c r="C113" s="7" t="s">
        <v>254</v>
      </c>
      <c r="D113" s="7"/>
      <c r="E113" s="8">
        <f t="shared" si="8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166</v>
      </c>
      <c r="K113" s="30">
        <v>564.6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8"/>
        <v>285.70999999999998</v>
      </c>
      <c r="F114" s="8">
        <v>2</v>
      </c>
      <c r="G114" s="8">
        <v>0.5</v>
      </c>
      <c r="H114" s="8">
        <v>1</v>
      </c>
      <c r="I114" s="8">
        <v>1</v>
      </c>
      <c r="J114" s="10" t="s">
        <v>166</v>
      </c>
      <c r="K114" s="30">
        <v>285.70999999999998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8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8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270</v>
      </c>
      <c r="D117" s="7"/>
      <c r="E117" s="8">
        <f t="shared" ref="E117" si="9">I117*K117</f>
        <v>423.86</v>
      </c>
      <c r="F117" s="8">
        <v>4</v>
      </c>
      <c r="G117" s="8">
        <v>0.5</v>
      </c>
      <c r="H117" s="8">
        <v>1</v>
      </c>
      <c r="I117" s="8">
        <v>1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271</v>
      </c>
      <c r="D118" s="7"/>
      <c r="E118" s="8">
        <f t="shared" si="8"/>
        <v>847</v>
      </c>
      <c r="F118" s="8">
        <v>9</v>
      </c>
      <c r="G118" s="8">
        <v>0.5</v>
      </c>
      <c r="H118" s="8">
        <v>1</v>
      </c>
      <c r="I118" s="8">
        <v>1</v>
      </c>
      <c r="J118" s="10" t="s">
        <v>166</v>
      </c>
      <c r="K118" s="30">
        <v>847</v>
      </c>
    </row>
    <row r="119" spans="2:11" s="4" customFormat="1" ht="15.95" hidden="1" customHeight="1" x14ac:dyDescent="0.25">
      <c r="C119" s="7" t="s">
        <v>272</v>
      </c>
      <c r="D119" s="7"/>
      <c r="E119" s="8">
        <f t="shared" ref="E119" si="10">I119*K119</f>
        <v>1076.07</v>
      </c>
      <c r="F119" s="8">
        <v>2.5</v>
      </c>
      <c r="G119" s="8">
        <v>1.5</v>
      </c>
      <c r="H119" s="8">
        <v>1</v>
      </c>
      <c r="I119" s="8">
        <v>3</v>
      </c>
      <c r="J119" s="10" t="s">
        <v>166</v>
      </c>
      <c r="K119" s="30">
        <v>358.69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8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8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8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8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8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8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8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8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8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8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8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8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8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8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8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282</v>
      </c>
      <c r="C135" s="26" t="s">
        <v>204</v>
      </c>
      <c r="D135" s="27">
        <f>SUM(E136:E145)</f>
        <v>2773.15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11">I136*K136</f>
        <v>35</v>
      </c>
      <c r="F136" s="12"/>
      <c r="G136" s="12"/>
      <c r="H136" s="12"/>
      <c r="I136" s="8">
        <v>1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11"/>
        <v>0</v>
      </c>
      <c r="F137" s="8"/>
      <c r="G137" s="8"/>
      <c r="H137" s="8"/>
      <c r="I137" s="8">
        <v>0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269</v>
      </c>
      <c r="D138" s="7"/>
      <c r="E138" s="8">
        <f t="shared" si="11"/>
        <v>2738.15</v>
      </c>
      <c r="F138" s="8">
        <v>1</v>
      </c>
      <c r="G138" s="8">
        <v>0</v>
      </c>
      <c r="H138" s="8">
        <v>2</v>
      </c>
      <c r="I138" s="8">
        <v>23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11"/>
        <v>0</v>
      </c>
      <c r="F139" s="8">
        <v>1</v>
      </c>
      <c r="G139" s="8">
        <v>1</v>
      </c>
      <c r="H139" s="8"/>
      <c r="I139" s="8">
        <v>0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11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11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11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11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11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11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283</v>
      </c>
      <c r="C146" s="26" t="s">
        <v>205</v>
      </c>
      <c r="D146" s="27">
        <f>SUM(E147:E154)</f>
        <v>760.07999999999993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267</v>
      </c>
      <c r="D147" s="7"/>
      <c r="E147" s="8">
        <f t="shared" ref="E147:E154" si="12">I147*K147</f>
        <v>438.08</v>
      </c>
      <c r="F147" s="8">
        <v>1.5</v>
      </c>
      <c r="G147" s="8">
        <v>0.2</v>
      </c>
      <c r="H147" s="8">
        <v>0.2</v>
      </c>
      <c r="I147" s="8">
        <v>4</v>
      </c>
      <c r="J147" s="10" t="s">
        <v>166</v>
      </c>
      <c r="K147" s="30">
        <v>109.52</v>
      </c>
    </row>
    <row r="148" spans="1:11" s="4" customFormat="1" ht="15.95" hidden="1" customHeight="1" x14ac:dyDescent="0.25">
      <c r="C148" s="7" t="s">
        <v>86</v>
      </c>
      <c r="D148" s="7"/>
      <c r="E148" s="8">
        <f t="shared" si="12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166</v>
      </c>
      <c r="K148" s="30">
        <v>219.05</v>
      </c>
    </row>
    <row r="149" spans="1:11" s="4" customFormat="1" ht="15.95" hidden="1" customHeight="1" x14ac:dyDescent="0.25">
      <c r="C149" s="7" t="s">
        <v>180</v>
      </c>
      <c r="D149" s="7"/>
      <c r="E149" s="8">
        <f t="shared" si="12"/>
        <v>72</v>
      </c>
      <c r="F149" s="8">
        <v>0</v>
      </c>
      <c r="G149" s="8">
        <v>0</v>
      </c>
      <c r="H149" s="8">
        <v>0</v>
      </c>
      <c r="I149" s="8">
        <v>24</v>
      </c>
      <c r="J149" s="10" t="s">
        <v>166</v>
      </c>
      <c r="K149" s="30">
        <v>3</v>
      </c>
    </row>
    <row r="150" spans="1:11" s="4" customFormat="1" ht="15.95" hidden="1" customHeight="1" x14ac:dyDescent="0.25">
      <c r="C150" s="7" t="s">
        <v>53</v>
      </c>
      <c r="D150" s="7"/>
      <c r="E150" s="8">
        <f t="shared" ref="E150" si="13">I150*K150</f>
        <v>125</v>
      </c>
      <c r="F150" s="8">
        <v>0</v>
      </c>
      <c r="G150" s="8">
        <v>0</v>
      </c>
      <c r="H150" s="8">
        <v>0</v>
      </c>
      <c r="I150" s="8">
        <v>5</v>
      </c>
      <c r="J150" s="10" t="s">
        <v>166</v>
      </c>
      <c r="K150" s="30">
        <v>25</v>
      </c>
    </row>
    <row r="151" spans="1:11" s="4" customFormat="1" ht="15.95" hidden="1" customHeight="1" x14ac:dyDescent="0.25">
      <c r="C151" s="7" t="s">
        <v>273</v>
      </c>
      <c r="D151" s="7"/>
      <c r="E151" s="8">
        <f t="shared" si="12"/>
        <v>125</v>
      </c>
      <c r="F151" s="8">
        <v>0</v>
      </c>
      <c r="G151" s="8">
        <v>0</v>
      </c>
      <c r="H151" s="8">
        <v>0</v>
      </c>
      <c r="I151" s="8">
        <v>5</v>
      </c>
      <c r="J151" s="10" t="s">
        <v>166</v>
      </c>
      <c r="K151" s="30">
        <v>25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12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12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12"/>
        <v>0</v>
      </c>
      <c r="F154" s="8"/>
      <c r="G154" s="8"/>
      <c r="H154" s="8"/>
      <c r="I154" s="8">
        <v>0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2088.48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14">I156*K156</f>
        <v>0</v>
      </c>
      <c r="F156" s="8"/>
      <c r="G156" s="8"/>
      <c r="H156" s="8"/>
      <c r="I156" s="8">
        <v>0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14"/>
        <v>0</v>
      </c>
      <c r="F157" s="8"/>
      <c r="G157" s="8"/>
      <c r="H157" s="8"/>
      <c r="I157" s="8">
        <v>0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14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4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14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14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14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14"/>
        <v>250</v>
      </c>
      <c r="F163" s="12"/>
      <c r="G163" s="12"/>
      <c r="H163" s="12"/>
      <c r="I163" s="8">
        <v>50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14"/>
        <v>595</v>
      </c>
      <c r="F164" s="8"/>
      <c r="G164" s="8"/>
      <c r="H164" s="8"/>
      <c r="I164" s="8">
        <v>50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14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4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14"/>
        <v>1053</v>
      </c>
      <c r="F167" s="8"/>
      <c r="G167" s="8"/>
      <c r="H167" s="8"/>
      <c r="I167" s="8">
        <v>260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14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SUM(E170:E211)</f>
        <v>1135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5">I170*K170</f>
        <v>180</v>
      </c>
      <c r="F170" s="12"/>
      <c r="G170" s="12"/>
      <c r="H170" s="12"/>
      <c r="I170" s="8">
        <v>12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5"/>
        <v>96</v>
      </c>
      <c r="F171" s="12"/>
      <c r="G171" s="12"/>
      <c r="H171" s="12"/>
      <c r="I171" s="8">
        <v>8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5"/>
        <v>0</v>
      </c>
      <c r="F172" s="12"/>
      <c r="G172" s="12"/>
      <c r="H172" s="12"/>
      <c r="I172" s="8">
        <v>0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5"/>
        <v>120</v>
      </c>
      <c r="F173" s="12"/>
      <c r="G173" s="12"/>
      <c r="H173" s="12"/>
      <c r="I173" s="8">
        <v>8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5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5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5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5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5"/>
        <v>325</v>
      </c>
      <c r="F178" s="12"/>
      <c r="G178" s="12"/>
      <c r="H178" s="12"/>
      <c r="I178" s="8">
        <v>5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5"/>
        <v>85</v>
      </c>
      <c r="F179" s="12"/>
      <c r="G179" s="12"/>
      <c r="H179" s="12"/>
      <c r="I179" s="8">
        <v>1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5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5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5"/>
        <v>48</v>
      </c>
      <c r="F182" s="12"/>
      <c r="G182" s="12"/>
      <c r="H182" s="12"/>
      <c r="I182" s="8">
        <v>6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5"/>
        <v>0</v>
      </c>
      <c r="F183" s="12"/>
      <c r="G183" s="12"/>
      <c r="H183" s="12"/>
      <c r="I183" s="8">
        <v>0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5"/>
        <v>105</v>
      </c>
      <c r="F184" s="12"/>
      <c r="G184" s="12"/>
      <c r="H184" s="12"/>
      <c r="I184" s="8">
        <v>3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5"/>
        <v>0</v>
      </c>
      <c r="F185" s="12"/>
      <c r="G185" s="12"/>
      <c r="H185" s="12"/>
      <c r="I185" s="8">
        <v>0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5"/>
        <v>35</v>
      </c>
      <c r="F186" s="12"/>
      <c r="G186" s="12"/>
      <c r="H186" s="12"/>
      <c r="I186" s="8">
        <v>1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5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5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5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5"/>
        <v>50</v>
      </c>
      <c r="F190" s="12"/>
      <c r="G190" s="12"/>
      <c r="H190" s="12"/>
      <c r="I190" s="8">
        <v>2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5"/>
        <v>0</v>
      </c>
      <c r="F191" s="12"/>
      <c r="G191" s="12"/>
      <c r="H191" s="12"/>
      <c r="I191" s="8">
        <v>0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5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159</v>
      </c>
      <c r="D193" s="7"/>
      <c r="E193" s="8">
        <f t="shared" si="15"/>
        <v>0</v>
      </c>
      <c r="F193" s="12"/>
      <c r="G193" s="12"/>
      <c r="H193" s="12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5"/>
        <v>0</v>
      </c>
      <c r="F194" s="12"/>
      <c r="G194" s="12"/>
      <c r="H194" s="12"/>
      <c r="I194" s="8">
        <v>0</v>
      </c>
      <c r="J194" s="10" t="s">
        <v>166</v>
      </c>
      <c r="K194" s="30">
        <v>600</v>
      </c>
    </row>
    <row r="195" spans="2:11" s="4" customFormat="1" ht="15.95" hidden="1" customHeight="1" x14ac:dyDescent="0.25">
      <c r="C195" s="7" t="s">
        <v>209</v>
      </c>
      <c r="D195" s="7"/>
      <c r="E195" s="8">
        <f t="shared" si="15"/>
        <v>0</v>
      </c>
      <c r="F195" s="8"/>
      <c r="G195" s="8"/>
      <c r="H195" s="8"/>
      <c r="I195" s="8">
        <v>0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256</v>
      </c>
      <c r="D196" s="7"/>
      <c r="E196" s="8">
        <f t="shared" si="15"/>
        <v>0</v>
      </c>
      <c r="F196" s="8"/>
      <c r="G196" s="8"/>
      <c r="H196" s="8"/>
      <c r="I196" s="8">
        <v>0</v>
      </c>
      <c r="J196" s="10" t="s">
        <v>166</v>
      </c>
      <c r="K196" s="30">
        <v>210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5"/>
        <v>16</v>
      </c>
      <c r="F197" s="8"/>
      <c r="G197" s="8"/>
      <c r="H197" s="8"/>
      <c r="I197" s="8">
        <v>2</v>
      </c>
      <c r="J197" s="10" t="s">
        <v>166</v>
      </c>
      <c r="K197" s="30">
        <v>8</v>
      </c>
    </row>
    <row r="198" spans="2:11" s="4" customFormat="1" ht="15.95" hidden="1" customHeight="1" x14ac:dyDescent="0.25">
      <c r="C198" s="7" t="s">
        <v>73</v>
      </c>
      <c r="D198" s="7"/>
      <c r="E198" s="8">
        <f t="shared" si="15"/>
        <v>75</v>
      </c>
      <c r="F198" s="8"/>
      <c r="G198" s="8"/>
      <c r="H198" s="8"/>
      <c r="I198" s="8">
        <v>5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84</v>
      </c>
      <c r="D199" s="7"/>
      <c r="E199" s="8">
        <f t="shared" si="15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B200" s="29" t="s">
        <v>249</v>
      </c>
      <c r="C200" s="7" t="s">
        <v>85</v>
      </c>
      <c r="D200" s="7"/>
      <c r="E200" s="8">
        <f t="shared" si="15"/>
        <v>0</v>
      </c>
      <c r="F200" s="8"/>
      <c r="G200" s="8"/>
      <c r="H200" s="8"/>
      <c r="I200" s="8">
        <v>0</v>
      </c>
      <c r="J200" s="10" t="s">
        <v>166</v>
      </c>
      <c r="K200" s="30">
        <v>25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5"/>
        <v>0</v>
      </c>
      <c r="F201" s="8"/>
      <c r="G201" s="8"/>
      <c r="H201" s="8"/>
      <c r="I201" s="8">
        <v>0</v>
      </c>
      <c r="J201" s="10" t="s">
        <v>166</v>
      </c>
      <c r="K201" s="30">
        <v>85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5"/>
        <v>0</v>
      </c>
      <c r="F202" s="8"/>
      <c r="G202" s="8"/>
      <c r="H202" s="8"/>
      <c r="I202" s="8">
        <v>0</v>
      </c>
      <c r="J202" s="10" t="s">
        <v>166</v>
      </c>
      <c r="K202" s="30">
        <v>15</v>
      </c>
    </row>
    <row r="203" spans="2:11" s="4" customFormat="1" ht="15.95" hidden="1" customHeight="1" x14ac:dyDescent="0.25">
      <c r="C203" s="7" t="s">
        <v>90</v>
      </c>
      <c r="D203" s="7"/>
      <c r="E203" s="8">
        <f t="shared" si="15"/>
        <v>0</v>
      </c>
      <c r="F203" s="8"/>
      <c r="G203" s="8"/>
      <c r="H203" s="8"/>
      <c r="I203" s="8">
        <v>0</v>
      </c>
      <c r="J203" s="10" t="s">
        <v>166</v>
      </c>
      <c r="K203" s="30">
        <v>5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5"/>
        <v>0</v>
      </c>
      <c r="F204" s="8"/>
      <c r="G204" s="8"/>
      <c r="H204" s="8"/>
      <c r="I204" s="8">
        <v>0</v>
      </c>
      <c r="J204" s="10" t="s">
        <v>166</v>
      </c>
      <c r="K204" s="30">
        <v>12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5"/>
        <v>0</v>
      </c>
      <c r="F205" s="8"/>
      <c r="G205" s="8"/>
      <c r="H205" s="8"/>
      <c r="I205" s="8">
        <v>0</v>
      </c>
      <c r="J205" s="10" t="s">
        <v>166</v>
      </c>
      <c r="K205" s="30">
        <v>25</v>
      </c>
    </row>
    <row r="206" spans="2:11" s="4" customFormat="1" ht="15.95" hidden="1" customHeight="1" x14ac:dyDescent="0.25">
      <c r="C206" s="7" t="s">
        <v>94</v>
      </c>
      <c r="D206" s="7"/>
      <c r="E206" s="8">
        <f t="shared" si="15"/>
        <v>0</v>
      </c>
      <c r="F206" s="8"/>
      <c r="G206" s="8"/>
      <c r="H206" s="8"/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121</v>
      </c>
      <c r="D207" s="7"/>
      <c r="E207" s="8">
        <f t="shared" si="15"/>
        <v>0</v>
      </c>
      <c r="F207" s="8"/>
      <c r="G207" s="8"/>
      <c r="H207" s="8"/>
      <c r="I207" s="8">
        <v>0</v>
      </c>
      <c r="J207" s="10" t="s">
        <v>166</v>
      </c>
      <c r="K207" s="30">
        <v>6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5"/>
        <v>0</v>
      </c>
      <c r="F208" s="8"/>
      <c r="G208" s="8"/>
      <c r="H208" s="8"/>
      <c r="I208" s="8">
        <v>0</v>
      </c>
      <c r="J208" s="10" t="s">
        <v>166</v>
      </c>
      <c r="K208" s="30">
        <v>3</v>
      </c>
    </row>
    <row r="209" spans="3:11" s="4" customFormat="1" ht="15.95" hidden="1" customHeight="1" x14ac:dyDescent="0.25">
      <c r="C209" s="7" t="s">
        <v>124</v>
      </c>
      <c r="D209" s="7"/>
      <c r="E209" s="8">
        <f t="shared" si="15"/>
        <v>0</v>
      </c>
      <c r="F209" s="8"/>
      <c r="G209" s="8"/>
      <c r="H209" s="8"/>
      <c r="I209" s="8">
        <v>0</v>
      </c>
      <c r="J209" s="10" t="s">
        <v>166</v>
      </c>
      <c r="K209" s="30">
        <v>35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5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166</v>
      </c>
      <c r="K210" s="30">
        <v>20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5"/>
        <v>0</v>
      </c>
      <c r="F211" s="8"/>
      <c r="G211" s="8"/>
      <c r="H211" s="8"/>
      <c r="I211" s="8">
        <v>0</v>
      </c>
      <c r="J211" s="10" t="s">
        <v>166</v>
      </c>
      <c r="K211" s="30">
        <v>85</v>
      </c>
    </row>
    <row r="212" spans="3:11" s="4" customFormat="1" ht="15.95" customHeight="1" x14ac:dyDescent="0.25">
      <c r="C212" s="26" t="s">
        <v>183</v>
      </c>
      <c r="D212" s="27">
        <f>SUM(E213:E223)</f>
        <v>4222.2800000000007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244</v>
      </c>
      <c r="D213" s="7"/>
      <c r="E213" s="8">
        <f t="shared" ref="E213:E223" si="16">I213*K213</f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10.71</v>
      </c>
    </row>
    <row r="214" spans="3:11" s="4" customFormat="1" ht="15.95" hidden="1" customHeight="1" x14ac:dyDescent="0.25">
      <c r="C214" s="7" t="s">
        <v>243</v>
      </c>
      <c r="D214" s="7"/>
      <c r="E214" s="8">
        <f t="shared" si="16"/>
        <v>2476.8000000000002</v>
      </c>
      <c r="F214" s="8">
        <v>1</v>
      </c>
      <c r="G214" s="8">
        <v>1</v>
      </c>
      <c r="H214" s="12"/>
      <c r="I214" s="8">
        <v>160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6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191</v>
      </c>
      <c r="D216" s="7"/>
      <c r="E216" s="8">
        <f t="shared" si="16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13.1</v>
      </c>
    </row>
    <row r="217" spans="3:11" s="4" customFormat="1" ht="15.95" hidden="1" customHeight="1" x14ac:dyDescent="0.25">
      <c r="C217" s="7" t="s">
        <v>257</v>
      </c>
      <c r="D217" s="7"/>
      <c r="E217" s="8">
        <f t="shared" si="16"/>
        <v>1142.8799999999999</v>
      </c>
      <c r="F217" s="8">
        <v>1</v>
      </c>
      <c r="G217" s="8">
        <v>1</v>
      </c>
      <c r="H217" s="12"/>
      <c r="I217" s="8">
        <v>12</v>
      </c>
      <c r="J217" s="10" t="s">
        <v>111</v>
      </c>
      <c r="K217" s="30">
        <v>95.24</v>
      </c>
    </row>
    <row r="218" spans="3:11" s="4" customFormat="1" ht="15.95" hidden="1" customHeight="1" x14ac:dyDescent="0.25">
      <c r="C218" s="7" t="s">
        <v>258</v>
      </c>
      <c r="D218" s="7"/>
      <c r="E218" s="8">
        <f t="shared" si="16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47.62</v>
      </c>
    </row>
    <row r="219" spans="3:11" s="4" customFormat="1" ht="15.95" hidden="1" customHeight="1" x14ac:dyDescent="0.25">
      <c r="C219" s="7" t="s">
        <v>71</v>
      </c>
      <c r="D219" s="7"/>
      <c r="E219" s="8">
        <f t="shared" si="16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35.71</v>
      </c>
    </row>
    <row r="220" spans="3:11" s="4" customFormat="1" ht="15.95" hidden="1" customHeight="1" x14ac:dyDescent="0.25">
      <c r="C220" s="7" t="s">
        <v>122</v>
      </c>
      <c r="D220" s="7"/>
      <c r="E220" s="8">
        <f t="shared" si="16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28.57</v>
      </c>
    </row>
    <row r="221" spans="3:11" s="4" customFormat="1" ht="15.95" hidden="1" customHeight="1" x14ac:dyDescent="0.25">
      <c r="C221" s="7" t="s">
        <v>52</v>
      </c>
      <c r="D221" s="7"/>
      <c r="E221" s="8">
        <f t="shared" si="16"/>
        <v>602.6</v>
      </c>
      <c r="F221" s="8">
        <v>1</v>
      </c>
      <c r="G221" s="8">
        <v>1</v>
      </c>
      <c r="H221" s="12"/>
      <c r="I221" s="8">
        <v>46</v>
      </c>
      <c r="J221" s="10" t="s">
        <v>111</v>
      </c>
      <c r="K221" s="30">
        <v>13.1</v>
      </c>
    </row>
    <row r="222" spans="3:11" s="4" customFormat="1" ht="15.95" hidden="1" customHeight="1" x14ac:dyDescent="0.25">
      <c r="C222" s="7" t="s">
        <v>245</v>
      </c>
      <c r="D222" s="7"/>
      <c r="E222" s="8">
        <f t="shared" si="16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6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10.71</v>
      </c>
    </row>
    <row r="224" spans="3:11" s="4" customFormat="1" ht="15.95" customHeight="1" x14ac:dyDescent="0.25">
      <c r="C224" s="26" t="s">
        <v>182</v>
      </c>
      <c r="D224" s="27">
        <f>SUM(E225:E263)</f>
        <v>13270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7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166</v>
      </c>
      <c r="K225" s="30">
        <v>320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7"/>
        <v>6090</v>
      </c>
      <c r="F226" s="8"/>
      <c r="G226" s="8"/>
      <c r="H226" s="8"/>
      <c r="I226" s="8">
        <v>29</v>
      </c>
      <c r="J226" s="10" t="s">
        <v>166</v>
      </c>
      <c r="K226" s="30">
        <v>210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7"/>
        <v>900</v>
      </c>
      <c r="F227" s="8"/>
      <c r="G227" s="8"/>
      <c r="H227" s="8"/>
      <c r="I227" s="8">
        <v>5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7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7"/>
        <v>0</v>
      </c>
      <c r="F229" s="8"/>
      <c r="G229" s="8"/>
      <c r="H229" s="8"/>
      <c r="I229" s="8">
        <v>0</v>
      </c>
      <c r="J229" s="10" t="s">
        <v>166</v>
      </c>
      <c r="K229" s="30">
        <v>110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7"/>
        <v>0</v>
      </c>
      <c r="F230" s="8"/>
      <c r="G230" s="8"/>
      <c r="H230" s="8"/>
      <c r="I230" s="8">
        <v>0</v>
      </c>
      <c r="J230" s="10" t="s">
        <v>166</v>
      </c>
      <c r="K230" s="30">
        <v>310</v>
      </c>
    </row>
    <row r="231" spans="3:11" s="4" customFormat="1" ht="15.95" hidden="1" customHeight="1" x14ac:dyDescent="0.25">
      <c r="C231" s="7" t="s">
        <v>218</v>
      </c>
      <c r="D231" s="7"/>
      <c r="E231" s="8">
        <f t="shared" si="17"/>
        <v>0</v>
      </c>
      <c r="F231" s="8"/>
      <c r="G231" s="8"/>
      <c r="H231" s="8"/>
      <c r="I231" s="8">
        <v>0</v>
      </c>
      <c r="J231" s="10" t="s">
        <v>166</v>
      </c>
      <c r="K231" s="30">
        <v>160</v>
      </c>
    </row>
    <row r="232" spans="3:11" s="4" customFormat="1" ht="15.95" hidden="1" customHeight="1" x14ac:dyDescent="0.25">
      <c r="C232" s="7" t="s">
        <v>59</v>
      </c>
      <c r="D232" s="7"/>
      <c r="E232" s="8">
        <f t="shared" si="17"/>
        <v>0</v>
      </c>
      <c r="F232" s="12"/>
      <c r="G232" s="12"/>
      <c r="H232" s="12"/>
      <c r="I232" s="8">
        <v>0</v>
      </c>
      <c r="J232" s="10" t="s">
        <v>166</v>
      </c>
      <c r="K232" s="30">
        <v>10</v>
      </c>
    </row>
    <row r="233" spans="3:11" s="4" customFormat="1" ht="15.95" hidden="1" customHeight="1" x14ac:dyDescent="0.25">
      <c r="C233" s="7" t="s">
        <v>222</v>
      </c>
      <c r="D233" s="7"/>
      <c r="E233" s="8">
        <f t="shared" si="17"/>
        <v>0</v>
      </c>
      <c r="F233" s="12"/>
      <c r="G233" s="12"/>
      <c r="H233" s="12"/>
      <c r="I233" s="8">
        <v>0</v>
      </c>
      <c r="J233" s="10" t="s">
        <v>166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7"/>
        <v>0</v>
      </c>
      <c r="F234" s="8"/>
      <c r="G234" s="8"/>
      <c r="H234" s="8"/>
      <c r="I234" s="8">
        <v>0</v>
      </c>
      <c r="J234" s="10" t="s">
        <v>166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7"/>
        <v>0</v>
      </c>
      <c r="F235" s="8"/>
      <c r="G235" s="8"/>
      <c r="H235" s="8"/>
      <c r="I235" s="8">
        <v>0</v>
      </c>
      <c r="J235" s="10" t="s">
        <v>166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7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181</v>
      </c>
      <c r="D237" s="7"/>
      <c r="E237" s="8">
        <f t="shared" si="17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7"/>
        <v>1000</v>
      </c>
      <c r="F238" s="8"/>
      <c r="G238" s="8"/>
      <c r="H238" s="8"/>
      <c r="I238" s="8">
        <v>4</v>
      </c>
      <c r="J238" s="10" t="s">
        <v>166</v>
      </c>
      <c r="K238" s="30">
        <v>250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7"/>
        <v>0</v>
      </c>
      <c r="F239" s="8"/>
      <c r="G239" s="8"/>
      <c r="H239" s="8"/>
      <c r="I239" s="8">
        <v>0</v>
      </c>
      <c r="J239" s="10" t="s">
        <v>166</v>
      </c>
      <c r="K239" s="30">
        <v>390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7"/>
        <v>0</v>
      </c>
      <c r="F240" s="8"/>
      <c r="G240" s="8"/>
      <c r="H240" s="8"/>
      <c r="I240" s="8">
        <v>0</v>
      </c>
      <c r="J240" s="10" t="s">
        <v>166</v>
      </c>
      <c r="K240" s="30">
        <v>460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7"/>
        <v>0</v>
      </c>
      <c r="F241" s="8"/>
      <c r="G241" s="8"/>
      <c r="H241" s="8"/>
      <c r="I241" s="8">
        <v>0</v>
      </c>
      <c r="J241" s="10" t="s">
        <v>166</v>
      </c>
      <c r="K241" s="30">
        <v>850</v>
      </c>
    </row>
    <row r="242" spans="3:11" s="4" customFormat="1" ht="15.95" hidden="1" customHeight="1" x14ac:dyDescent="0.25">
      <c r="C242" s="7" t="s">
        <v>187</v>
      </c>
      <c r="D242" s="7"/>
      <c r="E242" s="8">
        <f t="shared" si="17"/>
        <v>4200</v>
      </c>
      <c r="F242" s="8"/>
      <c r="G242" s="8"/>
      <c r="H242" s="8"/>
      <c r="I242" s="8">
        <v>3</v>
      </c>
      <c r="J242" s="10" t="s">
        <v>166</v>
      </c>
      <c r="K242" s="30">
        <v>1400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7"/>
        <v>1080</v>
      </c>
      <c r="F243" s="8"/>
      <c r="G243" s="8"/>
      <c r="H243" s="8"/>
      <c r="I243" s="8">
        <v>3</v>
      </c>
      <c r="J243" s="10" t="s">
        <v>166</v>
      </c>
      <c r="K243" s="30">
        <v>360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7"/>
        <v>0</v>
      </c>
      <c r="F244" s="8"/>
      <c r="G244" s="8"/>
      <c r="H244" s="8"/>
      <c r="I244" s="8">
        <v>0</v>
      </c>
      <c r="J244" s="10" t="s">
        <v>166</v>
      </c>
      <c r="K244" s="30">
        <v>550</v>
      </c>
    </row>
    <row r="245" spans="3:11" s="4" customFormat="1" ht="15.95" hidden="1" customHeight="1" x14ac:dyDescent="0.25">
      <c r="C245" s="7" t="s">
        <v>242</v>
      </c>
      <c r="D245" s="7"/>
      <c r="E245" s="8">
        <f t="shared" si="17"/>
        <v>0</v>
      </c>
      <c r="F245" s="8"/>
      <c r="G245" s="8"/>
      <c r="H245" s="8"/>
      <c r="I245" s="8">
        <v>0</v>
      </c>
      <c r="J245" s="10" t="s">
        <v>166</v>
      </c>
      <c r="K245" s="30">
        <v>580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7"/>
        <v>0</v>
      </c>
      <c r="F246" s="8"/>
      <c r="G246" s="8"/>
      <c r="H246" s="8"/>
      <c r="I246" s="8">
        <v>0</v>
      </c>
      <c r="J246" s="10" t="s">
        <v>166</v>
      </c>
      <c r="K246" s="30">
        <v>680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7"/>
        <v>0</v>
      </c>
      <c r="F247" s="8"/>
      <c r="G247" s="8"/>
      <c r="H247" s="8"/>
      <c r="I247" s="8">
        <v>0</v>
      </c>
      <c r="J247" s="10" t="s">
        <v>166</v>
      </c>
      <c r="K247" s="30">
        <v>750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7"/>
        <v>0</v>
      </c>
      <c r="F248" s="8"/>
      <c r="G248" s="8"/>
      <c r="H248" s="8"/>
      <c r="I248" s="8">
        <v>0</v>
      </c>
      <c r="J248" s="10" t="s">
        <v>166</v>
      </c>
      <c r="K248" s="30">
        <v>340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7"/>
        <v>0</v>
      </c>
      <c r="F249" s="8"/>
      <c r="G249" s="8"/>
      <c r="H249" s="8"/>
      <c r="I249" s="8">
        <v>0</v>
      </c>
      <c r="J249" s="10" t="s">
        <v>166</v>
      </c>
      <c r="K249" s="30">
        <v>160</v>
      </c>
    </row>
    <row r="250" spans="3:11" s="4" customFormat="1" ht="15.95" hidden="1" customHeight="1" x14ac:dyDescent="0.25">
      <c r="C250" s="7" t="s">
        <v>237</v>
      </c>
      <c r="D250" s="7"/>
      <c r="E250" s="8">
        <f t="shared" si="17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7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7"/>
        <v>0</v>
      </c>
      <c r="F252" s="8"/>
      <c r="G252" s="8"/>
      <c r="H252" s="8"/>
      <c r="I252" s="8">
        <v>0</v>
      </c>
      <c r="J252" s="10" t="s">
        <v>166</v>
      </c>
      <c r="K252" s="30">
        <v>400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7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7"/>
        <v>0</v>
      </c>
      <c r="F254" s="8"/>
      <c r="G254" s="8"/>
      <c r="H254" s="8"/>
      <c r="I254" s="8">
        <v>0</v>
      </c>
      <c r="J254" s="10" t="s">
        <v>166</v>
      </c>
      <c r="K254" s="30">
        <v>180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7"/>
        <v>0</v>
      </c>
      <c r="F255" s="8"/>
      <c r="G255" s="8"/>
      <c r="H255" s="8"/>
      <c r="I255" s="8">
        <v>0</v>
      </c>
      <c r="J255" s="10" t="s">
        <v>166</v>
      </c>
      <c r="K255" s="30">
        <v>120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7"/>
        <v>0</v>
      </c>
      <c r="F256" s="8"/>
      <c r="G256" s="8"/>
      <c r="H256" s="8"/>
      <c r="I256" s="8">
        <v>0</v>
      </c>
      <c r="J256" s="10" t="s">
        <v>166</v>
      </c>
      <c r="K256" s="30">
        <v>220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7"/>
        <v>0</v>
      </c>
      <c r="F257" s="8"/>
      <c r="G257" s="8"/>
      <c r="H257" s="8"/>
      <c r="I257" s="8">
        <v>0</v>
      </c>
      <c r="J257" s="10" t="s">
        <v>166</v>
      </c>
      <c r="K257" s="30">
        <v>230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7"/>
        <v>0</v>
      </c>
      <c r="F258" s="8"/>
      <c r="G258" s="8"/>
      <c r="H258" s="8"/>
      <c r="I258" s="8">
        <v>0</v>
      </c>
      <c r="J258" s="10" t="s">
        <v>229</v>
      </c>
      <c r="K258" s="30">
        <v>500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7"/>
        <v>0</v>
      </c>
      <c r="F259" s="8"/>
      <c r="G259" s="8"/>
      <c r="H259" s="8"/>
      <c r="I259" s="8">
        <v>0</v>
      </c>
      <c r="J259" s="10" t="s">
        <v>166</v>
      </c>
      <c r="K259" s="30">
        <v>180</v>
      </c>
    </row>
    <row r="260" spans="3:11" s="4" customFormat="1" ht="15.95" hidden="1" customHeight="1" x14ac:dyDescent="0.25">
      <c r="C260" s="7" t="s">
        <v>224</v>
      </c>
      <c r="D260" s="7"/>
      <c r="E260" s="8">
        <f t="shared" si="17"/>
        <v>0</v>
      </c>
      <c r="F260" s="8"/>
      <c r="G260" s="8"/>
      <c r="H260" s="8"/>
      <c r="I260" s="8">
        <v>0</v>
      </c>
      <c r="J260" s="10" t="s">
        <v>166</v>
      </c>
      <c r="K260" s="30">
        <v>260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7"/>
        <v>0</v>
      </c>
      <c r="F261" s="8"/>
      <c r="G261" s="8"/>
      <c r="H261" s="8"/>
      <c r="I261" s="8">
        <v>0</v>
      </c>
      <c r="J261" s="10" t="s">
        <v>166</v>
      </c>
      <c r="K261" s="30">
        <v>6500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7"/>
        <v>0</v>
      </c>
      <c r="F262" s="8"/>
      <c r="G262" s="8"/>
      <c r="H262" s="8"/>
      <c r="I262" s="8">
        <v>0</v>
      </c>
      <c r="J262" s="10" t="s">
        <v>166</v>
      </c>
      <c r="K262" s="30">
        <v>8800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7"/>
        <v>0</v>
      </c>
      <c r="F263" s="8"/>
      <c r="G263" s="8"/>
      <c r="H263" s="8"/>
      <c r="I263" s="8">
        <v>0</v>
      </c>
      <c r="J263" s="10" t="s">
        <v>166</v>
      </c>
      <c r="K263" s="30">
        <v>1050</v>
      </c>
    </row>
    <row r="264" spans="3:11" s="22" customFormat="1" ht="15.95" customHeight="1" x14ac:dyDescent="0.25">
      <c r="C264" s="32" t="s">
        <v>148</v>
      </c>
      <c r="D264" s="33">
        <f>SUM(E265)</f>
        <v>21845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21845</v>
      </c>
      <c r="F265" s="24"/>
      <c r="G265" s="24"/>
      <c r="H265" s="24"/>
      <c r="I265" s="24">
        <v>257</v>
      </c>
      <c r="J265" s="25" t="s">
        <v>286</v>
      </c>
      <c r="K265" s="48">
        <v>85</v>
      </c>
    </row>
    <row r="266" spans="3:11" s="22" customFormat="1" ht="15.95" customHeight="1" x14ac:dyDescent="0.25">
      <c r="C266" s="32" t="s">
        <v>146</v>
      </c>
      <c r="D266" s="33">
        <f>SUM(E267)</f>
        <v>17100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17100</v>
      </c>
      <c r="F267" s="41"/>
      <c r="G267" s="41"/>
      <c r="H267" s="41"/>
      <c r="I267" s="24">
        <v>6</v>
      </c>
      <c r="J267" s="25" t="s">
        <v>149</v>
      </c>
      <c r="K267" s="48">
        <v>2850</v>
      </c>
    </row>
    <row r="268" spans="3:11" s="22" customFormat="1" ht="15.95" customHeight="1" x14ac:dyDescent="0.25">
      <c r="C268" s="32" t="s">
        <v>147</v>
      </c>
      <c r="D268" s="33">
        <f>SUM(E269)</f>
        <v>10000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10000</v>
      </c>
      <c r="F269" s="41"/>
      <c r="G269" s="41"/>
      <c r="H269" s="41"/>
      <c r="I269" s="24">
        <v>4</v>
      </c>
      <c r="J269" s="25" t="s">
        <v>166</v>
      </c>
      <c r="K269" s="48">
        <v>2500</v>
      </c>
    </row>
    <row r="270" spans="3:11" s="22" customFormat="1" ht="15.95" customHeight="1" x14ac:dyDescent="0.25">
      <c r="C270" s="32" t="s">
        <v>212</v>
      </c>
      <c r="D270" s="33">
        <f>SUM(E271)</f>
        <v>2400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2400</v>
      </c>
      <c r="F271" s="41"/>
      <c r="G271" s="41"/>
      <c r="H271" s="41"/>
      <c r="I271" s="24">
        <v>2</v>
      </c>
      <c r="J271" s="25" t="s">
        <v>166</v>
      </c>
      <c r="K271" s="48">
        <v>1200</v>
      </c>
    </row>
    <row r="272" spans="3:11" s="22" customFormat="1" ht="15.95" customHeight="1" x14ac:dyDescent="0.25">
      <c r="C272" s="32" t="s">
        <v>263</v>
      </c>
      <c r="D272" s="33">
        <f>SUM(E273)</f>
        <v>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 t="s">
        <v>262</v>
      </c>
      <c r="D273" s="38"/>
      <c r="E273" s="39">
        <f>I273*K273</f>
        <v>0</v>
      </c>
      <c r="F273" s="41"/>
      <c r="G273" s="41"/>
      <c r="H273" s="41"/>
      <c r="I273" s="24">
        <v>0</v>
      </c>
      <c r="J273" s="25" t="s">
        <v>166</v>
      </c>
      <c r="K273" s="48">
        <v>0</v>
      </c>
    </row>
    <row r="274" spans="3:11" ht="15.95" customHeight="1" thickBot="1" x14ac:dyDescent="0.3">
      <c r="C274" s="18" t="s">
        <v>57</v>
      </c>
      <c r="D274" s="14">
        <f>SUM(D2:D273)</f>
        <v>96293.440000000002</v>
      </c>
      <c r="E274" s="15"/>
      <c r="F274" s="53"/>
      <c r="G274" s="53"/>
      <c r="H274" s="53"/>
      <c r="I274" s="53"/>
      <c r="J274" s="53"/>
      <c r="K274" s="53"/>
    </row>
    <row r="275" spans="3:11" ht="15.95" customHeight="1" thickTop="1" x14ac:dyDescent="0.25"/>
  </sheetData>
  <autoFilter ref="C1:K274" xr:uid="{00000000-0009-0000-0000-000000000000}">
    <filterColumn colId="1">
      <customFilters>
        <customFilter operator="notEqual" val=" "/>
      </customFilters>
    </filterColumn>
  </autoFilter>
  <mergeCells count="1">
    <mergeCell ref="F274:K27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2025-10-08T07:58:53Z</dcterms:modified>
</cp:coreProperties>
</file>