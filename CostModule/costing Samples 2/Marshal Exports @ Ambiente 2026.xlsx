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Marshal Exports @ Ambiente 2026\"/>
    </mc:Choice>
  </mc:AlternateContent>
  <xr:revisionPtr revIDLastSave="0" documentId="13_ncr:1_{84661E34-CADD-41FD-9302-6B8B964C37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9" i="1" l="1"/>
  <c r="E32" i="1"/>
  <c r="E136" i="1" l="1"/>
  <c r="E269" i="1" l="1"/>
  <c r="D268" i="1" s="1"/>
  <c r="E82" i="1" l="1"/>
  <c r="E81" i="1"/>
  <c r="E91" i="1" l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90" i="1" l="1"/>
  <c r="D89" i="1" s="1"/>
  <c r="E15" i="1" l="1"/>
  <c r="E85" i="1" l="1"/>
  <c r="E86" i="1"/>
  <c r="E87" i="1"/>
  <c r="E209" i="1" l="1"/>
  <c r="E133" i="1"/>
  <c r="E166" i="1"/>
  <c r="D165" i="1" s="1"/>
  <c r="D208" i="1" l="1"/>
  <c r="E88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3" i="1" l="1"/>
  <c r="E44" i="1"/>
  <c r="E38" i="1"/>
  <c r="E39" i="1"/>
  <c r="E40" i="1"/>
  <c r="E31" i="1"/>
  <c r="E33" i="1"/>
  <c r="E27" i="1"/>
  <c r="E84" i="1" l="1"/>
  <c r="E83" i="1"/>
  <c r="E80" i="1"/>
  <c r="E51" i="1"/>
  <c r="E50" i="1"/>
  <c r="E49" i="1"/>
  <c r="E61" i="1" l="1"/>
  <c r="E63" i="1" l="1"/>
  <c r="E60" i="1"/>
  <c r="E45" i="1" l="1"/>
  <c r="E41" i="1"/>
  <c r="E42" i="1"/>
  <c r="E152" i="1" l="1"/>
  <c r="E144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4" i="1"/>
  <c r="E35" i="1"/>
  <c r="E36" i="1"/>
  <c r="E37" i="1"/>
  <c r="E46" i="1"/>
  <c r="E47" i="1"/>
  <c r="E48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21" i="1"/>
  <c r="D220" i="1" s="1"/>
  <c r="D16" i="1" l="1"/>
  <c r="D151" i="1"/>
  <c r="D132" i="1"/>
  <c r="D143" i="1"/>
  <c r="D110" i="1"/>
  <c r="D270" i="1" l="1"/>
</calcChain>
</file>

<file path=xl/sharedStrings.xml><?xml version="1.0" encoding="utf-8"?>
<sst xmlns="http://schemas.openxmlformats.org/spreadsheetml/2006/main" count="584" uniqueCount="284">
  <si>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</si>
  <si>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</si>
  <si>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</si>
  <si>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</si>
  <si>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</si>
  <si>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</si>
  <si>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</si>
  <si>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</si>
  <si>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</si>
  <si>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</si>
  <si>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</si>
  <si>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</si>
  <si>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</si>
  <si>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</si>
  <si>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</si>
  <si>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</si>
  <si>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</si>
  <si>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</si>
  <si>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</si>
  <si>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</si>
  <si>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</si>
  <si>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</si>
  <si>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</si>
  <si>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</si>
  <si>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</si>
  <si>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</si>
  <si>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</si>
  <si>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</si>
  <si>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</si>
  <si>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</si>
  <si>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</si>
  <si>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</si>
  <si>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</si>
  <si>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</si>
  <si>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</si>
  <si>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</si>
  <si>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</si>
  <si>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</si>
  <si>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</si>
  <si>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</si>
  <si>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</si>
  <si>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</si>
  <si>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</si>
  <si>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</si>
  <si>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</si>
  <si>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</si>
  <si>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</si>
  <si>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</si>
  <si>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</si>
  <si>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</si>
  <si>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</si>
  <si>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</si>
  <si>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</si>
  <si>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</si>
  <si>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</si>
  <si>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</si>
  <si>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</si>
  <si>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</si>
  <si>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</si>
  <si>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</si>
  <si>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</si>
  <si>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</si>
  <si>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</si>
  <si>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</si>
  <si>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</si>
  <si>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</si>
  <si>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</si>
  <si>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</si>
  <si>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</si>
  <si>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</si>
  <si>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</si>
  <si>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</si>
  <si>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</si>
  <si>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</si>
  <si>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</si>
  <si>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</si>
  <si>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</si>
  <si>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</si>
  <si>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</si>
  <si>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</si>
  <si>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</si>
  <si>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</si>
  <si>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</si>
  <si>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</si>
  <si>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</si>
  <si>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</si>
  <si>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</si>
  <si>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</si>
  <si>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</si>
  <si>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</si>
  <si>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</si>
  <si>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</si>
  <si>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</si>
  <si>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</si>
  <si>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</si>
  <si>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</si>
  <si>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</si>
  <si>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</si>
  <si>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</si>
  <si>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</si>
  <si>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</si>
  <si>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</si>
  <si>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</si>
  <si>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</si>
  <si>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</si>
  <si>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</si>
  <si>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</si>
  <si>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</si>
  <si>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</si>
  <si>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</si>
  <si>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</si>
  <si>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</si>
  <si>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</si>
  <si>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</si>
  <si>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</si>
  <si>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</si>
  <si>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</si>
  <si>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</si>
  <si>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</si>
  <si>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</si>
  <si>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</si>
  <si>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</si>
  <si>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</si>
  <si>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</si>
  <si>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</si>
  <si>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</si>
  <si>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</si>
  <si>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</si>
  <si>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</si>
  <si>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</si>
  <si>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</si>
  <si>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</si>
  <si>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</si>
  <si>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</si>
  <si>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</si>
  <si>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</si>
  <si>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</si>
  <si>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</si>
  <si>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</si>
  <si>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</si>
  <si>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</si>
  <si>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</si>
  <si>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</si>
  <si>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</si>
  <si>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</si>
  <si>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</si>
  <si>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</si>
  <si>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</si>
  <si>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</si>
  <si>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</si>
  <si>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</si>
  <si>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</si>
  <si>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</si>
  <si>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</si>
  <si>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</si>
  <si>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</si>
  <si>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</si>
  <si>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</si>
  <si>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</si>
  <si>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</si>
  <si>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</si>
  <si>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</si>
  <si>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</si>
  <si>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</si>
  <si>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</si>
  <si>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</si>
  <si>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</si>
  <si>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</si>
  <si>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</si>
  <si>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</si>
  <si>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</si>
  <si>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</si>
  <si>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</si>
  <si>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</si>
  <si>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</si>
  <si>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</si>
  <si>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</si>
  <si>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</si>
  <si>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</si>
  <si>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</si>
  <si>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</si>
  <si>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</si>
  <si>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</si>
  <si>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</si>
  <si>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</si>
  <si>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</si>
  <si>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</si>
  <si>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</si>
  <si>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</si>
  <si>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</si>
  <si>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</si>
  <si>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</si>
  <si>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</si>
  <si>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</si>
  <si>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</si>
  <si>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</si>
  <si>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</si>
  <si>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</si>
  <si>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</si>
  <si>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</si>
  <si>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</si>
  <si>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</si>
  <si>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</si>
  <si>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</si>
  <si>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</si>
  <si>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</si>
  <si>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</si>
  <si>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</si>
  <si>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</si>
  <si>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</si>
  <si>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</si>
  <si>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</si>
  <si>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</si>
  <si>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</si>
  <si>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</si>
  <si>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</si>
  <si>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</si>
  <si>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</si>
  <si>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</si>
  <si>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</si>
  <si>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</si>
  <si>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</si>
  <si>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</si>
  <si>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</si>
  <si>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</si>
  <si>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</si>
  <si>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</si>
  <si>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</si>
  <si>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</si>
  <si>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</si>
  <si>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</si>
  <si>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</si>
  <si>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</si>
  <si>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</si>
  <si>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</si>
  <si>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</si>
  <si>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</si>
  <si>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</si>
  <si>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</si>
  <si>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</si>
  <si>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</si>
  <si>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</si>
  <si>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</si>
  <si>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</si>
  <si>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</si>
  <si>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</si>
  <si>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</si>
  <si>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</si>
  <si>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</si>
  <si>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</si>
  <si>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</si>
  <si>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</si>
  <si>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</si>
  <si>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</si>
  <si>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</si>
  <si>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</si>
  <si>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</si>
  <si>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</si>
  <si>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</si>
  <si>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</si>
  <si>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</si>
  <si>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</si>
  <si>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</si>
  <si>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</si>
  <si>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</si>
  <si>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</si>
  <si>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</si>
  <si>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</si>
  <si>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</si>
  <si>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</si>
  <si>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</si>
  <si>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</si>
  <si>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Walls 6m( Double side Laminated)  (Shelf)</t>
  </si>
  <si>
    <t>Walls 3.5m( Double side Laminated)  (Shelf)</t>
  </si>
  <si>
    <t>Walls 6m( Double side Laminated)  (Beams)</t>
  </si>
  <si>
    <t>Opt Nr:-  1</t>
  </si>
  <si>
    <t>Date:- 29-10-2025</t>
  </si>
  <si>
    <t>Marshal Exports</t>
  </si>
  <si>
    <t>AMBIENTE 2026</t>
  </si>
  <si>
    <t>11M X 6.5M</t>
  </si>
  <si>
    <t>72 SQM</t>
  </si>
  <si>
    <t>3.5M</t>
  </si>
  <si>
    <t>06-10 FEB, 2026</t>
  </si>
  <si>
    <t>FRANKFURT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</si>
</sst>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1</xdr:rowOff>
    </xdr:from>
    <xdr:to>
      <xdr:col>1</xdr:col>
      <xdr:colOff>1038225</xdr:colOff>
      <xdr:row>263</xdr:row>
      <xdr:rowOff>176433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1D0D08-76D9-4AE7-A899-F869BCA13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6"/>
          <a:ext cx="2095500" cy="13765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60" sqref="D26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275</v>
      </c>
      <c r="B1" s="31" t="s">
        <v>276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277</v>
      </c>
      <c r="C2" s="26" t="s">
        <v>151</v>
      </c>
      <c r="D2" s="27">
        <f>SUM(E3:E11)</f>
        <v>205.92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205.92</v>
      </c>
      <c r="F3" s="8"/>
      <c r="G3" s="8"/>
      <c r="H3" s="8"/>
      <c r="I3" s="9">
        <v>72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278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283</v>
      </c>
      <c r="C16" s="26" t="s">
        <v>184</v>
      </c>
      <c r="D16" s="27">
        <f>SUM(E17:E88)</f>
        <v>7979.9699999999993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B31" s="29" t="s">
        <v>249</v>
      </c>
      <c r="C31" s="7" t="s">
        <v>97</v>
      </c>
      <c r="D31" s="7"/>
      <c r="E31" s="8">
        <f t="shared" si="1"/>
        <v>1281.4099999999999</v>
      </c>
      <c r="F31" s="8">
        <v>1</v>
      </c>
      <c r="G31" s="8">
        <v>0.1</v>
      </c>
      <c r="H31" s="8">
        <v>3.5</v>
      </c>
      <c r="I31" s="9">
        <v>13</v>
      </c>
      <c r="J31" s="10" t="s">
        <v>154</v>
      </c>
      <c r="K31" s="30">
        <v>98.57</v>
      </c>
    </row>
    <row r="32" spans="2:11" ht="15.95" hidden="1" customHeight="1" x14ac:dyDescent="0.25">
      <c r="B32" s="29" t="s">
        <v>249</v>
      </c>
      <c r="C32" s="7" t="s">
        <v>98</v>
      </c>
      <c r="D32" s="7"/>
      <c r="E32" s="8">
        <f t="shared" ref="E32" si="2">I32*K32</f>
        <v>1733.3400000000001</v>
      </c>
      <c r="F32" s="8">
        <v>1</v>
      </c>
      <c r="G32" s="8">
        <v>0.1</v>
      </c>
      <c r="H32" s="8">
        <v>3.5</v>
      </c>
      <c r="I32" s="9">
        <v>14</v>
      </c>
      <c r="J32" s="10" t="s">
        <v>154</v>
      </c>
      <c r="K32" s="30">
        <v>123.81</v>
      </c>
    </row>
    <row r="33" spans="2:11" ht="15.95" hidden="1" customHeight="1" x14ac:dyDescent="0.25">
      <c r="B33" s="29"/>
      <c r="C33" s="7" t="s">
        <v>273</v>
      </c>
      <c r="D33" s="7"/>
      <c r="E33" s="8">
        <f t="shared" si="1"/>
        <v>1114.29</v>
      </c>
      <c r="F33" s="8">
        <v>1</v>
      </c>
      <c r="G33" s="8">
        <v>0.1</v>
      </c>
      <c r="H33" s="8">
        <v>3.5</v>
      </c>
      <c r="I33" s="9">
        <v>9</v>
      </c>
      <c r="J33" s="10" t="s">
        <v>154</v>
      </c>
      <c r="K33" s="30">
        <v>123.81</v>
      </c>
    </row>
    <row r="34" spans="2:11" ht="15.95" hidden="1" customHeight="1" x14ac:dyDescent="0.25">
      <c r="B34" s="29" t="s">
        <v>249</v>
      </c>
      <c r="C34" s="7" t="s">
        <v>32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67.86</v>
      </c>
    </row>
    <row r="35" spans="2:11" ht="15.95" hidden="1" customHeight="1" x14ac:dyDescent="0.25">
      <c r="B35" s="29" t="s">
        <v>249</v>
      </c>
      <c r="C35" s="7" t="s">
        <v>31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92.57</v>
      </c>
    </row>
    <row r="36" spans="2:11" ht="15.95" hidden="1" customHeight="1" x14ac:dyDescent="0.25">
      <c r="C36" s="7" t="s">
        <v>30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103.43</v>
      </c>
    </row>
    <row r="37" spans="2:11" ht="15.95" hidden="1" customHeight="1" x14ac:dyDescent="0.25">
      <c r="C37" s="7" t="s">
        <v>29</v>
      </c>
      <c r="D37" s="7"/>
      <c r="E37" s="8">
        <f t="shared" si="1"/>
        <v>0</v>
      </c>
      <c r="F37" s="8">
        <v>1</v>
      </c>
      <c r="G37" s="8">
        <v>0.1</v>
      </c>
      <c r="H37" s="8">
        <v>4</v>
      </c>
      <c r="I37" s="9">
        <v>0</v>
      </c>
      <c r="J37" s="10" t="s">
        <v>154</v>
      </c>
      <c r="K37" s="30">
        <v>146.29</v>
      </c>
    </row>
    <row r="38" spans="2:11" ht="15.95" hidden="1" customHeight="1" x14ac:dyDescent="0.25">
      <c r="C38" s="7" t="s">
        <v>75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76.19</v>
      </c>
    </row>
    <row r="39" spans="2:11" ht="15.95" hidden="1" customHeight="1" x14ac:dyDescent="0.25">
      <c r="C39" s="7" t="s">
        <v>100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104.76</v>
      </c>
    </row>
    <row r="40" spans="2:11" ht="15.95" hidden="1" customHeight="1" x14ac:dyDescent="0.25">
      <c r="C40" s="7" t="s">
        <v>101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115.24</v>
      </c>
    </row>
    <row r="41" spans="2:11" ht="15.95" hidden="1" customHeight="1" x14ac:dyDescent="0.25">
      <c r="C41" s="7" t="s">
        <v>102</v>
      </c>
      <c r="D41" s="7"/>
      <c r="E41" s="8">
        <f t="shared" si="1"/>
        <v>0</v>
      </c>
      <c r="F41" s="8">
        <v>1</v>
      </c>
      <c r="G41" s="8">
        <v>0.1</v>
      </c>
      <c r="H41" s="8">
        <v>4.5</v>
      </c>
      <c r="I41" s="9">
        <v>0</v>
      </c>
      <c r="J41" s="10" t="s">
        <v>154</v>
      </c>
      <c r="K41" s="30">
        <v>160.47999999999999</v>
      </c>
    </row>
    <row r="42" spans="2:11" ht="15.95" hidden="1" customHeight="1" x14ac:dyDescent="0.25">
      <c r="B42" s="29" t="s">
        <v>249</v>
      </c>
      <c r="C42" s="7" t="s">
        <v>76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77.38</v>
      </c>
    </row>
    <row r="43" spans="2:11" ht="15.95" hidden="1" customHeight="1" x14ac:dyDescent="0.25">
      <c r="B43" s="29" t="s">
        <v>249</v>
      </c>
      <c r="C43" s="7" t="s">
        <v>103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110.71</v>
      </c>
    </row>
    <row r="44" spans="2:11" ht="15.95" hidden="1" customHeight="1" x14ac:dyDescent="0.25">
      <c r="C44" s="7" t="s">
        <v>77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128.57</v>
      </c>
    </row>
    <row r="45" spans="2:11" ht="15.95" hidden="1" customHeight="1" x14ac:dyDescent="0.25">
      <c r="C45" s="7" t="s">
        <v>104</v>
      </c>
      <c r="D45" s="7"/>
      <c r="E45" s="8">
        <f t="shared" si="1"/>
        <v>0</v>
      </c>
      <c r="F45" s="8">
        <v>1</v>
      </c>
      <c r="G45" s="8">
        <v>0.1</v>
      </c>
      <c r="H45" s="8">
        <v>5</v>
      </c>
      <c r="I45" s="9">
        <v>0</v>
      </c>
      <c r="J45" s="10" t="s">
        <v>154</v>
      </c>
      <c r="K45" s="30">
        <v>169.05</v>
      </c>
    </row>
    <row r="46" spans="2:11" ht="15.95" hidden="1" customHeight="1" x14ac:dyDescent="0.25">
      <c r="C46" s="7" t="s">
        <v>28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79.14</v>
      </c>
    </row>
    <row r="47" spans="2:11" ht="15.95" hidden="1" customHeight="1" x14ac:dyDescent="0.25">
      <c r="C47" s="7" t="s">
        <v>27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115.14</v>
      </c>
    </row>
    <row r="48" spans="2:11" ht="15.95" hidden="1" customHeight="1" x14ac:dyDescent="0.25">
      <c r="C48" s="7" t="s">
        <v>26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136</v>
      </c>
    </row>
    <row r="49" spans="2:11" ht="15.95" hidden="1" customHeight="1" x14ac:dyDescent="0.25">
      <c r="C49" s="7" t="s">
        <v>25</v>
      </c>
      <c r="D49" s="7"/>
      <c r="E49" s="8">
        <f t="shared" si="1"/>
        <v>0</v>
      </c>
      <c r="F49" s="8">
        <v>1</v>
      </c>
      <c r="G49" s="8">
        <v>0.1</v>
      </c>
      <c r="H49" s="8">
        <v>6</v>
      </c>
      <c r="I49" s="9">
        <v>0</v>
      </c>
      <c r="J49" s="10" t="s">
        <v>154</v>
      </c>
      <c r="K49" s="30">
        <v>193.14</v>
      </c>
    </row>
    <row r="50" spans="2:11" ht="15.95" hidden="1" customHeight="1" x14ac:dyDescent="0.25">
      <c r="C50" s="7" t="s">
        <v>95</v>
      </c>
      <c r="D50" s="7"/>
      <c r="E50" s="8">
        <f t="shared" ref="E50:E82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41.67</v>
      </c>
    </row>
    <row r="51" spans="2:11" ht="15.95" hidden="1" customHeight="1" x14ac:dyDescent="0.25">
      <c r="C51" s="7" t="s">
        <v>96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154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156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0</v>
      </c>
      <c r="F59" s="8">
        <v>1</v>
      </c>
      <c r="G59" s="8">
        <v>0.2</v>
      </c>
      <c r="H59" s="8">
        <v>3</v>
      </c>
      <c r="I59" s="9">
        <v>0</v>
      </c>
      <c r="J59" s="10" t="s">
        <v>156</v>
      </c>
      <c r="K59" s="30">
        <v>132.57</v>
      </c>
    </row>
    <row r="60" spans="2:11" ht="15.95" hidden="1" customHeight="1" x14ac:dyDescent="0.25">
      <c r="C60" s="7" t="s">
        <v>105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95.24</v>
      </c>
    </row>
    <row r="61" spans="2:11" ht="15.95" hidden="1" customHeight="1" x14ac:dyDescent="0.25">
      <c r="C61" s="7" t="s">
        <v>106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102.38</v>
      </c>
    </row>
    <row r="62" spans="2:11" ht="15.95" hidden="1" customHeight="1" x14ac:dyDescent="0.25">
      <c r="C62" s="7" t="s">
        <v>107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117.14</v>
      </c>
    </row>
    <row r="63" spans="2:11" ht="15.95" hidden="1" customHeight="1" x14ac:dyDescent="0.25">
      <c r="B63" s="29" t="s">
        <v>249</v>
      </c>
      <c r="C63" s="7" t="s">
        <v>78</v>
      </c>
      <c r="D63" s="7"/>
      <c r="E63" s="8">
        <f t="shared" si="3"/>
        <v>857.16000000000008</v>
      </c>
      <c r="F63" s="8">
        <v>1</v>
      </c>
      <c r="G63" s="8">
        <v>0.2</v>
      </c>
      <c r="H63" s="8">
        <v>3.5</v>
      </c>
      <c r="I63" s="9">
        <v>6</v>
      </c>
      <c r="J63" s="10" t="s">
        <v>156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96.29</v>
      </c>
    </row>
    <row r="65" spans="3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126</v>
      </c>
    </row>
    <row r="66" spans="3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136</v>
      </c>
    </row>
    <row r="67" spans="3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156</v>
      </c>
      <c r="K67" s="30">
        <v>179.71</v>
      </c>
    </row>
    <row r="68" spans="3:11" ht="15.95" hidden="1" customHeight="1" x14ac:dyDescent="0.25">
      <c r="C68" s="7" t="s">
        <v>69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100.95</v>
      </c>
    </row>
    <row r="69" spans="3:11" ht="15.95" hidden="1" customHeight="1" x14ac:dyDescent="0.25">
      <c r="C69" s="7" t="s">
        <v>70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130.94999999999999</v>
      </c>
    </row>
    <row r="70" spans="3:11" ht="15.95" hidden="1" customHeight="1" x14ac:dyDescent="0.25">
      <c r="C70" s="7" t="s">
        <v>108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140.47999999999999</v>
      </c>
    </row>
    <row r="71" spans="3:11" ht="15.95" hidden="1" customHeight="1" x14ac:dyDescent="0.25">
      <c r="C71" s="7" t="s">
        <v>138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156</v>
      </c>
      <c r="K71" s="30">
        <v>357.14</v>
      </c>
    </row>
    <row r="72" spans="3:11" ht="15.95" hidden="1" customHeight="1" x14ac:dyDescent="0.25">
      <c r="C72" s="7" t="s">
        <v>67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111.43</v>
      </c>
    </row>
    <row r="73" spans="3:11" ht="15.95" hidden="1" customHeight="1" x14ac:dyDescent="0.25">
      <c r="C73" s="7" t="s">
        <v>68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145.24</v>
      </c>
    </row>
    <row r="74" spans="3:11" ht="15.95" hidden="1" customHeight="1" x14ac:dyDescent="0.25">
      <c r="C74" s="7" t="s">
        <v>109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167.86</v>
      </c>
    </row>
    <row r="75" spans="3:11" ht="15.95" hidden="1" customHeight="1" x14ac:dyDescent="0.25">
      <c r="C75" s="7" t="s">
        <v>110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156</v>
      </c>
      <c r="K75" s="30">
        <v>223.81</v>
      </c>
    </row>
    <row r="76" spans="3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116.29</v>
      </c>
    </row>
    <row r="77" spans="3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152.29</v>
      </c>
    </row>
    <row r="78" spans="3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173.14</v>
      </c>
    </row>
    <row r="79" spans="3:11" ht="15.95" hidden="1" customHeight="1" x14ac:dyDescent="0.25">
      <c r="C79" s="7" t="s">
        <v>272</v>
      </c>
      <c r="D79" s="7"/>
      <c r="E79" s="8">
        <f t="shared" ref="E79" si="4">I79*K79</f>
        <v>2533.19</v>
      </c>
      <c r="F79" s="8">
        <v>1</v>
      </c>
      <c r="G79" s="8">
        <v>0.2</v>
      </c>
      <c r="H79" s="8">
        <v>6</v>
      </c>
      <c r="I79" s="9">
        <v>11</v>
      </c>
      <c r="J79" s="10" t="s">
        <v>156</v>
      </c>
      <c r="K79" s="30">
        <v>230.29</v>
      </c>
    </row>
    <row r="80" spans="3:11" ht="15.95" hidden="1" customHeight="1" x14ac:dyDescent="0.25">
      <c r="C80" s="7" t="s">
        <v>274</v>
      </c>
      <c r="D80" s="7"/>
      <c r="E80" s="8">
        <f t="shared" si="3"/>
        <v>460.58</v>
      </c>
      <c r="F80" s="8">
        <v>1</v>
      </c>
      <c r="G80" s="8">
        <v>0.2</v>
      </c>
      <c r="H80" s="8">
        <v>6</v>
      </c>
      <c r="I80" s="9">
        <v>2</v>
      </c>
      <c r="J80" s="10" t="s">
        <v>156</v>
      </c>
      <c r="K80" s="30">
        <v>230.29</v>
      </c>
    </row>
    <row r="81" spans="1:11" customFormat="1" ht="15.95" hidden="1" customHeight="1" x14ac:dyDescent="0.25">
      <c r="A81" s="43"/>
      <c r="B81" s="45"/>
      <c r="C81" s="23" t="s">
        <v>260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261</v>
      </c>
      <c r="K81" s="30">
        <v>7.85</v>
      </c>
    </row>
    <row r="82" spans="1:11" customFormat="1" ht="15.95" hidden="1" customHeight="1" x14ac:dyDescent="0.25">
      <c r="A82" s="43"/>
      <c r="B82" s="45"/>
      <c r="C82" s="23" t="s">
        <v>262</v>
      </c>
      <c r="D82" s="23"/>
      <c r="E82" s="24">
        <f t="shared" si="3"/>
        <v>0</v>
      </c>
      <c r="F82" s="24">
        <v>1</v>
      </c>
      <c r="G82" s="24"/>
      <c r="H82" s="24">
        <v>1</v>
      </c>
      <c r="I82" s="44">
        <v>0</v>
      </c>
      <c r="J82" s="25" t="s">
        <v>261</v>
      </c>
      <c r="K82" s="30">
        <v>15.7</v>
      </c>
    </row>
    <row r="83" spans="1:11" ht="15.95" hidden="1" customHeight="1" x14ac:dyDescent="0.25">
      <c r="C83" s="7" t="s">
        <v>95</v>
      </c>
      <c r="D83" s="7"/>
      <c r="E83" s="8">
        <f t="shared" ref="E83:E88" si="5">I83*K83</f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156</v>
      </c>
      <c r="K83" s="30">
        <v>41.67</v>
      </c>
    </row>
    <row r="84" spans="1:11" ht="15.95" hidden="1" customHeight="1" x14ac:dyDescent="0.25">
      <c r="C84" s="7" t="s">
        <v>96</v>
      </c>
      <c r="D84" s="7"/>
      <c r="E84" s="8">
        <f t="shared" si="5"/>
        <v>0</v>
      </c>
      <c r="F84" s="8">
        <v>1</v>
      </c>
      <c r="G84" s="8">
        <v>0.2</v>
      </c>
      <c r="H84" s="8">
        <v>6</v>
      </c>
      <c r="I84" s="9">
        <v>0</v>
      </c>
      <c r="J84" s="10" t="s">
        <v>156</v>
      </c>
      <c r="K84" s="30">
        <v>83.33</v>
      </c>
    </row>
    <row r="85" spans="1:11" ht="15.95" hidden="1" customHeight="1" x14ac:dyDescent="0.25">
      <c r="B85" s="29" t="s">
        <v>249</v>
      </c>
      <c r="C85" s="7" t="s">
        <v>173</v>
      </c>
      <c r="D85" s="7"/>
      <c r="E85" s="8">
        <f t="shared" si="5"/>
        <v>0</v>
      </c>
      <c r="F85" s="8">
        <v>1</v>
      </c>
      <c r="G85" s="8"/>
      <c r="H85" s="8"/>
      <c r="I85" s="9">
        <v>0</v>
      </c>
      <c r="J85" s="10" t="s">
        <v>111</v>
      </c>
      <c r="K85" s="30">
        <v>47.62</v>
      </c>
    </row>
    <row r="86" spans="1:11" ht="15.95" hidden="1" customHeight="1" x14ac:dyDescent="0.25">
      <c r="B86" s="29" t="s">
        <v>249</v>
      </c>
      <c r="C86" s="7" t="s">
        <v>174</v>
      </c>
      <c r="D86" s="7"/>
      <c r="E86" s="8">
        <f t="shared" si="5"/>
        <v>0</v>
      </c>
      <c r="F86" s="8">
        <v>1</v>
      </c>
      <c r="G86" s="8"/>
      <c r="H86" s="8"/>
      <c r="I86" s="9">
        <v>0</v>
      </c>
      <c r="J86" s="10" t="s">
        <v>169</v>
      </c>
      <c r="K86" s="30">
        <v>190.48</v>
      </c>
    </row>
    <row r="87" spans="1:11" ht="15.95" hidden="1" customHeight="1" x14ac:dyDescent="0.25">
      <c r="B87" s="29" t="s">
        <v>249</v>
      </c>
      <c r="C87" s="7" t="s">
        <v>175</v>
      </c>
      <c r="D87" s="7"/>
      <c r="E87" s="8">
        <f t="shared" si="5"/>
        <v>0</v>
      </c>
      <c r="F87" s="8">
        <v>1</v>
      </c>
      <c r="G87" s="8"/>
      <c r="H87" s="8"/>
      <c r="I87" s="9">
        <v>0</v>
      </c>
      <c r="J87" s="10" t="s">
        <v>169</v>
      </c>
      <c r="K87" s="30">
        <v>190.48</v>
      </c>
    </row>
    <row r="88" spans="1:11" ht="15.95" hidden="1" customHeight="1" x14ac:dyDescent="0.25">
      <c r="C88" s="7" t="s">
        <v>176</v>
      </c>
      <c r="D88" s="7"/>
      <c r="E88" s="8">
        <f t="shared" si="5"/>
        <v>0</v>
      </c>
      <c r="F88" s="8">
        <v>1</v>
      </c>
      <c r="G88" s="8">
        <v>0.2</v>
      </c>
      <c r="H88" s="8">
        <v>1</v>
      </c>
      <c r="I88" s="9">
        <v>0</v>
      </c>
      <c r="J88" s="10" t="s">
        <v>111</v>
      </c>
      <c r="K88" s="30">
        <v>32.14</v>
      </c>
    </row>
    <row r="89" spans="1:11" s="4" customFormat="1" ht="15.95" customHeight="1" x14ac:dyDescent="0.25">
      <c r="A89" s="21" t="s">
        <v>145</v>
      </c>
      <c r="B89" s="4" t="s">
        <v>282</v>
      </c>
      <c r="C89" s="26" t="s">
        <v>195</v>
      </c>
      <c r="D89" s="27">
        <f>SUM(E90:E109)</f>
        <v>0</v>
      </c>
      <c r="E89" s="51"/>
      <c r="F89" s="27"/>
      <c r="G89" s="27"/>
      <c r="H89" s="27"/>
      <c r="I89" s="27"/>
      <c r="J89" s="28"/>
      <c r="K89" s="47"/>
    </row>
    <row r="90" spans="1:11" s="22" customFormat="1" ht="15.95" hidden="1" customHeight="1" x14ac:dyDescent="0.25">
      <c r="B90" s="29" t="s">
        <v>249</v>
      </c>
      <c r="C90" s="23" t="s">
        <v>170</v>
      </c>
      <c r="D90" s="23"/>
      <c r="E90" s="24">
        <f t="shared" ref="E90:E109" si="6">I90*K90</f>
        <v>0</v>
      </c>
      <c r="F90" s="24"/>
      <c r="G90" s="24"/>
      <c r="H90" s="24"/>
      <c r="I90" s="24">
        <v>0</v>
      </c>
      <c r="J90" s="25" t="s">
        <v>166</v>
      </c>
      <c r="K90" s="48">
        <v>25</v>
      </c>
    </row>
    <row r="91" spans="1:11" s="22" customFormat="1" ht="15.95" hidden="1" customHeight="1" x14ac:dyDescent="0.25">
      <c r="B91" s="29" t="s">
        <v>249</v>
      </c>
      <c r="C91" s="23" t="s">
        <v>192</v>
      </c>
      <c r="D91" s="23"/>
      <c r="E91" s="24">
        <f t="shared" si="6"/>
        <v>0</v>
      </c>
      <c r="F91" s="24"/>
      <c r="G91" s="24"/>
      <c r="H91" s="24"/>
      <c r="I91" s="24">
        <v>0</v>
      </c>
      <c r="J91" s="25" t="s">
        <v>166</v>
      </c>
      <c r="K91" s="48">
        <v>10</v>
      </c>
    </row>
    <row r="92" spans="1:11" s="22" customFormat="1" ht="15.95" hidden="1" customHeight="1" x14ac:dyDescent="0.25">
      <c r="B92" s="29" t="s">
        <v>249</v>
      </c>
      <c r="C92" s="23" t="s">
        <v>193</v>
      </c>
      <c r="D92" s="23"/>
      <c r="E92" s="24">
        <f t="shared" si="6"/>
        <v>0</v>
      </c>
      <c r="F92" s="24"/>
      <c r="G92" s="24"/>
      <c r="H92" s="24"/>
      <c r="I92" s="24">
        <v>0</v>
      </c>
      <c r="J92" s="25" t="s">
        <v>166</v>
      </c>
      <c r="K92" s="48">
        <v>2</v>
      </c>
    </row>
    <row r="93" spans="1:11" s="4" customFormat="1" ht="15.95" hidden="1" customHeight="1" x14ac:dyDescent="0.25">
      <c r="B93" s="29" t="s">
        <v>249</v>
      </c>
      <c r="C93" s="7" t="s">
        <v>250</v>
      </c>
      <c r="D93" s="7"/>
      <c r="E93" s="24">
        <f t="shared" si="6"/>
        <v>0</v>
      </c>
      <c r="F93" s="8"/>
      <c r="G93" s="8"/>
      <c r="H93" s="8"/>
      <c r="I93" s="8">
        <v>0</v>
      </c>
      <c r="J93" s="10" t="s">
        <v>166</v>
      </c>
      <c r="K93" s="48">
        <v>800</v>
      </c>
    </row>
    <row r="94" spans="1:11" s="4" customFormat="1" ht="15.95" hidden="1" customHeight="1" x14ac:dyDescent="0.25">
      <c r="B94" s="29" t="s">
        <v>249</v>
      </c>
      <c r="C94" s="7" t="s">
        <v>251</v>
      </c>
      <c r="D94" s="7"/>
      <c r="E94" s="24">
        <f t="shared" si="6"/>
        <v>0</v>
      </c>
      <c r="F94" s="8"/>
      <c r="G94" s="8"/>
      <c r="H94" s="8"/>
      <c r="I94" s="8">
        <v>0</v>
      </c>
      <c r="J94" s="10" t="s">
        <v>166</v>
      </c>
      <c r="K94" s="48">
        <v>1210</v>
      </c>
    </row>
    <row r="95" spans="1:11" s="4" customFormat="1" ht="15.95" hidden="1" customHeight="1" x14ac:dyDescent="0.25">
      <c r="B95" s="29" t="s">
        <v>249</v>
      </c>
      <c r="C95" s="7" t="s">
        <v>265</v>
      </c>
      <c r="D95" s="7"/>
      <c r="E95" s="24">
        <f t="shared" si="6"/>
        <v>0</v>
      </c>
      <c r="F95" s="8"/>
      <c r="G95" s="8"/>
      <c r="H95" s="8"/>
      <c r="I95" s="8">
        <v>0</v>
      </c>
      <c r="J95" s="10" t="s">
        <v>166</v>
      </c>
      <c r="K95" s="48">
        <v>1820</v>
      </c>
    </row>
    <row r="96" spans="1:11" s="4" customFormat="1" ht="15.95" hidden="1" customHeight="1" x14ac:dyDescent="0.25">
      <c r="B96" s="29" t="s">
        <v>249</v>
      </c>
      <c r="C96" s="7" t="s">
        <v>266</v>
      </c>
      <c r="D96" s="7"/>
      <c r="E96" s="24">
        <f t="shared" si="6"/>
        <v>0</v>
      </c>
      <c r="F96" s="8"/>
      <c r="G96" s="8"/>
      <c r="H96" s="8"/>
      <c r="I96" s="8">
        <v>0</v>
      </c>
      <c r="J96" s="10" t="s">
        <v>166</v>
      </c>
      <c r="K96" s="48">
        <v>830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6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6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166</v>
      </c>
      <c r="K98" s="48">
        <v>1000</v>
      </c>
    </row>
    <row r="99" spans="1:11" s="4" customFormat="1" ht="15.95" hidden="1" customHeight="1" x14ac:dyDescent="0.25">
      <c r="B99" s="42"/>
      <c r="C99" s="7" t="s">
        <v>177</v>
      </c>
      <c r="D99" s="7"/>
      <c r="E99" s="24">
        <f t="shared" si="6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166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6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166</v>
      </c>
      <c r="K100" s="48">
        <v>1166.67</v>
      </c>
    </row>
    <row r="101" spans="1:11" s="4" customFormat="1" ht="15.95" hidden="1" customHeight="1" x14ac:dyDescent="0.25">
      <c r="B101" s="42"/>
      <c r="C101" s="7" t="s">
        <v>133</v>
      </c>
      <c r="D101" s="7"/>
      <c r="E101" s="24">
        <f t="shared" si="6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166</v>
      </c>
      <c r="K101" s="48">
        <v>35.71</v>
      </c>
    </row>
    <row r="102" spans="1:11" s="4" customFormat="1" ht="15.95" hidden="1" customHeight="1" x14ac:dyDescent="0.25">
      <c r="B102" s="29" t="s">
        <v>249</v>
      </c>
      <c r="C102" s="7" t="s">
        <v>114</v>
      </c>
      <c r="D102" s="7"/>
      <c r="E102" s="24">
        <f t="shared" si="6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111</v>
      </c>
      <c r="K102" s="48">
        <v>23.33</v>
      </c>
    </row>
    <row r="103" spans="1:11" s="4" customFormat="1" ht="15.95" hidden="1" customHeight="1" x14ac:dyDescent="0.25">
      <c r="B103" s="29" t="s">
        <v>249</v>
      </c>
      <c r="C103" s="7" t="s">
        <v>116</v>
      </c>
      <c r="D103" s="7"/>
      <c r="E103" s="24">
        <f t="shared" si="6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12.86</v>
      </c>
    </row>
    <row r="104" spans="1:11" s="4" customFormat="1" ht="15.95" hidden="1" customHeight="1" x14ac:dyDescent="0.25">
      <c r="B104" s="29" t="s">
        <v>249</v>
      </c>
      <c r="C104" s="7" t="s">
        <v>117</v>
      </c>
      <c r="D104" s="7"/>
      <c r="E104" s="24">
        <f t="shared" si="6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11.9</v>
      </c>
    </row>
    <row r="105" spans="1:11" s="4" customFormat="1" ht="15.95" hidden="1" customHeight="1" x14ac:dyDescent="0.25">
      <c r="B105" s="29" t="s">
        <v>249</v>
      </c>
      <c r="C105" s="7" t="s">
        <v>118</v>
      </c>
      <c r="D105" s="7"/>
      <c r="E105" s="24">
        <f t="shared" si="6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166</v>
      </c>
      <c r="K105" s="48">
        <v>9.52</v>
      </c>
    </row>
    <row r="106" spans="1:11" s="4" customFormat="1" ht="15.95" hidden="1" customHeight="1" x14ac:dyDescent="0.25">
      <c r="C106" s="7" t="s">
        <v>252</v>
      </c>
      <c r="D106" s="7"/>
      <c r="E106" s="24">
        <f t="shared" si="6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111</v>
      </c>
      <c r="K106" s="48">
        <v>15.48</v>
      </c>
    </row>
    <row r="107" spans="1:11" s="4" customFormat="1" ht="15.95" hidden="1" customHeight="1" x14ac:dyDescent="0.25">
      <c r="C107" s="7" t="s">
        <v>115</v>
      </c>
      <c r="D107" s="7"/>
      <c r="E107" s="24">
        <f t="shared" si="6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111</v>
      </c>
      <c r="K107" s="48">
        <v>16.07</v>
      </c>
    </row>
    <row r="108" spans="1:11" s="4" customFormat="1" ht="15.95" hidden="1" customHeight="1" x14ac:dyDescent="0.25">
      <c r="C108" s="7" t="s">
        <v>119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166</v>
      </c>
      <c r="K108" s="48">
        <v>2142.86</v>
      </c>
    </row>
    <row r="109" spans="1:11" s="4" customFormat="1" ht="15.95" hidden="1" customHeight="1" x14ac:dyDescent="0.25">
      <c r="C109" s="7" t="s">
        <v>134</v>
      </c>
      <c r="D109" s="7"/>
      <c r="E109" s="24">
        <f t="shared" si="6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166</v>
      </c>
      <c r="K109" s="48">
        <v>11.9</v>
      </c>
    </row>
    <row r="110" spans="1:11" s="4" customFormat="1" ht="15.95" customHeight="1" x14ac:dyDescent="0.25">
      <c r="A110" s="21" t="s">
        <v>141</v>
      </c>
      <c r="B110" s="4" t="s">
        <v>279</v>
      </c>
      <c r="C110" s="26" t="s">
        <v>196</v>
      </c>
      <c r="D110" s="27">
        <f>SUM(E111:E131)</f>
        <v>1260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269</v>
      </c>
      <c r="D111" s="7"/>
      <c r="E111" s="8">
        <f t="shared" ref="E111:E131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262.86</v>
      </c>
    </row>
    <row r="112" spans="1:11" s="4" customFormat="1" ht="15.95" hidden="1" customHeight="1" x14ac:dyDescent="0.25">
      <c r="C112" s="7" t="s">
        <v>254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166</v>
      </c>
      <c r="K112" s="30">
        <v>564.6</v>
      </c>
    </row>
    <row r="113" spans="2:11" s="4" customFormat="1" ht="15.95" hidden="1" customHeight="1" x14ac:dyDescent="0.25">
      <c r="C113" s="7" t="s">
        <v>270</v>
      </c>
      <c r="D113" s="7"/>
      <c r="E113" s="8">
        <f t="shared" si="7"/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166</v>
      </c>
      <c r="K113" s="30">
        <v>358.69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7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7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7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7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7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7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7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7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7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7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7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7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7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7"/>
        <v>1260</v>
      </c>
      <c r="F128" s="8"/>
      <c r="G128" s="8"/>
      <c r="H128" s="8"/>
      <c r="I128" s="8">
        <v>105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7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7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7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280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8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8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8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8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8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8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8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8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8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8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281</v>
      </c>
      <c r="C143" s="26" t="s">
        <v>205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9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9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9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9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9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9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9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2402.98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10">I152*K152</f>
        <v>0</v>
      </c>
      <c r="F152" s="8"/>
      <c r="G152" s="8"/>
      <c r="H152" s="8"/>
      <c r="I152" s="8">
        <v>0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10"/>
        <v>250</v>
      </c>
      <c r="F153" s="8"/>
      <c r="G153" s="8"/>
      <c r="H153" s="8"/>
      <c r="I153" s="8">
        <v>5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10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10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10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10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10"/>
        <v>1240</v>
      </c>
      <c r="F158" s="8"/>
      <c r="G158" s="8"/>
      <c r="H158" s="8"/>
      <c r="I158" s="8">
        <v>124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10"/>
        <v>125</v>
      </c>
      <c r="F159" s="12"/>
      <c r="G159" s="12"/>
      <c r="H159" s="12"/>
      <c r="I159" s="8">
        <v>25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10"/>
        <v>476</v>
      </c>
      <c r="F160" s="8"/>
      <c r="G160" s="8"/>
      <c r="H160" s="8"/>
      <c r="I160" s="8">
        <v>40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10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10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10"/>
        <v>121.5</v>
      </c>
      <c r="F163" s="8"/>
      <c r="G163" s="8"/>
      <c r="H163" s="8"/>
      <c r="I163" s="8">
        <v>30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10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365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1">I166*K166</f>
        <v>0</v>
      </c>
      <c r="F166" s="12"/>
      <c r="G166" s="12"/>
      <c r="H166" s="12"/>
      <c r="I166" s="8">
        <v>0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1"/>
        <v>144</v>
      </c>
      <c r="F167" s="12"/>
      <c r="G167" s="12"/>
      <c r="H167" s="12"/>
      <c r="I167" s="8">
        <v>12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1"/>
        <v>60</v>
      </c>
      <c r="F168" s="12"/>
      <c r="G168" s="12"/>
      <c r="H168" s="12"/>
      <c r="I168" s="8">
        <v>3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1"/>
        <v>0</v>
      </c>
      <c r="F169" s="12"/>
      <c r="G169" s="12"/>
      <c r="H169" s="12"/>
      <c r="I169" s="8">
        <v>0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1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1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1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1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1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1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1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1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1"/>
        <v>40</v>
      </c>
      <c r="F178" s="12"/>
      <c r="G178" s="12"/>
      <c r="H178" s="12"/>
      <c r="I178" s="8">
        <v>5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1"/>
        <v>0</v>
      </c>
      <c r="F179" s="12"/>
      <c r="G179" s="12"/>
      <c r="H179" s="12"/>
      <c r="I179" s="8">
        <v>0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1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1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1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1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1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1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1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1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1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1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1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1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1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1"/>
        <v>16</v>
      </c>
      <c r="F193" s="8"/>
      <c r="G193" s="8"/>
      <c r="H193" s="8"/>
      <c r="I193" s="8">
        <v>2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1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1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1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1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1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1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1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1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1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1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1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1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1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1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262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2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2"/>
        <v>0</v>
      </c>
      <c r="F210" s="8">
        <v>1</v>
      </c>
      <c r="G210" s="8">
        <v>1</v>
      </c>
      <c r="H210" s="12"/>
      <c r="I210" s="8">
        <v>0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2"/>
        <v>0</v>
      </c>
      <c r="F211" s="8">
        <v>1</v>
      </c>
      <c r="G211" s="8">
        <v>1</v>
      </c>
      <c r="H211" s="12"/>
      <c r="I211" s="8">
        <v>0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2"/>
        <v>262</v>
      </c>
      <c r="F212" s="8">
        <v>1</v>
      </c>
      <c r="G212" s="8">
        <v>1</v>
      </c>
      <c r="H212" s="12"/>
      <c r="I212" s="8">
        <v>20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2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2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2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2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2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2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2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3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3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3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3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3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3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3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3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3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3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3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3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3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3"/>
        <v>0</v>
      </c>
      <c r="F234" s="8"/>
      <c r="G234" s="8"/>
      <c r="H234" s="8"/>
      <c r="I234" s="8">
        <v>0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3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3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3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3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3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3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3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3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3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3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3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3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3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3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3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3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3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3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3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3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3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3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3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3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3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11800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11800</v>
      </c>
      <c r="F261" s="24"/>
      <c r="G261" s="24"/>
      <c r="H261" s="24"/>
      <c r="I261" s="24">
        <v>1</v>
      </c>
      <c r="J261" s="25" t="s">
        <v>166</v>
      </c>
      <c r="K261" s="48">
        <v>11800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31010.87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2025-10-29T14:47:38Z</dcterms:modified>
</cp:coreProperties>
</file>