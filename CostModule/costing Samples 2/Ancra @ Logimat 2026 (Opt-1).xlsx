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Ancra @ Logimat 2026\Option- 1\"/>
    </mc:Choice>
  </mc:AlternateContent>
  <xr:revisionPtr revIDLastSave="0" documentId="13_ncr:1_{4D5129B0-EC12-4F42-AC71-7BF2E092ED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0" i="1" l="1"/>
  <c r="E143" i="1"/>
  <c r="E111" i="1"/>
  <c r="E135" i="1" l="1"/>
  <c r="E270" i="1" l="1"/>
  <c r="D269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3" i="1"/>
  <c r="E134" i="1"/>
  <c r="E136" i="1"/>
  <c r="E137" i="1"/>
  <c r="E138" i="1"/>
  <c r="E139" i="1"/>
  <c r="E140" i="1"/>
  <c r="E141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8" i="1" l="1"/>
  <c r="D87" i="1" s="1"/>
  <c r="E15" i="1" l="1"/>
  <c r="E83" i="1" l="1"/>
  <c r="E84" i="1"/>
  <c r="E85" i="1"/>
  <c r="E209" i="1" l="1"/>
  <c r="E132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D142" i="1" s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2" i="1"/>
  <c r="D221" i="1" s="1"/>
  <c r="D16" i="1" l="1"/>
  <c r="D151" i="1"/>
  <c r="D131" i="1"/>
  <c r="D108" i="1"/>
  <c r="D271" i="1" l="1"/>
</calcChain>
</file>

<file path=xl/sharedStrings.xml><?xml version="1.0" encoding="utf-8"?>
<sst xmlns="http://schemas.openxmlformats.org/spreadsheetml/2006/main" count="583" uniqueCount="283">
  <si>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</si>
  <si>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</si>
  <si>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</si>
  <si>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</si>
  <si>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</si>
  <si>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</si>
  <si>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</si>
  <si>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</si>
  <si>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</si>
  <si>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</si>
  <si>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</si>
  <si>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</si>
  <si>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</si>
  <si>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</si>
  <si>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</si>
  <si>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</si>
  <si>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</si>
  <si>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</si>
  <si>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</si>
  <si>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</si>
  <si>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</si>
  <si>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</si>
  <si>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</si>
  <si>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</si>
  <si>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</si>
  <si>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</si>
  <si>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</si>
  <si>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</si>
  <si>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</si>
  <si>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</si>
  <si>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</si>
  <si>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</si>
  <si>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</si>
  <si>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</si>
  <si>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</si>
  <si>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</si>
  <si>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</si>
  <si>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</si>
  <si>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</si>
  <si>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</si>
  <si>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</si>
  <si>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</si>
  <si>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</si>
  <si>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</si>
  <si>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</si>
  <si>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</si>
  <si>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</si>
  <si>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</si>
  <si>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</si>
  <si>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</si>
  <si>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</si>
  <si>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</si>
  <si>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</si>
  <si>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</si>
  <si>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</si>
  <si>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</si>
  <si>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</si>
  <si>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</si>
  <si>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</si>
  <si>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</si>
  <si>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</si>
  <si>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</si>
  <si>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</si>
  <si>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</si>
  <si>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</si>
  <si>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</si>
  <si>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</si>
  <si>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</si>
  <si>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</si>
  <si>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</si>
  <si>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</si>
  <si>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</si>
  <si>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</si>
  <si>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</si>
  <si>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</si>
  <si>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</si>
  <si>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</si>
  <si>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</si>
  <si>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</si>
  <si>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</si>
  <si>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</si>
  <si>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</si>
  <si>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</si>
  <si>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</si>
  <si>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</si>
  <si>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</si>
  <si>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</si>
  <si>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</si>
  <si>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</si>
  <si>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</si>
  <si>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</si>
  <si>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</si>
  <si>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</si>
  <si>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</si>
  <si>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</si>
  <si>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</si>
  <si>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</si>
  <si>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</si>
  <si>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</si>
  <si>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</si>
  <si>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</si>
  <si>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</si>
  <si>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</si>
  <si>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</si>
  <si>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</si>
  <si>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</si>
  <si>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</si>
  <si>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</si>
  <si>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</si>
  <si>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</si>
  <si>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</si>
  <si>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</si>
  <si>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</si>
  <si>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</si>
  <si>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</si>
  <si>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</si>
  <si>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</si>
  <si>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</si>
  <si>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</si>
  <si>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</si>
  <si>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</si>
  <si>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</si>
  <si>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</si>
  <si>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</si>
  <si>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</si>
  <si>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</si>
  <si>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</si>
  <si>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</si>
  <si>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</si>
  <si>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</si>
  <si>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</si>
  <si>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</si>
  <si>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</si>
  <si>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</si>
  <si>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</si>
  <si>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</si>
  <si>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</si>
  <si>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</si>
  <si>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</si>
  <si>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</si>
  <si>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</si>
  <si>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</si>
  <si>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</si>
  <si>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</si>
  <si>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</si>
  <si>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</si>
  <si>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</si>
  <si>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</si>
  <si>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</si>
  <si>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</si>
  <si>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</si>
  <si>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</si>
  <si>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</si>
  <si>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</si>
  <si>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</si>
  <si>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</si>
  <si>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</si>
  <si>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</si>
  <si>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</si>
  <si>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</si>
  <si>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</si>
  <si>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</si>
  <si>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</si>
  <si>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</si>
  <si>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</si>
  <si>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</si>
  <si>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</si>
  <si>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</si>
  <si>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</si>
  <si>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</si>
  <si>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</si>
  <si>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</si>
  <si>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</si>
  <si>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</si>
  <si>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</si>
  <si>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</si>
  <si>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</si>
  <si>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</si>
  <si>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</si>
  <si>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</si>
  <si>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</si>
  <si>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</si>
  <si>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</si>
  <si>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</si>
  <si>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</si>
  <si>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</si>
  <si>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</si>
  <si>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</si>
  <si>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</si>
  <si>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</si>
  <si>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</si>
  <si>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</si>
  <si>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</si>
  <si>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</si>
  <si>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</si>
  <si>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</si>
  <si>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</si>
  <si>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</si>
  <si>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</si>
  <si>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</si>
  <si>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</si>
  <si>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</si>
  <si>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</si>
  <si>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</si>
  <si>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</si>
  <si>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</si>
  <si>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</si>
  <si>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</si>
  <si>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</si>
  <si>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</si>
  <si>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</si>
  <si>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</si>
  <si>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</si>
  <si>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</si>
  <si>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</si>
  <si>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</si>
  <si>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</si>
  <si>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</si>
  <si>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</si>
  <si>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</si>
  <si>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</si>
  <si>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</si>
  <si>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</si>
  <si>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</si>
  <si>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</si>
  <si>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</si>
  <si>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</si>
  <si>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</si>
  <si>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</si>
  <si>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</si>
  <si>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</si>
  <si>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</si>
  <si>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</si>
  <si>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</si>
  <si>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</si>
  <si>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</si>
  <si>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</si>
  <si>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</si>
  <si>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</si>
  <si>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</si>
  <si>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</si>
  <si>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</si>
  <si>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</si>
  <si>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</si>
  <si>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</si>
  <si>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</si>
  <si>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</si>
  <si>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</si>
  <si>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</si>
  <si>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</si>
  <si>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</si>
  <si>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</si>
  <si>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</si>
  <si>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</si>
  <si>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</si>
  <si>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</si>
  <si>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</si>
  <si>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</si>
  <si>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</si>
  <si>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</si>
  <si>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</si>
  <si>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</si>
  <si>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</si>
  <si>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</si>
  <si>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</si>
  <si>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</si>
  <si>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</si>
  <si>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</si>
  <si>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</si>
  <si>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</si>
  <si>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</si>
  <si>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</si>
  <si>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(Laminated)- 1.5 x 0.5 x 1.0</t>
  </si>
  <si>
    <t>FABRIC</t>
  </si>
  <si>
    <t>Opt Nr:-  1</t>
  </si>
  <si>
    <t>Date:- 05-11-2025</t>
  </si>
  <si>
    <t>ANCRA</t>
  </si>
  <si>
    <t>LOGIMAT 2026</t>
  </si>
  <si>
    <t>9M X 3M</t>
  </si>
  <si>
    <t>27 SQM</t>
  </si>
  <si>
    <t>4M</t>
  </si>
  <si>
    <t>24 - 26 March 2026</t>
  </si>
  <si>
    <t>STUTTGART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</si>
</sst>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142</xdr:row>
      <xdr:rowOff>0</xdr:rowOff>
    </xdr:from>
    <xdr:to>
      <xdr:col>1</xdr:col>
      <xdr:colOff>1047750</xdr:colOff>
      <xdr:row>264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058933-BA17-4C79-A20C-22543112E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77.22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77.22</v>
      </c>
      <c r="F3" s="8"/>
      <c r="G3" s="8"/>
      <c r="H3" s="8"/>
      <c r="I3" s="9">
        <v>27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1187.4399999999998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754.31999999999994</v>
      </c>
      <c r="F25" s="8">
        <v>1</v>
      </c>
      <c r="G25" s="8">
        <v>0.1</v>
      </c>
      <c r="H25" s="8">
        <v>3</v>
      </c>
      <c r="I25" s="9">
        <v>12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278.83999999999997</v>
      </c>
      <c r="F26" s="8">
        <v>1</v>
      </c>
      <c r="G26" s="8">
        <v>0.1</v>
      </c>
      <c r="H26" s="8">
        <v>3</v>
      </c>
      <c r="I26" s="9">
        <v>4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154.28</v>
      </c>
      <c r="F52" s="8">
        <v>1</v>
      </c>
      <c r="G52" s="8">
        <v>0.2</v>
      </c>
      <c r="H52" s="8">
        <v>2.5</v>
      </c>
      <c r="I52" s="9">
        <v>2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278</v>
      </c>
      <c r="C108" s="26" t="s">
        <v>196</v>
      </c>
      <c r="D108" s="27">
        <f>SUM(E109:E130)</f>
        <v>190.48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0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5"/>
        <v>190.48</v>
      </c>
      <c r="F112" s="8">
        <v>1.5</v>
      </c>
      <c r="G112" s="8">
        <v>0.5</v>
      </c>
      <c r="H112" s="8">
        <v>1</v>
      </c>
      <c r="I112" s="8">
        <v>1</v>
      </c>
      <c r="J112" s="10" t="s">
        <v>166</v>
      </c>
      <c r="K112" s="30">
        <v>190.48</v>
      </c>
    </row>
    <row r="113" spans="2:11" s="4" customFormat="1" ht="15.95" hidden="1" customHeight="1" x14ac:dyDescent="0.25">
      <c r="C113" s="7" t="s">
        <v>255</v>
      </c>
      <c r="D113" s="7"/>
      <c r="E113" s="8">
        <f t="shared" si="5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166</v>
      </c>
      <c r="K113" s="30">
        <v>302.29000000000002</v>
      </c>
    </row>
    <row r="114" spans="2:11" s="4" customFormat="1" ht="15.95" hidden="1" customHeight="1" x14ac:dyDescent="0.25">
      <c r="C114" s="7" t="s">
        <v>253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604.02</v>
      </c>
    </row>
    <row r="115" spans="2:11" s="4" customFormat="1" ht="15.95" hidden="1" customHeight="1" x14ac:dyDescent="0.25">
      <c r="C115" s="7" t="s">
        <v>256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423.86</v>
      </c>
    </row>
    <row r="116" spans="2:11" s="4" customFormat="1" ht="15.95" hidden="1" customHeight="1" x14ac:dyDescent="0.25">
      <c r="C116" s="7" t="s">
        <v>157</v>
      </c>
      <c r="D116" s="7"/>
      <c r="E116" s="8">
        <f t="shared" si="5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166</v>
      </c>
      <c r="K116" s="30">
        <v>595.24</v>
      </c>
    </row>
    <row r="117" spans="2:11" s="4" customFormat="1" ht="15.95" hidden="1" customHeight="1" x14ac:dyDescent="0.25">
      <c r="C117" s="7" t="s">
        <v>197</v>
      </c>
      <c r="D117" s="7"/>
      <c r="E117" s="8">
        <f t="shared" si="5"/>
        <v>0</v>
      </c>
      <c r="F117" s="8">
        <v>1.5</v>
      </c>
      <c r="G117" s="8">
        <v>0.4</v>
      </c>
      <c r="H117" s="8">
        <v>1</v>
      </c>
      <c r="I117" s="8">
        <v>0</v>
      </c>
      <c r="J117" s="10" t="s">
        <v>166</v>
      </c>
      <c r="K117" s="30">
        <v>161.9</v>
      </c>
    </row>
    <row r="118" spans="2:11" s="4" customFormat="1" ht="15.95" hidden="1" customHeight="1" x14ac:dyDescent="0.25">
      <c r="C118" s="7" t="s">
        <v>198</v>
      </c>
      <c r="D118" s="7"/>
      <c r="E118" s="8">
        <f t="shared" si="5"/>
        <v>0</v>
      </c>
      <c r="F118" s="8">
        <v>1</v>
      </c>
      <c r="G118" s="8">
        <v>0.5</v>
      </c>
      <c r="H118" s="8">
        <v>0.9</v>
      </c>
      <c r="I118" s="8">
        <v>0</v>
      </c>
      <c r="J118" s="10" t="s">
        <v>166</v>
      </c>
      <c r="K118" s="30">
        <v>190.48</v>
      </c>
    </row>
    <row r="119" spans="2:11" s="4" customFormat="1" ht="15.95" hidden="1" customHeight="1" x14ac:dyDescent="0.25">
      <c r="C119" s="7" t="s">
        <v>199</v>
      </c>
      <c r="D119" s="7"/>
      <c r="E119" s="8">
        <f t="shared" si="5"/>
        <v>0</v>
      </c>
      <c r="F119" s="8">
        <v>2.4</v>
      </c>
      <c r="G119" s="8">
        <v>0.4</v>
      </c>
      <c r="H119" s="8">
        <v>1</v>
      </c>
      <c r="I119" s="8">
        <v>0</v>
      </c>
      <c r="J119" s="10" t="s">
        <v>166</v>
      </c>
      <c r="K119" s="30">
        <v>216.67</v>
      </c>
    </row>
    <row r="120" spans="2:11" s="4" customFormat="1" ht="15.95" hidden="1" customHeight="1" x14ac:dyDescent="0.25">
      <c r="C120" s="7" t="s">
        <v>200</v>
      </c>
      <c r="D120" s="7"/>
      <c r="E120" s="8">
        <f t="shared" si="5"/>
        <v>0</v>
      </c>
      <c r="F120" s="8">
        <v>1.2</v>
      </c>
      <c r="G120" s="8">
        <v>0.4</v>
      </c>
      <c r="H120" s="8">
        <v>1</v>
      </c>
      <c r="I120" s="8">
        <v>0</v>
      </c>
      <c r="J120" s="10" t="s">
        <v>166</v>
      </c>
      <c r="K120" s="30">
        <v>154.76</v>
      </c>
    </row>
    <row r="121" spans="2:11" s="4" customFormat="1" ht="15.95" hidden="1" customHeight="1" x14ac:dyDescent="0.25">
      <c r="C121" s="7" t="s">
        <v>201</v>
      </c>
      <c r="D121" s="7"/>
      <c r="E121" s="8">
        <f t="shared" si="5"/>
        <v>0</v>
      </c>
      <c r="F121" s="8">
        <v>0.5</v>
      </c>
      <c r="G121" s="8">
        <v>0.5</v>
      </c>
      <c r="H121" s="8">
        <v>1</v>
      </c>
      <c r="I121" s="8">
        <v>0</v>
      </c>
      <c r="J121" s="10" t="s">
        <v>166</v>
      </c>
      <c r="K121" s="30">
        <v>177.98</v>
      </c>
    </row>
    <row r="122" spans="2:11" s="4" customFormat="1" ht="15.95" hidden="1" customHeight="1" x14ac:dyDescent="0.25">
      <c r="C122" s="7" t="s">
        <v>202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260.12</v>
      </c>
    </row>
    <row r="123" spans="2:11" s="4" customFormat="1" ht="15.95" hidden="1" customHeight="1" x14ac:dyDescent="0.25">
      <c r="B123" s="29" t="s">
        <v>249</v>
      </c>
      <c r="C123" s="7" t="s">
        <v>120</v>
      </c>
      <c r="D123" s="7"/>
      <c r="E123" s="8">
        <f t="shared" si="5"/>
        <v>0</v>
      </c>
      <c r="F123" s="8">
        <v>0.5</v>
      </c>
      <c r="G123" s="8">
        <v>0.5</v>
      </c>
      <c r="H123" s="8">
        <v>2</v>
      </c>
      <c r="I123" s="8">
        <v>0</v>
      </c>
      <c r="J123" s="10" t="s">
        <v>166</v>
      </c>
      <c r="K123" s="30">
        <v>210</v>
      </c>
    </row>
    <row r="124" spans="2:11" s="4" customFormat="1" ht="15.95" hidden="1" customHeight="1" x14ac:dyDescent="0.25">
      <c r="C124" s="7" t="s">
        <v>125</v>
      </c>
      <c r="D124" s="7"/>
      <c r="E124" s="8">
        <f t="shared" si="5"/>
        <v>0</v>
      </c>
      <c r="F124" s="8">
        <v>2.1</v>
      </c>
      <c r="G124" s="8">
        <v>2</v>
      </c>
      <c r="H124" s="8">
        <v>0.9</v>
      </c>
      <c r="I124" s="8">
        <v>0</v>
      </c>
      <c r="J124" s="10" t="s">
        <v>166</v>
      </c>
      <c r="K124" s="30">
        <v>223.81</v>
      </c>
    </row>
    <row r="125" spans="2:11" s="4" customFormat="1" ht="15.95" hidden="1" customHeight="1" x14ac:dyDescent="0.25">
      <c r="C125" s="7" t="s">
        <v>126</v>
      </c>
      <c r="D125" s="7"/>
      <c r="E125" s="8">
        <f t="shared" si="5"/>
        <v>0</v>
      </c>
      <c r="F125" s="8">
        <v>0.45</v>
      </c>
      <c r="G125" s="8">
        <v>0.45</v>
      </c>
      <c r="H125" s="8">
        <v>0.5</v>
      </c>
      <c r="I125" s="8">
        <v>0</v>
      </c>
      <c r="J125" s="10" t="s">
        <v>166</v>
      </c>
      <c r="K125" s="30">
        <v>65</v>
      </c>
    </row>
    <row r="126" spans="2:11" s="4" customFormat="1" ht="15.95" hidden="1" customHeight="1" x14ac:dyDescent="0.25">
      <c r="C126" s="7" t="s">
        <v>127</v>
      </c>
      <c r="D126" s="7"/>
      <c r="E126" s="8">
        <f t="shared" si="5"/>
        <v>0</v>
      </c>
      <c r="F126" s="8">
        <v>1.1000000000000001</v>
      </c>
      <c r="G126" s="8">
        <v>0.35</v>
      </c>
      <c r="H126" s="8">
        <v>1.8</v>
      </c>
      <c r="I126" s="8">
        <v>0</v>
      </c>
      <c r="J126" s="10" t="s">
        <v>166</v>
      </c>
      <c r="K126" s="30">
        <v>35</v>
      </c>
    </row>
    <row r="127" spans="2:11" s="4" customFormat="1" ht="15.95" hidden="1" customHeight="1" x14ac:dyDescent="0.25">
      <c r="B127" s="29" t="s">
        <v>249</v>
      </c>
      <c r="C127" s="7" t="s">
        <v>55</v>
      </c>
      <c r="D127" s="7"/>
      <c r="E127" s="8">
        <f t="shared" si="5"/>
        <v>0</v>
      </c>
      <c r="F127" s="8"/>
      <c r="G127" s="8"/>
      <c r="H127" s="8"/>
      <c r="I127" s="8">
        <v>0</v>
      </c>
      <c r="J127" s="10" t="s">
        <v>166</v>
      </c>
      <c r="K127" s="30">
        <v>12</v>
      </c>
    </row>
    <row r="128" spans="2:11" s="4" customFormat="1" ht="15.95" hidden="1" customHeight="1" x14ac:dyDescent="0.25">
      <c r="C128" s="7" t="s">
        <v>130</v>
      </c>
      <c r="D128" s="7"/>
      <c r="E128" s="8">
        <f t="shared" si="5"/>
        <v>0</v>
      </c>
      <c r="F128" s="8">
        <v>1</v>
      </c>
      <c r="G128" s="8">
        <v>0.1</v>
      </c>
      <c r="H128" s="8">
        <v>1</v>
      </c>
      <c r="I128" s="8">
        <v>0</v>
      </c>
      <c r="J128" s="10" t="s">
        <v>111</v>
      </c>
      <c r="K128" s="30">
        <v>21.9</v>
      </c>
    </row>
    <row r="129" spans="1:11" s="4" customFormat="1" ht="15.95" hidden="1" customHeight="1" x14ac:dyDescent="0.25">
      <c r="C129" s="7" t="s">
        <v>203</v>
      </c>
      <c r="D129" s="7"/>
      <c r="E129" s="8">
        <f t="shared" si="5"/>
        <v>0</v>
      </c>
      <c r="F129" s="8">
        <v>0.5</v>
      </c>
      <c r="G129" s="8">
        <v>0.5</v>
      </c>
      <c r="H129" s="8">
        <v>0.5</v>
      </c>
      <c r="I129" s="8">
        <v>0</v>
      </c>
      <c r="J129" s="10" t="s">
        <v>166</v>
      </c>
      <c r="K129" s="30">
        <v>177.98</v>
      </c>
    </row>
    <row r="130" spans="1:11" s="4" customFormat="1" ht="15.95" hidden="1" customHeight="1" x14ac:dyDescent="0.25">
      <c r="C130" s="7" t="s">
        <v>178</v>
      </c>
      <c r="D130" s="7"/>
      <c r="E130" s="8">
        <f t="shared" si="5"/>
        <v>0</v>
      </c>
      <c r="F130" s="8">
        <v>0.84</v>
      </c>
      <c r="G130" s="8">
        <v>0.84</v>
      </c>
      <c r="H130" s="8">
        <v>2.1</v>
      </c>
      <c r="I130" s="8">
        <v>0</v>
      </c>
      <c r="J130" s="10" t="s">
        <v>166</v>
      </c>
      <c r="K130" s="30">
        <v>383.33</v>
      </c>
    </row>
    <row r="131" spans="1:11" s="4" customFormat="1" ht="15.95" customHeight="1" x14ac:dyDescent="0.25">
      <c r="A131" s="21" t="s">
        <v>143</v>
      </c>
      <c r="B131" s="4" t="s">
        <v>279</v>
      </c>
      <c r="C131" s="26" t="s">
        <v>204</v>
      </c>
      <c r="D131" s="27">
        <f>SUM(E132:E141)</f>
        <v>35</v>
      </c>
      <c r="E131" s="51"/>
      <c r="F131" s="27"/>
      <c r="G131" s="27"/>
      <c r="H131" s="27"/>
      <c r="I131" s="27"/>
      <c r="J131" s="28"/>
      <c r="K131" s="47"/>
    </row>
    <row r="132" spans="1:11" s="4" customFormat="1" ht="15.95" hidden="1" customHeight="1" x14ac:dyDescent="0.25">
      <c r="B132" s="29" t="s">
        <v>249</v>
      </c>
      <c r="C132" s="7" t="s">
        <v>49</v>
      </c>
      <c r="D132" s="7"/>
      <c r="E132" s="8">
        <f t="shared" ref="E132:E141" si="7">I132*K132</f>
        <v>35</v>
      </c>
      <c r="F132" s="12"/>
      <c r="G132" s="12"/>
      <c r="H132" s="12"/>
      <c r="I132" s="8">
        <v>1</v>
      </c>
      <c r="J132" s="10" t="s">
        <v>166</v>
      </c>
      <c r="K132" s="30">
        <v>35</v>
      </c>
    </row>
    <row r="133" spans="1:11" s="4" customFormat="1" ht="15.95" hidden="1" customHeight="1" x14ac:dyDescent="0.25">
      <c r="B133" s="29" t="s">
        <v>249</v>
      </c>
      <c r="C133" s="7" t="s">
        <v>50</v>
      </c>
      <c r="D133" s="7"/>
      <c r="E133" s="8">
        <f t="shared" si="7"/>
        <v>0</v>
      </c>
      <c r="F133" s="8"/>
      <c r="G133" s="8"/>
      <c r="H133" s="8"/>
      <c r="I133" s="8">
        <v>0</v>
      </c>
      <c r="J133" s="10" t="s">
        <v>166</v>
      </c>
      <c r="K133" s="30">
        <v>50</v>
      </c>
    </row>
    <row r="134" spans="1:11" s="4" customFormat="1" ht="15.95" hidden="1" customHeight="1" x14ac:dyDescent="0.25">
      <c r="B134" s="29" t="s">
        <v>249</v>
      </c>
      <c r="C134" s="7" t="s">
        <v>271</v>
      </c>
      <c r="D134" s="7"/>
      <c r="E134" s="8">
        <f t="shared" si="7"/>
        <v>0</v>
      </c>
      <c r="F134" s="8">
        <v>1</v>
      </c>
      <c r="G134" s="8">
        <v>0</v>
      </c>
      <c r="H134" s="8">
        <v>2</v>
      </c>
      <c r="I134" s="8">
        <v>0</v>
      </c>
      <c r="J134" s="10" t="s">
        <v>166</v>
      </c>
      <c r="K134" s="30">
        <v>119.05</v>
      </c>
    </row>
    <row r="135" spans="1:11" s="4" customFormat="1" ht="15.95" hidden="1" customHeight="1" x14ac:dyDescent="0.25">
      <c r="C135" s="7" t="s">
        <v>122</v>
      </c>
      <c r="D135" s="7"/>
      <c r="E135" s="8">
        <f t="shared" si="7"/>
        <v>0</v>
      </c>
      <c r="F135" s="8">
        <v>1</v>
      </c>
      <c r="G135" s="8">
        <v>1</v>
      </c>
      <c r="H135" s="8"/>
      <c r="I135" s="8">
        <v>0</v>
      </c>
      <c r="J135" s="10" t="s">
        <v>111</v>
      </c>
      <c r="K135" s="30">
        <v>28.57</v>
      </c>
    </row>
    <row r="136" spans="1:11" s="4" customFormat="1" ht="15.95" hidden="1" customHeight="1" x14ac:dyDescent="0.25">
      <c r="C136" s="7" t="s">
        <v>74</v>
      </c>
      <c r="D136" s="7"/>
      <c r="E136" s="8">
        <f t="shared" si="7"/>
        <v>0</v>
      </c>
      <c r="F136" s="8">
        <v>1</v>
      </c>
      <c r="G136" s="8">
        <v>0</v>
      </c>
      <c r="H136" s="8">
        <v>1</v>
      </c>
      <c r="I136" s="8">
        <v>0</v>
      </c>
      <c r="J136" s="10" t="s">
        <v>166</v>
      </c>
      <c r="K136" s="30">
        <v>11.9</v>
      </c>
    </row>
    <row r="137" spans="1:11" s="4" customFormat="1" ht="15.95" hidden="1" customHeight="1" x14ac:dyDescent="0.25">
      <c r="C137" s="7" t="s">
        <v>20</v>
      </c>
      <c r="D137" s="7"/>
      <c r="E137" s="8">
        <f t="shared" si="7"/>
        <v>0</v>
      </c>
      <c r="F137" s="8">
        <v>2</v>
      </c>
      <c r="G137" s="8">
        <v>0.2</v>
      </c>
      <c r="H137" s="8">
        <v>0.2</v>
      </c>
      <c r="I137" s="8">
        <v>0</v>
      </c>
      <c r="J137" s="10" t="s">
        <v>166</v>
      </c>
      <c r="K137" s="30">
        <v>136.9</v>
      </c>
    </row>
    <row r="138" spans="1:11" s="4" customFormat="1" ht="15.95" hidden="1" customHeight="1" x14ac:dyDescent="0.25">
      <c r="C138" s="7" t="s">
        <v>171</v>
      </c>
      <c r="D138" s="7"/>
      <c r="E138" s="8">
        <f t="shared" si="7"/>
        <v>0</v>
      </c>
      <c r="F138" s="8">
        <v>1</v>
      </c>
      <c r="G138" s="8">
        <v>1</v>
      </c>
      <c r="H138" s="8">
        <v>0</v>
      </c>
      <c r="I138" s="8">
        <v>0</v>
      </c>
      <c r="J138" s="10" t="s">
        <v>111</v>
      </c>
      <c r="K138" s="30">
        <v>22.62</v>
      </c>
    </row>
    <row r="139" spans="1:11" s="4" customFormat="1" ht="15.95" hidden="1" customHeight="1" x14ac:dyDescent="0.25">
      <c r="C139" s="7" t="s">
        <v>162</v>
      </c>
      <c r="D139" s="7"/>
      <c r="E139" s="8">
        <f t="shared" si="7"/>
        <v>0</v>
      </c>
      <c r="F139" s="8">
        <v>1</v>
      </c>
      <c r="G139" s="8">
        <v>0.1</v>
      </c>
      <c r="H139" s="8">
        <v>1</v>
      </c>
      <c r="I139" s="8">
        <v>0</v>
      </c>
      <c r="J139" s="10" t="s">
        <v>111</v>
      </c>
      <c r="K139" s="30">
        <v>83.33</v>
      </c>
    </row>
    <row r="140" spans="1:11" s="4" customFormat="1" ht="15.95" hidden="1" customHeight="1" x14ac:dyDescent="0.25">
      <c r="C140" s="7" t="s">
        <v>163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32.14</v>
      </c>
    </row>
    <row r="141" spans="1:11" s="4" customFormat="1" ht="15.95" hidden="1" customHeight="1" x14ac:dyDescent="0.25">
      <c r="C141" s="7" t="s">
        <v>164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38.1</v>
      </c>
    </row>
    <row r="142" spans="1:11" s="4" customFormat="1" ht="15.95" customHeight="1" x14ac:dyDescent="0.25">
      <c r="A142" s="21" t="s">
        <v>142</v>
      </c>
      <c r="B142" s="4" t="s">
        <v>280</v>
      </c>
      <c r="C142" s="26" t="s">
        <v>205</v>
      </c>
      <c r="D142" s="27">
        <f>SUM(E143:E150)</f>
        <v>239.51999999999998</v>
      </c>
      <c r="E142" s="51"/>
      <c r="F142" s="27"/>
      <c r="G142" s="27"/>
      <c r="H142" s="27"/>
      <c r="I142" s="27"/>
      <c r="J142" s="28"/>
      <c r="K142" s="47"/>
    </row>
    <row r="143" spans="1:11" s="4" customFormat="1" ht="15.95" hidden="1" customHeight="1" x14ac:dyDescent="0.25">
      <c r="C143" s="7" t="s">
        <v>268</v>
      </c>
      <c r="D143" s="7"/>
      <c r="E143" s="8">
        <f t="shared" ref="E143" si="8">I143*K143</f>
        <v>109.52</v>
      </c>
      <c r="F143" s="8">
        <v>1.5</v>
      </c>
      <c r="G143" s="8">
        <v>0.2</v>
      </c>
      <c r="H143" s="8">
        <v>0.5</v>
      </c>
      <c r="I143" s="8">
        <v>1</v>
      </c>
      <c r="J143" s="10" t="s">
        <v>166</v>
      </c>
      <c r="K143" s="30">
        <v>109.52</v>
      </c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9">I144*K144</f>
        <v>100</v>
      </c>
      <c r="F144" s="8">
        <v>0.5</v>
      </c>
      <c r="G144" s="8">
        <v>0.2</v>
      </c>
      <c r="H144" s="8">
        <v>0.5</v>
      </c>
      <c r="I144" s="8">
        <v>1</v>
      </c>
      <c r="J144" s="10" t="s">
        <v>166</v>
      </c>
      <c r="K144" s="30">
        <v>100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30</v>
      </c>
      <c r="F146" s="8">
        <v>0</v>
      </c>
      <c r="G146" s="8">
        <v>0</v>
      </c>
      <c r="H146" s="8">
        <v>0</v>
      </c>
      <c r="I146" s="8">
        <v>10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398.33000000000004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107.10000000000001</v>
      </c>
      <c r="F152" s="8"/>
      <c r="G152" s="8"/>
      <c r="H152" s="8"/>
      <c r="I152" s="8">
        <v>9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40</v>
      </c>
      <c r="F159" s="12"/>
      <c r="G159" s="12"/>
      <c r="H159" s="12"/>
      <c r="I159" s="8">
        <v>8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60.75</v>
      </c>
      <c r="F163" s="8"/>
      <c r="G163" s="8"/>
      <c r="H163" s="8"/>
      <c r="I163" s="8">
        <v>15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356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45</v>
      </c>
      <c r="F166" s="12"/>
      <c r="G166" s="12"/>
      <c r="H166" s="12"/>
      <c r="I166" s="8">
        <v>3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96</v>
      </c>
      <c r="F167" s="12"/>
      <c r="G167" s="12"/>
      <c r="H167" s="12"/>
      <c r="I167" s="8">
        <v>8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40</v>
      </c>
      <c r="F168" s="12"/>
      <c r="G168" s="12"/>
      <c r="H168" s="12"/>
      <c r="I168" s="8">
        <v>2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30</v>
      </c>
      <c r="F179" s="12"/>
      <c r="G179" s="12"/>
      <c r="H179" s="12"/>
      <c r="I179" s="8">
        <v>2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SUM(E209:E220)</f>
        <v>634.68000000000006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20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ref="E210" si="13">I210*K210</f>
        <v>510.84000000000003</v>
      </c>
      <c r="F210" s="8">
        <v>1</v>
      </c>
      <c r="G210" s="8">
        <v>1</v>
      </c>
      <c r="H210" s="12"/>
      <c r="I210" s="8">
        <v>33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273</v>
      </c>
      <c r="D211" s="7"/>
      <c r="E211" s="8">
        <f t="shared" si="12"/>
        <v>123.84</v>
      </c>
      <c r="F211" s="8">
        <v>1</v>
      </c>
      <c r="G211" s="8">
        <v>1</v>
      </c>
      <c r="H211" s="12"/>
      <c r="I211" s="8">
        <v>8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460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4"/>
        <v>460</v>
      </c>
      <c r="F237" s="8"/>
      <c r="G237" s="8"/>
      <c r="H237" s="8"/>
      <c r="I237" s="8">
        <v>1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8500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8500</v>
      </c>
      <c r="F262" s="24"/>
      <c r="G262" s="24"/>
      <c r="H262" s="24"/>
      <c r="I262" s="24">
        <v>1</v>
      </c>
      <c r="J262" s="25" t="s">
        <v>166</v>
      </c>
      <c r="K262" s="48">
        <v>8500</v>
      </c>
    </row>
    <row r="263" spans="3:11" s="22" customFormat="1" ht="15.95" customHeight="1" x14ac:dyDescent="0.25">
      <c r="C263" s="32" t="s">
        <v>146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149</v>
      </c>
      <c r="K264" s="48">
        <v>1250</v>
      </c>
    </row>
    <row r="265" spans="3:11" s="22" customFormat="1" ht="15.95" customHeight="1" x14ac:dyDescent="0.25">
      <c r="C265" s="32" t="s">
        <v>147</v>
      </c>
      <c r="D265" s="33">
        <f>SUM(E266)</f>
        <v>3000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3000</v>
      </c>
      <c r="F266" s="41"/>
      <c r="G266" s="41"/>
      <c r="H266" s="41"/>
      <c r="I266" s="24">
        <v>2</v>
      </c>
      <c r="J266" s="25" t="s">
        <v>166</v>
      </c>
      <c r="K266" s="48">
        <v>1500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264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263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166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18778.669999999998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2025-11-05T07:21:08Z</dcterms:modified>
</cp:coreProperties>
</file>