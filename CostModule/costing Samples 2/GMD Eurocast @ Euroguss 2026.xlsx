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GMD Eurocast @ Euroguss 2026\Standard Cost\"/>
    </mc:Choice>
  </mc:AlternateContent>
  <xr:revisionPtr revIDLastSave="0" documentId="13_ncr:1_{B1B80738-A109-45F8-9D8E-EE276F1067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0" i="1" l="1"/>
  <c r="E97" i="1"/>
  <c r="E96" i="1"/>
  <c r="E119" i="1"/>
  <c r="E121" i="1"/>
  <c r="E64" i="1"/>
  <c r="E65" i="1"/>
  <c r="E142" i="1" l="1"/>
  <c r="E275" i="1" l="1"/>
  <c r="D274" i="1" s="1"/>
  <c r="E82" i="1" l="1"/>
  <c r="E81" i="1"/>
  <c r="E91" i="1" l="1"/>
  <c r="E92" i="1"/>
  <c r="E93" i="1"/>
  <c r="E94" i="1"/>
  <c r="E95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4" i="1"/>
  <c r="E115" i="1"/>
  <c r="E116" i="1"/>
  <c r="E117" i="1"/>
  <c r="E118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1" i="1"/>
  <c r="E143" i="1"/>
  <c r="E144" i="1"/>
  <c r="E145" i="1"/>
  <c r="E146" i="1"/>
  <c r="E147" i="1"/>
  <c r="E148" i="1"/>
  <c r="E151" i="1"/>
  <c r="E152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3" i="1" l="1"/>
  <c r="D272" i="1" s="1"/>
  <c r="E271" i="1"/>
  <c r="D270" i="1" s="1"/>
  <c r="E269" i="1"/>
  <c r="D268" i="1" s="1"/>
  <c r="E267" i="1"/>
  <c r="D266" i="1" s="1"/>
  <c r="E14" i="1" l="1"/>
  <c r="E90" i="1" l="1"/>
  <c r="D89" i="1" s="1"/>
  <c r="E15" i="1" l="1"/>
  <c r="E85" i="1" l="1"/>
  <c r="E86" i="1"/>
  <c r="E87" i="1"/>
  <c r="E215" i="1" l="1"/>
  <c r="E138" i="1"/>
  <c r="E172" i="1"/>
  <c r="D171" i="1" s="1"/>
  <c r="D214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4" i="1"/>
  <c r="E75" i="1"/>
  <c r="E71" i="1"/>
  <c r="E72" i="1"/>
  <c r="E61" i="1"/>
  <c r="E42" i="1" l="1"/>
  <c r="E43" i="1"/>
  <c r="E37" i="1"/>
  <c r="E38" i="1"/>
  <c r="E39" i="1"/>
  <c r="E31" i="1"/>
  <c r="E32" i="1"/>
  <c r="E27" i="1"/>
  <c r="E84" i="1" l="1"/>
  <c r="E83" i="1"/>
  <c r="E80" i="1"/>
  <c r="E50" i="1"/>
  <c r="E49" i="1"/>
  <c r="E48" i="1"/>
  <c r="E60" i="1" l="1"/>
  <c r="E62" i="1" l="1"/>
  <c r="E59" i="1"/>
  <c r="E44" i="1" l="1"/>
  <c r="E40" i="1"/>
  <c r="E41" i="1"/>
  <c r="E158" i="1" l="1"/>
  <c r="E150" i="1" l="1"/>
  <c r="E69" i="1" l="1"/>
  <c r="E70" i="1"/>
  <c r="E73" i="1"/>
  <c r="E76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6" i="1"/>
  <c r="E67" i="1"/>
  <c r="E68" i="1"/>
  <c r="E77" i="1"/>
  <c r="E78" i="1"/>
  <c r="E79" i="1"/>
  <c r="E113" i="1"/>
  <c r="E227" i="1"/>
  <c r="D226" i="1" s="1"/>
  <c r="D16" i="1" l="1"/>
  <c r="D157" i="1"/>
  <c r="D137" i="1"/>
  <c r="D149" i="1"/>
  <c r="D112" i="1"/>
  <c r="D276" i="1" l="1"/>
</calcChain>
</file>

<file path=xl/sharedStrings.xml><?xml version="1.0" encoding="utf-8"?>
<sst xmlns="http://schemas.openxmlformats.org/spreadsheetml/2006/main" count="595" uniqueCount="287">
  <si>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</si>
  <si>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</si>
  <si>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</si>
  <si>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</si>
  <si>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</si>
  <si>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</si>
  <si>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</si>
  <si>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</si>
  <si>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</si>
  <si>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</si>
  <si>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</si>
  <si>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</si>
  <si>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</si>
  <si>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</si>
  <si>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</si>
  <si>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</si>
  <si>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</si>
  <si>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</si>
  <si>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</si>
  <si>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</si>
  <si>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</si>
  <si>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</si>
  <si>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</si>
  <si>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</si>
  <si>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</si>
  <si>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</si>
  <si>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</si>
  <si>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</si>
  <si>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</si>
  <si>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</si>
  <si>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</si>
  <si>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</si>
  <si>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</si>
  <si>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</si>
  <si>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</si>
  <si>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</si>
  <si>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</si>
  <si>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</si>
  <si>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</si>
  <si>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</si>
  <si>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</si>
  <si>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</si>
  <si>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</si>
  <si>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</si>
  <si>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</si>
  <si>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</si>
  <si>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</si>
  <si>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</si>
  <si>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</si>
  <si>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</si>
  <si>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</si>
  <si>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</si>
  <si>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</si>
  <si>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</si>
  <si>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</si>
  <si>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</si>
  <si>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</si>
  <si>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</si>
  <si>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</si>
  <si>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</si>
  <si>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</si>
  <si>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</si>
  <si>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</si>
  <si>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</si>
  <si>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</si>
  <si>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</si>
  <si>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</si>
  <si>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</si>
  <si>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</si>
  <si>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</si>
  <si>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</si>
  <si>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</si>
  <si>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</si>
  <si>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</si>
  <si>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</si>
  <si>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</si>
  <si>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</si>
  <si>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</si>
  <si>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</si>
  <si>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</si>
  <si>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</si>
  <si>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</si>
  <si>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</si>
  <si>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</si>
  <si>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</si>
  <si>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</si>
  <si>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</si>
  <si>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</si>
  <si>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</si>
  <si>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</si>
  <si>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</si>
  <si>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</si>
  <si>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</si>
  <si>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</si>
  <si>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</si>
  <si>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</si>
  <si>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</si>
  <si>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</si>
  <si>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</si>
  <si>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</si>
  <si>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</si>
  <si>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</si>
  <si>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</si>
  <si>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</si>
  <si>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</si>
  <si>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</si>
  <si>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</si>
  <si>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</si>
  <si>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</si>
  <si>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</si>
  <si>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</si>
  <si>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</si>
  <si>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</si>
  <si>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</si>
  <si>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</si>
  <si>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</si>
  <si>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</si>
  <si>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</si>
  <si>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</si>
  <si>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</si>
  <si>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</si>
  <si>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</si>
  <si>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</si>
  <si>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</si>
  <si>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</si>
  <si>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</si>
  <si>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</si>
  <si>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</si>
  <si>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</si>
  <si>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</si>
  <si>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</si>
  <si>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</si>
  <si>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</si>
  <si>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</si>
  <si>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</si>
  <si>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</si>
  <si>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</si>
  <si>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</si>
  <si>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</si>
  <si>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</si>
  <si>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</si>
  <si>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</si>
  <si>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</si>
  <si>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</si>
  <si>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</si>
  <si>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</si>
  <si>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</si>
  <si>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</si>
  <si>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</si>
  <si>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</si>
  <si>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</si>
  <si>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</si>
  <si>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</si>
  <si>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</si>
  <si>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</si>
  <si>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</si>
  <si>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</si>
  <si>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</si>
  <si>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</si>
  <si>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</si>
  <si>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</si>
  <si>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</si>
  <si>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</si>
  <si>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</si>
  <si>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</si>
  <si>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</si>
  <si>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</si>
  <si>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</si>
  <si>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</si>
  <si>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</si>
  <si>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</si>
  <si>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</si>
  <si>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</si>
  <si>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</si>
  <si>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</si>
  <si>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</si>
  <si>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</si>
  <si>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</si>
  <si>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</si>
  <si>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</si>
  <si>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</si>
  <si>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</si>
  <si>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</si>
  <si>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</si>
  <si>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</si>
  <si>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</si>
  <si>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</si>
  <si>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</si>
  <si>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</si>
  <si>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</si>
  <si>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</si>
  <si>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</si>
  <si>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</si>
  <si>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</si>
  <si>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</si>
  <si>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</si>
  <si>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</si>
  <si>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</si>
  <si>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</si>
  <si>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</si>
  <si>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</si>
  <si>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</si>
  <si>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</si>
  <si>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</si>
  <si>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</si>
  <si>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</si>
  <si>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</si>
  <si>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</si>
  <si>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</si>
  <si>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</si>
  <si>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</si>
  <si>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</si>
  <si>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</si>
  <si>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</si>
  <si>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</si>
  <si>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</si>
  <si>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</si>
  <si>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</si>
  <si>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</si>
  <si>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</si>
  <si>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</si>
  <si>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</si>
  <si>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</si>
  <si>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</si>
  <si>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</si>
  <si>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</si>
  <si>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</si>
  <si>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</si>
  <si>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</si>
  <si>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</si>
  <si>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</si>
  <si>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</si>
  <si>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</si>
  <si>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</si>
  <si>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</si>
  <si>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</si>
  <si>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</si>
  <si>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</si>
  <si>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</si>
  <si>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</si>
  <si>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</si>
  <si>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</si>
  <si>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</si>
  <si>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</si>
  <si>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</si>
  <si>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</si>
  <si>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</si>
  <si>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</si>
  <si>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</si>
  <si>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</si>
  <si>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</si>
  <si>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</si>
  <si>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</si>
  <si>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</si>
  <si>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</si>
  <si>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</si>
  <si>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</si>
  <si>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</si>
  <si>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</si>
  <si>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</si>
  <si>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</si>
  <si>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</si>
  <si>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</si>
  <si>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</si>
  <si>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</si>
  <si>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</si>
  <si>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</si>
  <si>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</si>
  <si>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</si>
  <si>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</si>
  <si>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400mm Thick</t>
  </si>
  <si>
    <t>Bar Counter (Laminated)  3.5 x 0.5 x 1.0</t>
  </si>
  <si>
    <t>Podium (Laminated)- 2.2 x 0.5 x 1.0</t>
  </si>
  <si>
    <t>Meeting Table _LAMINATED</t>
  </si>
  <si>
    <t>Podium (Laminated)- 0.5 x 0.5 x 1.0</t>
  </si>
  <si>
    <t>Rectangular Hanging with Lightbox with modular frame</t>
  </si>
  <si>
    <t>FABRIC Hanging</t>
  </si>
  <si>
    <t>Cabinate (Laminated)- 1.0 x 0.5 x 1.0</t>
  </si>
  <si>
    <t>Opt Nr:-  1</t>
  </si>
  <si>
    <t>Date:- 22-08-2025</t>
  </si>
  <si>
    <t>GMD EUROCAST</t>
  </si>
  <si>
    <t>EUROGUSS 2026</t>
  </si>
  <si>
    <t>10M X 9M</t>
  </si>
  <si>
    <t>90 SQM</t>
  </si>
  <si>
    <t>4M</t>
  </si>
  <si>
    <t>13-15 JAN,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</si>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</sst>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149</xdr:row>
      <xdr:rowOff>0</xdr:rowOff>
    </xdr:from>
    <xdr:to>
      <xdr:col>1</xdr:col>
      <xdr:colOff>1038225</xdr:colOff>
      <xdr:row>271</xdr:row>
      <xdr:rowOff>57944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0003B3-894C-4124-A5D5-E2476759A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458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47</v>
      </c>
      <c r="D1" s="19" t="s">
        <v>132</v>
      </c>
      <c r="E1" s="20" t="s">
        <v>269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280</v>
      </c>
      <c r="C2" s="26" t="s">
        <v>152</v>
      </c>
      <c r="D2" s="27">
        <f>SUM(E3:E11)</f>
        <v>257.39999999999998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257.39999999999998</v>
      </c>
      <c r="F3" s="8"/>
      <c r="G3" s="8"/>
      <c r="H3" s="8"/>
      <c r="I3" s="9">
        <v>90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281</v>
      </c>
      <c r="C12" s="26" t="s">
        <v>195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286</v>
      </c>
      <c r="C16" s="26" t="s">
        <v>185</v>
      </c>
      <c r="D16" s="27">
        <f>SUM(E17:E88)</f>
        <v>4430.5599999999995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si="1"/>
        <v>740.56</v>
      </c>
      <c r="F34" s="8">
        <v>1</v>
      </c>
      <c r="G34" s="8">
        <v>0.1</v>
      </c>
      <c r="H34" s="8">
        <v>4</v>
      </c>
      <c r="I34" s="9">
        <v>8</v>
      </c>
      <c r="J34" s="10" t="s">
        <v>155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2:11" ht="15.95" hidden="1" customHeight="1" x14ac:dyDescent="0.25">
      <c r="C49" s="7" t="s">
        <v>96</v>
      </c>
      <c r="D49" s="7"/>
      <c r="E49" s="8">
        <f t="shared" ref="E49:E82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2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2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2:11" ht="15.95" hidden="1" customHeight="1" x14ac:dyDescent="0.25">
      <c r="C59" s="7" t="s">
        <v>106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157</v>
      </c>
      <c r="K59" s="30">
        <v>95.24</v>
      </c>
    </row>
    <row r="60" spans="2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102.38</v>
      </c>
    </row>
    <row r="61" spans="2:11" ht="15.95" hidden="1" customHeight="1" x14ac:dyDescent="0.25">
      <c r="C61" s="7" t="s">
        <v>108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157</v>
      </c>
      <c r="K61" s="30">
        <v>117.14</v>
      </c>
    </row>
    <row r="62" spans="2:11" ht="15.95" hidden="1" customHeight="1" x14ac:dyDescent="0.25">
      <c r="C62" s="7" t="s">
        <v>80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142.86000000000001</v>
      </c>
    </row>
    <row r="63" spans="2:11" ht="15.95" hidden="1" customHeight="1" x14ac:dyDescent="0.25">
      <c r="C63" s="7" t="s">
        <v>33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157</v>
      </c>
      <c r="K63" s="30">
        <v>96.29</v>
      </c>
    </row>
    <row r="64" spans="2:11" ht="15.95" hidden="1" customHeight="1" x14ac:dyDescent="0.25">
      <c r="B64" s="29" t="s">
        <v>250</v>
      </c>
      <c r="C64" s="7" t="s">
        <v>32</v>
      </c>
      <c r="D64" s="7"/>
      <c r="E64" s="8">
        <f t="shared" si="2"/>
        <v>2016</v>
      </c>
      <c r="F64" s="8">
        <v>1</v>
      </c>
      <c r="G64" s="8">
        <v>0.2</v>
      </c>
      <c r="H64" s="8">
        <v>4</v>
      </c>
      <c r="I64" s="9">
        <v>16</v>
      </c>
      <c r="J64" s="10" t="s">
        <v>157</v>
      </c>
      <c r="K64" s="30">
        <v>126</v>
      </c>
    </row>
    <row r="65" spans="2:11" ht="15.95" hidden="1" customHeight="1" x14ac:dyDescent="0.25">
      <c r="B65" s="29"/>
      <c r="C65" s="7" t="s">
        <v>32</v>
      </c>
      <c r="D65" s="7"/>
      <c r="E65" s="8">
        <f t="shared" ref="E65" si="3">I65*K65</f>
        <v>1008</v>
      </c>
      <c r="F65" s="8">
        <v>1</v>
      </c>
      <c r="G65" s="8">
        <v>0.2</v>
      </c>
      <c r="H65" s="8">
        <v>4</v>
      </c>
      <c r="I65" s="9">
        <v>8</v>
      </c>
      <c r="J65" s="10" t="s">
        <v>157</v>
      </c>
      <c r="K65" s="30">
        <v>126</v>
      </c>
    </row>
    <row r="66" spans="2:11" ht="15.95" hidden="1" customHeight="1" x14ac:dyDescent="0.25">
      <c r="B66" s="29"/>
      <c r="C66" s="7" t="s">
        <v>32</v>
      </c>
      <c r="D66" s="7"/>
      <c r="E66" s="8">
        <f t="shared" si="2"/>
        <v>666</v>
      </c>
      <c r="F66" s="8">
        <v>1</v>
      </c>
      <c r="G66" s="8">
        <v>0.4</v>
      </c>
      <c r="H66" s="8">
        <v>4</v>
      </c>
      <c r="I66" s="9">
        <v>3</v>
      </c>
      <c r="J66" s="10" t="s">
        <v>270</v>
      </c>
      <c r="K66" s="30">
        <v>222</v>
      </c>
    </row>
    <row r="67" spans="2:11" ht="15.95" hidden="1" customHeight="1" x14ac:dyDescent="0.25">
      <c r="C67" s="7" t="s">
        <v>31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136</v>
      </c>
    </row>
    <row r="68" spans="2:11" ht="15.95" hidden="1" customHeight="1" x14ac:dyDescent="0.25">
      <c r="C68" s="7" t="s">
        <v>30</v>
      </c>
      <c r="D68" s="7"/>
      <c r="E68" s="8">
        <f t="shared" si="2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157</v>
      </c>
      <c r="K68" s="30">
        <v>179.71</v>
      </c>
    </row>
    <row r="69" spans="2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100.95</v>
      </c>
    </row>
    <row r="70" spans="2:11" ht="15.95" hidden="1" customHeight="1" x14ac:dyDescent="0.25">
      <c r="C70" s="7" t="s">
        <v>71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130.94999999999999</v>
      </c>
    </row>
    <row r="71" spans="2:11" ht="15.95" hidden="1" customHeight="1" x14ac:dyDescent="0.25">
      <c r="C71" s="7" t="s">
        <v>109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140.47999999999999</v>
      </c>
    </row>
    <row r="72" spans="2:11" ht="15.95" hidden="1" customHeight="1" x14ac:dyDescent="0.25">
      <c r="C72" s="7" t="s">
        <v>139</v>
      </c>
      <c r="D72" s="7"/>
      <c r="E72" s="8">
        <f t="shared" si="2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157</v>
      </c>
      <c r="K72" s="30">
        <v>357.14</v>
      </c>
    </row>
    <row r="73" spans="2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111.43</v>
      </c>
    </row>
    <row r="74" spans="2:11" ht="15.95" hidden="1" customHeight="1" x14ac:dyDescent="0.25">
      <c r="C74" s="7" t="s">
        <v>69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145.24</v>
      </c>
    </row>
    <row r="75" spans="2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167.86</v>
      </c>
    </row>
    <row r="76" spans="2:11" ht="15.95" hidden="1" customHeight="1" x14ac:dyDescent="0.25">
      <c r="C76" s="7" t="s">
        <v>111</v>
      </c>
      <c r="D76" s="7"/>
      <c r="E76" s="8">
        <f t="shared" si="2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157</v>
      </c>
      <c r="K76" s="30">
        <v>223.81</v>
      </c>
    </row>
    <row r="77" spans="2:11" ht="15.95" hidden="1" customHeight="1" x14ac:dyDescent="0.25">
      <c r="C77" s="7" t="s">
        <v>29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116.29</v>
      </c>
    </row>
    <row r="78" spans="2:11" ht="15.95" hidden="1" customHeight="1" x14ac:dyDescent="0.25">
      <c r="C78" s="7" t="s">
        <v>28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152.29</v>
      </c>
    </row>
    <row r="79" spans="2:11" ht="15.95" hidden="1" customHeight="1" x14ac:dyDescent="0.25">
      <c r="C79" s="7" t="s">
        <v>27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173.14</v>
      </c>
    </row>
    <row r="80" spans="2:11" ht="15.95" hidden="1" customHeight="1" x14ac:dyDescent="0.25">
      <c r="C80" s="7" t="s">
        <v>26</v>
      </c>
      <c r="D80" s="7"/>
      <c r="E80" s="8">
        <f t="shared" si="2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157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263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264</v>
      </c>
      <c r="D82" s="23"/>
      <c r="E82" s="24">
        <f t="shared" si="2"/>
        <v>0</v>
      </c>
      <c r="F82" s="24">
        <v>1</v>
      </c>
      <c r="G82" s="24"/>
      <c r="H82" s="24">
        <v>1</v>
      </c>
      <c r="I82" s="44">
        <v>0</v>
      </c>
      <c r="J82" s="25" t="s">
        <v>263</v>
      </c>
      <c r="K82" s="30">
        <v>15.7</v>
      </c>
    </row>
    <row r="83" spans="1:11" ht="15.95" hidden="1" customHeight="1" x14ac:dyDescent="0.25">
      <c r="C83" s="7" t="s">
        <v>96</v>
      </c>
      <c r="D83" s="7"/>
      <c r="E83" s="8">
        <f t="shared" ref="E83:E88" si="4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41.67</v>
      </c>
    </row>
    <row r="84" spans="1:11" ht="15.95" hidden="1" customHeight="1" x14ac:dyDescent="0.25">
      <c r="C84" s="7" t="s">
        <v>97</v>
      </c>
      <c r="D84" s="7"/>
      <c r="E84" s="8">
        <f t="shared" si="4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157</v>
      </c>
      <c r="K84" s="30">
        <v>83.33</v>
      </c>
    </row>
    <row r="85" spans="1:11" ht="15.95" hidden="1" customHeight="1" x14ac:dyDescent="0.25">
      <c r="B85" s="29" t="s">
        <v>250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112</v>
      </c>
      <c r="K85" s="30">
        <v>47.62</v>
      </c>
    </row>
    <row r="86" spans="1:11" ht="15.95" hidden="1" customHeight="1" x14ac:dyDescent="0.25">
      <c r="B86" s="29" t="s">
        <v>250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B87" s="29" t="s">
        <v>250</v>
      </c>
      <c r="C87" s="7" t="s">
        <v>176</v>
      </c>
      <c r="D87" s="7"/>
      <c r="E87" s="8">
        <f t="shared" si="4"/>
        <v>0</v>
      </c>
      <c r="F87" s="8">
        <v>1</v>
      </c>
      <c r="G87" s="8"/>
      <c r="H87" s="8"/>
      <c r="I87" s="9">
        <v>0</v>
      </c>
      <c r="J87" s="10" t="s">
        <v>170</v>
      </c>
      <c r="K87" s="30">
        <v>190.48</v>
      </c>
    </row>
    <row r="88" spans="1:11" ht="15.95" hidden="1" customHeight="1" x14ac:dyDescent="0.25">
      <c r="C88" s="7" t="s">
        <v>177</v>
      </c>
      <c r="D88" s="7"/>
      <c r="E88" s="8">
        <f t="shared" si="4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112</v>
      </c>
      <c r="K88" s="30">
        <v>32.14</v>
      </c>
    </row>
    <row r="89" spans="1:11" s="4" customFormat="1" ht="15.95" customHeight="1" x14ac:dyDescent="0.25">
      <c r="A89" s="21" t="s">
        <v>146</v>
      </c>
      <c r="B89" s="4" t="s">
        <v>285</v>
      </c>
      <c r="C89" s="26" t="s">
        <v>196</v>
      </c>
      <c r="D89" s="27">
        <f>SUM(E90:E111)</f>
        <v>1344.36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250</v>
      </c>
      <c r="C90" s="23" t="s">
        <v>171</v>
      </c>
      <c r="D90" s="23"/>
      <c r="E90" s="24">
        <f t="shared" ref="E90:E111" si="5">I90*K90</f>
        <v>350</v>
      </c>
      <c r="F90" s="24"/>
      <c r="G90" s="24"/>
      <c r="H90" s="24"/>
      <c r="I90" s="24">
        <v>14</v>
      </c>
      <c r="J90" s="25" t="s">
        <v>167</v>
      </c>
      <c r="K90" s="48">
        <v>25</v>
      </c>
    </row>
    <row r="91" spans="1:11" s="22" customFormat="1" ht="15.95" hidden="1" customHeight="1" x14ac:dyDescent="0.25">
      <c r="B91" s="29" t="s">
        <v>250</v>
      </c>
      <c r="C91" s="23" t="s">
        <v>193</v>
      </c>
      <c r="D91" s="23"/>
      <c r="E91" s="24">
        <f t="shared" si="5"/>
        <v>40</v>
      </c>
      <c r="F91" s="24"/>
      <c r="G91" s="24"/>
      <c r="H91" s="24"/>
      <c r="I91" s="24">
        <v>4</v>
      </c>
      <c r="J91" s="25" t="s">
        <v>167</v>
      </c>
      <c r="K91" s="48">
        <v>10</v>
      </c>
    </row>
    <row r="92" spans="1:11" s="22" customFormat="1" ht="15.95" hidden="1" customHeight="1" x14ac:dyDescent="0.25">
      <c r="B92" s="29" t="s">
        <v>250</v>
      </c>
      <c r="C92" s="23" t="s">
        <v>194</v>
      </c>
      <c r="D92" s="23"/>
      <c r="E92" s="24">
        <f t="shared" si="5"/>
        <v>16</v>
      </c>
      <c r="F92" s="24"/>
      <c r="G92" s="24"/>
      <c r="H92" s="24"/>
      <c r="I92" s="24">
        <v>8</v>
      </c>
      <c r="J92" s="25" t="s">
        <v>167</v>
      </c>
      <c r="K92" s="48">
        <v>2</v>
      </c>
    </row>
    <row r="93" spans="1:11" s="4" customFormat="1" ht="15.95" hidden="1" customHeight="1" x14ac:dyDescent="0.25">
      <c r="B93" s="29" t="s">
        <v>250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800</v>
      </c>
    </row>
    <row r="94" spans="1:11" s="4" customFormat="1" ht="15.95" hidden="1" customHeight="1" x14ac:dyDescent="0.25">
      <c r="B94" s="29" t="s">
        <v>250</v>
      </c>
      <c r="C94" s="7" t="s">
        <v>252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1210</v>
      </c>
    </row>
    <row r="95" spans="1:11" s="4" customFormat="1" ht="15.95" hidden="1" customHeight="1" x14ac:dyDescent="0.25">
      <c r="B95" s="29" t="s">
        <v>250</v>
      </c>
      <c r="C95" s="7" t="s">
        <v>267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1820</v>
      </c>
    </row>
    <row r="96" spans="1:11" s="4" customFormat="1" ht="15.95" hidden="1" customHeight="1" x14ac:dyDescent="0.25">
      <c r="B96" s="29" t="s">
        <v>250</v>
      </c>
      <c r="C96" s="7" t="s">
        <v>268</v>
      </c>
      <c r="D96" s="7"/>
      <c r="E96" s="24">
        <f t="shared" ref="E96:E97" si="6">I96*K96</f>
        <v>0</v>
      </c>
      <c r="F96" s="8"/>
      <c r="G96" s="8"/>
      <c r="H96" s="8"/>
      <c r="I96" s="8">
        <v>0</v>
      </c>
      <c r="J96" s="10" t="s">
        <v>167</v>
      </c>
      <c r="K96" s="48">
        <v>830</v>
      </c>
    </row>
    <row r="97" spans="1:11" s="4" customFormat="1" ht="15.95" hidden="1" customHeight="1" x14ac:dyDescent="0.25">
      <c r="B97" s="29" t="s">
        <v>250</v>
      </c>
      <c r="C97" s="7" t="s">
        <v>275</v>
      </c>
      <c r="D97" s="7"/>
      <c r="E97" s="24">
        <f t="shared" si="6"/>
        <v>830</v>
      </c>
      <c r="F97" s="8">
        <v>3.5</v>
      </c>
      <c r="G97" s="8">
        <v>3.5</v>
      </c>
      <c r="H97" s="8">
        <v>1</v>
      </c>
      <c r="I97" s="8">
        <v>1</v>
      </c>
      <c r="J97" s="10" t="s">
        <v>167</v>
      </c>
      <c r="K97" s="48">
        <v>830</v>
      </c>
    </row>
    <row r="98" spans="1:11" s="4" customFormat="1" ht="15.95" hidden="1" customHeight="1" x14ac:dyDescent="0.25">
      <c r="B98" s="29"/>
      <c r="C98" s="7" t="s">
        <v>276</v>
      </c>
      <c r="D98" s="7"/>
      <c r="E98" s="24">
        <f t="shared" si="5"/>
        <v>108.36</v>
      </c>
      <c r="F98" s="8">
        <v>3.5</v>
      </c>
      <c r="G98" s="8">
        <v>3.5</v>
      </c>
      <c r="H98" s="8">
        <v>0.5</v>
      </c>
      <c r="I98" s="8">
        <v>7</v>
      </c>
      <c r="J98" s="10" t="s">
        <v>167</v>
      </c>
      <c r="K98" s="48">
        <v>15.48</v>
      </c>
    </row>
    <row r="99" spans="1:11" s="4" customFormat="1" ht="15.95" hidden="1" customHeight="1" x14ac:dyDescent="0.25">
      <c r="B99" s="42"/>
      <c r="C99" s="7" t="s">
        <v>25</v>
      </c>
      <c r="D99" s="7"/>
      <c r="E99" s="24">
        <f t="shared" si="5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167</v>
      </c>
      <c r="K99" s="48">
        <v>714.29</v>
      </c>
    </row>
    <row r="100" spans="1:11" s="4" customFormat="1" ht="15.95" hidden="1" customHeight="1" x14ac:dyDescent="0.25">
      <c r="B100" s="42"/>
      <c r="C100" s="7" t="s">
        <v>24</v>
      </c>
      <c r="D100" s="7"/>
      <c r="E100" s="24">
        <f t="shared" si="5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167</v>
      </c>
      <c r="K100" s="48">
        <v>1000</v>
      </c>
    </row>
    <row r="101" spans="1:11" s="4" customFormat="1" ht="15.95" hidden="1" customHeight="1" x14ac:dyDescent="0.25">
      <c r="B101" s="42"/>
      <c r="C101" s="7" t="s">
        <v>178</v>
      </c>
      <c r="D101" s="7"/>
      <c r="E101" s="24">
        <f t="shared" si="5"/>
        <v>0</v>
      </c>
      <c r="F101" s="8">
        <v>4</v>
      </c>
      <c r="G101" s="8">
        <v>1</v>
      </c>
      <c r="H101" s="8">
        <v>1</v>
      </c>
      <c r="I101" s="8">
        <v>0</v>
      </c>
      <c r="J101" s="10" t="s">
        <v>167</v>
      </c>
      <c r="K101" s="48">
        <v>250</v>
      </c>
    </row>
    <row r="102" spans="1:11" s="4" customFormat="1" ht="15.95" hidden="1" customHeight="1" x14ac:dyDescent="0.25">
      <c r="B102" s="42"/>
      <c r="C102" s="7" t="s">
        <v>23</v>
      </c>
      <c r="D102" s="7"/>
      <c r="E102" s="24">
        <f t="shared" si="5"/>
        <v>0</v>
      </c>
      <c r="F102" s="8">
        <v>6</v>
      </c>
      <c r="G102" s="8">
        <v>4</v>
      </c>
      <c r="H102" s="8">
        <v>1</v>
      </c>
      <c r="I102" s="8">
        <v>0</v>
      </c>
      <c r="J102" s="10" t="s">
        <v>167</v>
      </c>
      <c r="K102" s="48">
        <v>1166.67</v>
      </c>
    </row>
    <row r="103" spans="1:11" s="4" customFormat="1" ht="15.95" hidden="1" customHeight="1" x14ac:dyDescent="0.25">
      <c r="B103" s="42"/>
      <c r="C103" s="7" t="s">
        <v>134</v>
      </c>
      <c r="D103" s="7"/>
      <c r="E103" s="24">
        <f t="shared" si="5"/>
        <v>0</v>
      </c>
      <c r="F103" s="8">
        <v>1</v>
      </c>
      <c r="G103" s="8">
        <v>0.2</v>
      </c>
      <c r="H103" s="8">
        <v>1</v>
      </c>
      <c r="I103" s="8">
        <v>0</v>
      </c>
      <c r="J103" s="10" t="s">
        <v>167</v>
      </c>
      <c r="K103" s="48">
        <v>35.71</v>
      </c>
    </row>
    <row r="104" spans="1:11" s="4" customFormat="1" ht="15.95" hidden="1" customHeight="1" x14ac:dyDescent="0.25">
      <c r="B104" s="29" t="s">
        <v>250</v>
      </c>
      <c r="C104" s="7" t="s">
        <v>115</v>
      </c>
      <c r="D104" s="7"/>
      <c r="E104" s="24">
        <f t="shared" si="5"/>
        <v>0</v>
      </c>
      <c r="F104" s="8">
        <v>1</v>
      </c>
      <c r="G104" s="8">
        <v>0.1</v>
      </c>
      <c r="H104" s="8">
        <v>1</v>
      </c>
      <c r="I104" s="8">
        <v>0</v>
      </c>
      <c r="J104" s="10" t="s">
        <v>112</v>
      </c>
      <c r="K104" s="48">
        <v>23.33</v>
      </c>
    </row>
    <row r="105" spans="1:11" s="4" customFormat="1" ht="15.95" hidden="1" customHeight="1" x14ac:dyDescent="0.25">
      <c r="B105" s="29" t="s">
        <v>250</v>
      </c>
      <c r="C105" s="7" t="s">
        <v>117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167</v>
      </c>
      <c r="K105" s="48">
        <v>12.86</v>
      </c>
    </row>
    <row r="106" spans="1:11" s="4" customFormat="1" ht="15.95" hidden="1" customHeight="1" x14ac:dyDescent="0.25">
      <c r="B106" s="29" t="s">
        <v>250</v>
      </c>
      <c r="C106" s="7" t="s">
        <v>118</v>
      </c>
      <c r="D106" s="7"/>
      <c r="E106" s="24">
        <f t="shared" si="5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167</v>
      </c>
      <c r="K106" s="48">
        <v>11.9</v>
      </c>
    </row>
    <row r="107" spans="1:11" s="4" customFormat="1" ht="15.95" hidden="1" customHeight="1" x14ac:dyDescent="0.25">
      <c r="B107" s="29" t="s">
        <v>250</v>
      </c>
      <c r="C107" s="7" t="s">
        <v>119</v>
      </c>
      <c r="D107" s="7"/>
      <c r="E107" s="24">
        <f t="shared" si="5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167</v>
      </c>
      <c r="K107" s="48">
        <v>9.52</v>
      </c>
    </row>
    <row r="108" spans="1:11" s="4" customFormat="1" ht="15.95" hidden="1" customHeight="1" x14ac:dyDescent="0.25">
      <c r="C108" s="7" t="s">
        <v>253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112</v>
      </c>
      <c r="K108" s="48">
        <v>15.48</v>
      </c>
    </row>
    <row r="109" spans="1:11" s="4" customFormat="1" ht="15.95" hidden="1" customHeight="1" x14ac:dyDescent="0.25">
      <c r="C109" s="7" t="s">
        <v>116</v>
      </c>
      <c r="D109" s="7"/>
      <c r="E109" s="24">
        <f t="shared" si="5"/>
        <v>0</v>
      </c>
      <c r="F109" s="8">
        <v>1</v>
      </c>
      <c r="G109" s="8">
        <v>0.5</v>
      </c>
      <c r="H109" s="8">
        <v>1</v>
      </c>
      <c r="I109" s="8">
        <v>0</v>
      </c>
      <c r="J109" s="10" t="s">
        <v>112</v>
      </c>
      <c r="K109" s="48">
        <v>16.07</v>
      </c>
    </row>
    <row r="110" spans="1:11" s="4" customFormat="1" ht="15.95" hidden="1" customHeight="1" x14ac:dyDescent="0.25">
      <c r="C110" s="7" t="s">
        <v>120</v>
      </c>
      <c r="D110" s="7"/>
      <c r="E110" s="24">
        <f>I110*K110</f>
        <v>0</v>
      </c>
      <c r="F110" s="8">
        <v>1.5</v>
      </c>
      <c r="G110" s="8">
        <v>1.5</v>
      </c>
      <c r="H110" s="8">
        <v>1.5</v>
      </c>
      <c r="I110" s="8">
        <v>0</v>
      </c>
      <c r="J110" s="10" t="s">
        <v>167</v>
      </c>
      <c r="K110" s="48">
        <v>2142.86</v>
      </c>
    </row>
    <row r="111" spans="1:11" s="4" customFormat="1" ht="15.95" hidden="1" customHeight="1" x14ac:dyDescent="0.25">
      <c r="C111" s="7" t="s">
        <v>135</v>
      </c>
      <c r="D111" s="7"/>
      <c r="E111" s="24">
        <f t="shared" si="5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167</v>
      </c>
      <c r="K111" s="48">
        <v>11.9</v>
      </c>
    </row>
    <row r="112" spans="1:11" s="4" customFormat="1" ht="15.95" customHeight="1" x14ac:dyDescent="0.25">
      <c r="A112" s="21" t="s">
        <v>142</v>
      </c>
      <c r="B112" s="4" t="s">
        <v>282</v>
      </c>
      <c r="C112" s="26" t="s">
        <v>197</v>
      </c>
      <c r="D112" s="27">
        <f>SUM(E113:E136)</f>
        <v>1911.7499999999998</v>
      </c>
      <c r="E112" s="51"/>
      <c r="F112" s="27"/>
      <c r="G112" s="27"/>
      <c r="H112" s="27"/>
      <c r="I112" s="27"/>
      <c r="J112" s="28"/>
      <c r="K112" s="47"/>
    </row>
    <row r="113" spans="3:11" s="4" customFormat="1" ht="15.95" hidden="1" customHeight="1" x14ac:dyDescent="0.25">
      <c r="C113" s="7" t="s">
        <v>257</v>
      </c>
      <c r="D113" s="7"/>
      <c r="E113" s="8">
        <f t="shared" ref="E113:E136" si="7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167</v>
      </c>
      <c r="K113" s="30">
        <v>262.86</v>
      </c>
    </row>
    <row r="114" spans="3:11" s="4" customFormat="1" ht="15.95" hidden="1" customHeight="1" x14ac:dyDescent="0.25">
      <c r="C114" s="7" t="s">
        <v>256</v>
      </c>
      <c r="D114" s="7"/>
      <c r="E114" s="8">
        <f t="shared" si="7"/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167</v>
      </c>
      <c r="K114" s="30">
        <v>564.6</v>
      </c>
    </row>
    <row r="115" spans="3:11" s="4" customFormat="1" ht="15.95" hidden="1" customHeight="1" x14ac:dyDescent="0.25">
      <c r="C115" s="7" t="s">
        <v>255</v>
      </c>
      <c r="D115" s="7"/>
      <c r="E115" s="8">
        <f t="shared" si="7"/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167</v>
      </c>
      <c r="K115" s="30">
        <v>358.69</v>
      </c>
    </row>
    <row r="116" spans="3:11" s="4" customFormat="1" ht="15.95" hidden="1" customHeight="1" x14ac:dyDescent="0.25">
      <c r="C116" s="7" t="s">
        <v>258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167</v>
      </c>
      <c r="K116" s="30">
        <v>302.29000000000002</v>
      </c>
    </row>
    <row r="117" spans="3:11" s="4" customFormat="1" ht="15.95" hidden="1" customHeight="1" x14ac:dyDescent="0.25">
      <c r="C117" s="7" t="s">
        <v>254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167</v>
      </c>
      <c r="K117" s="30">
        <v>604.02</v>
      </c>
    </row>
    <row r="118" spans="3:11" s="4" customFormat="1" ht="15.95" hidden="1" customHeight="1" x14ac:dyDescent="0.25">
      <c r="C118" s="7" t="s">
        <v>271</v>
      </c>
      <c r="D118" s="7"/>
      <c r="E118" s="8">
        <f t="shared" si="7"/>
        <v>423.86</v>
      </c>
      <c r="F118" s="8">
        <v>3.5</v>
      </c>
      <c r="G118" s="8">
        <v>0.5</v>
      </c>
      <c r="H118" s="8">
        <v>1</v>
      </c>
      <c r="I118" s="8">
        <v>1</v>
      </c>
      <c r="J118" s="10" t="s">
        <v>167</v>
      </c>
      <c r="K118" s="30">
        <v>423.86</v>
      </c>
    </row>
    <row r="119" spans="3:11" s="4" customFormat="1" ht="15.95" hidden="1" customHeight="1" x14ac:dyDescent="0.25">
      <c r="C119" s="7" t="s">
        <v>272</v>
      </c>
      <c r="D119" s="7"/>
      <c r="E119" s="8">
        <f t="shared" si="7"/>
        <v>857.12999999999988</v>
      </c>
      <c r="F119" s="8">
        <v>2.2000000000000002</v>
      </c>
      <c r="G119" s="8">
        <v>0.5</v>
      </c>
      <c r="H119" s="8">
        <v>1</v>
      </c>
      <c r="I119" s="8">
        <v>3</v>
      </c>
      <c r="J119" s="10" t="s">
        <v>167</v>
      </c>
      <c r="K119" s="30">
        <v>285.70999999999998</v>
      </c>
    </row>
    <row r="120" spans="3:11" s="4" customFormat="1" ht="15.95" hidden="1" customHeight="1" x14ac:dyDescent="0.25">
      <c r="C120" s="7" t="s">
        <v>274</v>
      </c>
      <c r="D120" s="7"/>
      <c r="E120" s="8">
        <f t="shared" si="7"/>
        <v>476</v>
      </c>
      <c r="F120" s="8">
        <v>0.5</v>
      </c>
      <c r="G120" s="8">
        <v>0.5</v>
      </c>
      <c r="H120" s="8">
        <v>1</v>
      </c>
      <c r="I120" s="8">
        <v>4</v>
      </c>
      <c r="J120" s="10" t="s">
        <v>167</v>
      </c>
      <c r="K120" s="30">
        <v>119</v>
      </c>
    </row>
    <row r="121" spans="3:11" s="4" customFormat="1" ht="15.95" hidden="1" customHeight="1" x14ac:dyDescent="0.25">
      <c r="C121" s="7" t="s">
        <v>277</v>
      </c>
      <c r="D121" s="7"/>
      <c r="E121" s="8">
        <f t="shared" ref="E121" si="8">I121*K121</f>
        <v>154.76</v>
      </c>
      <c r="F121" s="8">
        <v>1</v>
      </c>
      <c r="G121" s="8">
        <v>0.5</v>
      </c>
      <c r="H121" s="8">
        <v>1</v>
      </c>
      <c r="I121" s="8">
        <v>1</v>
      </c>
      <c r="J121" s="10" t="s">
        <v>167</v>
      </c>
      <c r="K121" s="30">
        <v>154.76</v>
      </c>
    </row>
    <row r="122" spans="3:11" s="4" customFormat="1" ht="15.95" hidden="1" customHeight="1" x14ac:dyDescent="0.25">
      <c r="C122" s="7" t="s">
        <v>158</v>
      </c>
      <c r="D122" s="7"/>
      <c r="E122" s="8">
        <f t="shared" si="7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167</v>
      </c>
      <c r="K122" s="30">
        <v>595.24</v>
      </c>
    </row>
    <row r="123" spans="3:11" s="4" customFormat="1" ht="15.95" hidden="1" customHeight="1" x14ac:dyDescent="0.25">
      <c r="C123" s="7" t="s">
        <v>198</v>
      </c>
      <c r="D123" s="7"/>
      <c r="E123" s="8">
        <f t="shared" si="7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167</v>
      </c>
      <c r="K123" s="30">
        <v>161.9</v>
      </c>
    </row>
    <row r="124" spans="3:11" s="4" customFormat="1" ht="15.95" hidden="1" customHeight="1" x14ac:dyDescent="0.25">
      <c r="C124" s="7" t="s">
        <v>199</v>
      </c>
      <c r="D124" s="7"/>
      <c r="E124" s="8">
        <f t="shared" si="7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167</v>
      </c>
      <c r="K124" s="30">
        <v>190.48</v>
      </c>
    </row>
    <row r="125" spans="3:11" s="4" customFormat="1" ht="15.95" hidden="1" customHeight="1" x14ac:dyDescent="0.25">
      <c r="C125" s="7" t="s">
        <v>200</v>
      </c>
      <c r="D125" s="7"/>
      <c r="E125" s="8">
        <f t="shared" si="7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167</v>
      </c>
      <c r="K125" s="30">
        <v>216.67</v>
      </c>
    </row>
    <row r="126" spans="3:11" s="4" customFormat="1" ht="15.95" hidden="1" customHeight="1" x14ac:dyDescent="0.25">
      <c r="C126" s="7" t="s">
        <v>201</v>
      </c>
      <c r="D126" s="7"/>
      <c r="E126" s="8">
        <f t="shared" si="7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167</v>
      </c>
      <c r="K126" s="30">
        <v>154.76</v>
      </c>
    </row>
    <row r="127" spans="3:11" s="4" customFormat="1" ht="15.95" hidden="1" customHeight="1" x14ac:dyDescent="0.25">
      <c r="C127" s="7" t="s">
        <v>202</v>
      </c>
      <c r="D127" s="7"/>
      <c r="E127" s="8">
        <f t="shared" si="7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167</v>
      </c>
      <c r="K127" s="30">
        <v>177.98</v>
      </c>
    </row>
    <row r="128" spans="3:11" s="4" customFormat="1" ht="15.95" hidden="1" customHeight="1" x14ac:dyDescent="0.25">
      <c r="C128" s="7" t="s">
        <v>203</v>
      </c>
      <c r="D128" s="7"/>
      <c r="E128" s="8">
        <f t="shared" si="7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167</v>
      </c>
      <c r="K128" s="30">
        <v>260.12</v>
      </c>
    </row>
    <row r="129" spans="1:11" s="4" customFormat="1" ht="15.95" hidden="1" customHeight="1" x14ac:dyDescent="0.25">
      <c r="B129" s="29" t="s">
        <v>250</v>
      </c>
      <c r="C129" s="7" t="s">
        <v>121</v>
      </c>
      <c r="D129" s="7"/>
      <c r="E129" s="8">
        <f t="shared" si="7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167</v>
      </c>
      <c r="K129" s="30">
        <v>210</v>
      </c>
    </row>
    <row r="130" spans="1:11" s="4" customFormat="1" ht="15.95" hidden="1" customHeight="1" x14ac:dyDescent="0.25">
      <c r="C130" s="7" t="s">
        <v>126</v>
      </c>
      <c r="D130" s="7"/>
      <c r="E130" s="8">
        <f t="shared" si="7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167</v>
      </c>
      <c r="K130" s="30">
        <v>223.81</v>
      </c>
    </row>
    <row r="131" spans="1:11" s="4" customFormat="1" ht="15.95" hidden="1" customHeight="1" x14ac:dyDescent="0.25">
      <c r="C131" s="7" t="s">
        <v>127</v>
      </c>
      <c r="D131" s="7"/>
      <c r="E131" s="8">
        <f t="shared" si="7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167</v>
      </c>
      <c r="K131" s="30">
        <v>65</v>
      </c>
    </row>
    <row r="132" spans="1:11" s="4" customFormat="1" ht="15.95" hidden="1" customHeight="1" x14ac:dyDescent="0.25">
      <c r="C132" s="7" t="s">
        <v>128</v>
      </c>
      <c r="D132" s="7"/>
      <c r="E132" s="8">
        <f t="shared" si="7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167</v>
      </c>
      <c r="K132" s="30">
        <v>35</v>
      </c>
    </row>
    <row r="133" spans="1:11" s="4" customFormat="1" ht="15.95" hidden="1" customHeight="1" x14ac:dyDescent="0.25">
      <c r="B133" s="29" t="s">
        <v>250</v>
      </c>
      <c r="C133" s="7" t="s">
        <v>56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167</v>
      </c>
      <c r="K133" s="30">
        <v>12</v>
      </c>
    </row>
    <row r="134" spans="1:11" s="4" customFormat="1" ht="15.95" hidden="1" customHeight="1" x14ac:dyDescent="0.25">
      <c r="C134" s="7" t="s">
        <v>131</v>
      </c>
      <c r="D134" s="7"/>
      <c r="E134" s="8">
        <f t="shared" si="7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112</v>
      </c>
      <c r="K134" s="30">
        <v>21.9</v>
      </c>
    </row>
    <row r="135" spans="1:11" s="4" customFormat="1" ht="15.95" hidden="1" customHeight="1" x14ac:dyDescent="0.25">
      <c r="C135" s="7" t="s">
        <v>204</v>
      </c>
      <c r="D135" s="7"/>
      <c r="E135" s="8">
        <f t="shared" si="7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167</v>
      </c>
      <c r="K135" s="30">
        <v>177.98</v>
      </c>
    </row>
    <row r="136" spans="1:11" s="4" customFormat="1" ht="15.95" hidden="1" customHeight="1" x14ac:dyDescent="0.25">
      <c r="C136" s="7" t="s">
        <v>179</v>
      </c>
      <c r="D136" s="7"/>
      <c r="E136" s="8">
        <f t="shared" si="7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167</v>
      </c>
      <c r="K136" s="30">
        <v>383.33</v>
      </c>
    </row>
    <row r="137" spans="1:11" s="4" customFormat="1" ht="15.95" customHeight="1" x14ac:dyDescent="0.25">
      <c r="A137" s="21" t="s">
        <v>144</v>
      </c>
      <c r="B137" s="4" t="s">
        <v>283</v>
      </c>
      <c r="C137" s="26" t="s">
        <v>205</v>
      </c>
      <c r="D137" s="27">
        <f>SUM(E138:E148)</f>
        <v>1310.6599999999999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250</v>
      </c>
      <c r="C138" s="7" t="s">
        <v>50</v>
      </c>
      <c r="D138" s="7"/>
      <c r="E138" s="8">
        <f t="shared" ref="E138:E148" si="9">I138*K138</f>
        <v>35</v>
      </c>
      <c r="F138" s="12"/>
      <c r="G138" s="12"/>
      <c r="H138" s="12"/>
      <c r="I138" s="8">
        <v>1</v>
      </c>
      <c r="J138" s="10" t="s">
        <v>167</v>
      </c>
      <c r="K138" s="30">
        <v>35</v>
      </c>
    </row>
    <row r="139" spans="1:11" s="4" customFormat="1" ht="15.95" hidden="1" customHeight="1" x14ac:dyDescent="0.25">
      <c r="B139" s="29" t="s">
        <v>250</v>
      </c>
      <c r="C139" s="7" t="s">
        <v>51</v>
      </c>
      <c r="D139" s="7"/>
      <c r="E139" s="8">
        <f t="shared" si="9"/>
        <v>50</v>
      </c>
      <c r="F139" s="8"/>
      <c r="G139" s="8"/>
      <c r="H139" s="8"/>
      <c r="I139" s="8">
        <v>1</v>
      </c>
      <c r="J139" s="10" t="s">
        <v>167</v>
      </c>
      <c r="K139" s="30">
        <v>50</v>
      </c>
    </row>
    <row r="140" spans="1:11" s="4" customFormat="1" ht="15.95" hidden="1" customHeight="1" x14ac:dyDescent="0.25">
      <c r="B140" s="29" t="s">
        <v>250</v>
      </c>
      <c r="C140" s="7" t="s">
        <v>73</v>
      </c>
      <c r="D140" s="7"/>
      <c r="E140" s="8">
        <f t="shared" si="9"/>
        <v>595.25</v>
      </c>
      <c r="F140" s="8">
        <v>1</v>
      </c>
      <c r="G140" s="8">
        <v>0</v>
      </c>
      <c r="H140" s="8">
        <v>2</v>
      </c>
      <c r="I140" s="8">
        <v>5</v>
      </c>
      <c r="J140" s="10" t="s">
        <v>167</v>
      </c>
      <c r="K140" s="30">
        <v>119.05</v>
      </c>
    </row>
    <row r="141" spans="1:11" s="4" customFormat="1" ht="15.95" hidden="1" customHeight="1" x14ac:dyDescent="0.25">
      <c r="C141" s="7" t="s">
        <v>53</v>
      </c>
      <c r="D141" s="7"/>
      <c r="E141" s="8">
        <f t="shared" si="9"/>
        <v>196.5</v>
      </c>
      <c r="F141" s="8">
        <v>1</v>
      </c>
      <c r="G141" s="8">
        <v>1</v>
      </c>
      <c r="H141" s="8"/>
      <c r="I141" s="8">
        <v>15</v>
      </c>
      <c r="J141" s="10" t="s">
        <v>112</v>
      </c>
      <c r="K141" s="30">
        <v>13.1</v>
      </c>
    </row>
    <row r="142" spans="1:11" s="4" customFormat="1" ht="15.95" hidden="1" customHeight="1" x14ac:dyDescent="0.25">
      <c r="C142" s="7" t="s">
        <v>123</v>
      </c>
      <c r="D142" s="7"/>
      <c r="E142" s="8">
        <f t="shared" si="9"/>
        <v>228.56</v>
      </c>
      <c r="F142" s="8">
        <v>1</v>
      </c>
      <c r="G142" s="8">
        <v>1</v>
      </c>
      <c r="H142" s="8"/>
      <c r="I142" s="8">
        <v>8</v>
      </c>
      <c r="J142" s="10" t="s">
        <v>112</v>
      </c>
      <c r="K142" s="30">
        <v>28.57</v>
      </c>
    </row>
    <row r="143" spans="1:11" s="4" customFormat="1" ht="15.95" hidden="1" customHeight="1" x14ac:dyDescent="0.25">
      <c r="C143" s="7" t="s">
        <v>76</v>
      </c>
      <c r="D143" s="7"/>
      <c r="E143" s="8">
        <f t="shared" si="9"/>
        <v>0</v>
      </c>
      <c r="F143" s="8">
        <v>1</v>
      </c>
      <c r="G143" s="8">
        <v>0</v>
      </c>
      <c r="H143" s="8">
        <v>1</v>
      </c>
      <c r="I143" s="8">
        <v>0</v>
      </c>
      <c r="J143" s="10" t="s">
        <v>167</v>
      </c>
      <c r="K143" s="30">
        <v>11.9</v>
      </c>
    </row>
    <row r="144" spans="1:11" s="4" customFormat="1" ht="15.95" hidden="1" customHeight="1" x14ac:dyDescent="0.25">
      <c r="C144" s="7" t="s">
        <v>20</v>
      </c>
      <c r="D144" s="7"/>
      <c r="E144" s="8">
        <f t="shared" si="9"/>
        <v>205.35000000000002</v>
      </c>
      <c r="F144" s="8">
        <v>2</v>
      </c>
      <c r="G144" s="8">
        <v>0.2</v>
      </c>
      <c r="H144" s="8">
        <v>0.2</v>
      </c>
      <c r="I144" s="8">
        <v>1.5</v>
      </c>
      <c r="J144" s="10" t="s">
        <v>167</v>
      </c>
      <c r="K144" s="30">
        <v>136.9</v>
      </c>
    </row>
    <row r="145" spans="1:11" s="4" customFormat="1" ht="15.95" hidden="1" customHeight="1" x14ac:dyDescent="0.25">
      <c r="C145" s="7" t="s">
        <v>172</v>
      </c>
      <c r="D145" s="7"/>
      <c r="E145" s="8">
        <f t="shared" si="9"/>
        <v>0</v>
      </c>
      <c r="F145" s="8">
        <v>1</v>
      </c>
      <c r="G145" s="8">
        <v>1</v>
      </c>
      <c r="H145" s="8">
        <v>0</v>
      </c>
      <c r="I145" s="8">
        <v>0</v>
      </c>
      <c r="J145" s="10" t="s">
        <v>112</v>
      </c>
      <c r="K145" s="30">
        <v>22.62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112</v>
      </c>
      <c r="K146" s="30">
        <v>83.33</v>
      </c>
    </row>
    <row r="147" spans="1:11" s="4" customFormat="1" ht="15.95" hidden="1" customHeight="1" x14ac:dyDescent="0.25">
      <c r="C147" s="7" t="s">
        <v>164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112</v>
      </c>
      <c r="K147" s="30">
        <v>32.14</v>
      </c>
    </row>
    <row r="148" spans="1:11" s="4" customFormat="1" ht="15.95" hidden="1" customHeight="1" x14ac:dyDescent="0.25">
      <c r="C148" s="7" t="s">
        <v>165</v>
      </c>
      <c r="D148" s="7"/>
      <c r="E148" s="8">
        <f t="shared" si="9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112</v>
      </c>
      <c r="K148" s="30">
        <v>38.1</v>
      </c>
    </row>
    <row r="149" spans="1:11" s="4" customFormat="1" ht="15.95" customHeight="1" x14ac:dyDescent="0.25">
      <c r="A149" s="21" t="s">
        <v>143</v>
      </c>
      <c r="B149" s="4" t="s">
        <v>284</v>
      </c>
      <c r="C149" s="26" t="s">
        <v>206</v>
      </c>
      <c r="D149" s="27">
        <f>SUM(E150:E156)</f>
        <v>593.86</v>
      </c>
      <c r="E149" s="51"/>
      <c r="F149" s="27"/>
      <c r="G149" s="27"/>
      <c r="H149" s="27"/>
      <c r="I149" s="27"/>
      <c r="J149" s="28"/>
      <c r="K149" s="47"/>
    </row>
    <row r="150" spans="1:11" s="4" customFormat="1" ht="15.95" hidden="1" customHeight="1" x14ac:dyDescent="0.25">
      <c r="C150" s="7" t="s">
        <v>21</v>
      </c>
      <c r="D150" s="7"/>
      <c r="E150" s="8">
        <f t="shared" ref="E150:E156" si="10">I150*K150</f>
        <v>423.86</v>
      </c>
      <c r="F150" s="8">
        <v>10.5</v>
      </c>
      <c r="G150" s="8">
        <v>0.2</v>
      </c>
      <c r="H150" s="8">
        <v>0.2</v>
      </c>
      <c r="I150" s="8">
        <v>1</v>
      </c>
      <c r="J150" s="10" t="s">
        <v>167</v>
      </c>
      <c r="K150" s="30">
        <v>423.86</v>
      </c>
    </row>
    <row r="151" spans="1:11" s="4" customFormat="1" ht="15.95" hidden="1" customHeight="1" x14ac:dyDescent="0.25">
      <c r="C151" s="7" t="s">
        <v>87</v>
      </c>
      <c r="D151" s="7"/>
      <c r="E151" s="8">
        <f t="shared" si="10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167</v>
      </c>
      <c r="K151" s="30">
        <v>219.05</v>
      </c>
    </row>
    <row r="152" spans="1:11" s="4" customFormat="1" ht="15.95" hidden="1" customHeight="1" x14ac:dyDescent="0.25">
      <c r="C152" s="7" t="s">
        <v>181</v>
      </c>
      <c r="D152" s="7"/>
      <c r="E152" s="8">
        <f t="shared" si="10"/>
        <v>120</v>
      </c>
      <c r="F152" s="8">
        <v>0</v>
      </c>
      <c r="G152" s="8">
        <v>0</v>
      </c>
      <c r="H152" s="8">
        <v>0</v>
      </c>
      <c r="I152" s="8">
        <v>40</v>
      </c>
      <c r="J152" s="10" t="s">
        <v>167</v>
      </c>
      <c r="K152" s="30">
        <v>3</v>
      </c>
    </row>
    <row r="153" spans="1:11" s="4" customFormat="1" ht="15.95" hidden="1" customHeight="1" x14ac:dyDescent="0.25">
      <c r="C153" s="7" t="s">
        <v>54</v>
      </c>
      <c r="D153" s="7"/>
      <c r="E153" s="8">
        <f t="shared" si="10"/>
        <v>50</v>
      </c>
      <c r="F153" s="8">
        <v>0</v>
      </c>
      <c r="G153" s="8">
        <v>0</v>
      </c>
      <c r="H153" s="8">
        <v>0</v>
      </c>
      <c r="I153" s="8">
        <v>2</v>
      </c>
      <c r="J153" s="10" t="s">
        <v>167</v>
      </c>
      <c r="K153" s="30">
        <v>25</v>
      </c>
    </row>
    <row r="154" spans="1:11" s="4" customFormat="1" ht="15.95" hidden="1" customHeight="1" x14ac:dyDescent="0.25">
      <c r="B154" s="29" t="s">
        <v>250</v>
      </c>
      <c r="C154" s="7" t="s">
        <v>74</v>
      </c>
      <c r="D154" s="7"/>
      <c r="E154" s="8">
        <f t="shared" si="10"/>
        <v>0</v>
      </c>
      <c r="F154" s="8">
        <v>0.5</v>
      </c>
      <c r="G154" s="8">
        <v>0.5</v>
      </c>
      <c r="H154" s="8"/>
      <c r="I154" s="8">
        <v>0</v>
      </c>
      <c r="J154" s="10" t="s">
        <v>112</v>
      </c>
      <c r="K154" s="30">
        <v>25</v>
      </c>
    </row>
    <row r="155" spans="1:11" s="4" customFormat="1" ht="15.95" hidden="1" customHeight="1" x14ac:dyDescent="0.25">
      <c r="C155" s="7" t="s">
        <v>92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167</v>
      </c>
      <c r="K155" s="30">
        <v>25</v>
      </c>
    </row>
    <row r="156" spans="1:11" s="4" customFormat="1" ht="15.95" hidden="1" customHeight="1" x14ac:dyDescent="0.25">
      <c r="C156" s="7" t="s">
        <v>249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167</v>
      </c>
      <c r="K156" s="30">
        <v>20</v>
      </c>
    </row>
    <row r="157" spans="1:11" s="4" customFormat="1" ht="15.95" customHeight="1" x14ac:dyDescent="0.25">
      <c r="C157" s="26" t="s">
        <v>133</v>
      </c>
      <c r="D157" s="27">
        <f>SUM(E158:E170)</f>
        <v>1708.18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250</v>
      </c>
      <c r="C158" s="7" t="s">
        <v>19</v>
      </c>
      <c r="D158" s="7"/>
      <c r="E158" s="8">
        <f t="shared" ref="E158:E170" si="11">I158*K158</f>
        <v>119</v>
      </c>
      <c r="F158" s="8"/>
      <c r="G158" s="8"/>
      <c r="H158" s="8"/>
      <c r="I158" s="8">
        <v>10</v>
      </c>
      <c r="J158" s="10" t="s">
        <v>167</v>
      </c>
      <c r="K158" s="30">
        <v>11.9</v>
      </c>
    </row>
    <row r="159" spans="1:11" s="4" customFormat="1" ht="15.95" hidden="1" customHeight="1" x14ac:dyDescent="0.25">
      <c r="B159" s="29" t="s">
        <v>250</v>
      </c>
      <c r="C159" s="7" t="s">
        <v>63</v>
      </c>
      <c r="D159" s="7"/>
      <c r="E159" s="8">
        <f t="shared" si="11"/>
        <v>600</v>
      </c>
      <c r="F159" s="8"/>
      <c r="G159" s="8"/>
      <c r="H159" s="8"/>
      <c r="I159" s="8">
        <v>12</v>
      </c>
      <c r="J159" s="10" t="s">
        <v>167</v>
      </c>
      <c r="K159" s="30">
        <v>50</v>
      </c>
    </row>
    <row r="160" spans="1:11" s="4" customFormat="1" ht="15.95" hidden="1" customHeight="1" x14ac:dyDescent="0.25">
      <c r="B160" s="29" t="s">
        <v>250</v>
      </c>
      <c r="C160" s="7" t="s">
        <v>64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167</v>
      </c>
      <c r="K160" s="30">
        <v>65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167</v>
      </c>
      <c r="K161" s="30">
        <v>23.81</v>
      </c>
    </row>
    <row r="162" spans="2:11" s="4" customFormat="1" ht="15.95" hidden="1" customHeight="1" x14ac:dyDescent="0.25">
      <c r="C162" s="7" t="s">
        <v>84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167</v>
      </c>
      <c r="K162" s="30">
        <v>14.29</v>
      </c>
    </row>
    <row r="163" spans="2:11" s="4" customFormat="1" ht="15.95" hidden="1" customHeight="1" x14ac:dyDescent="0.25">
      <c r="B163" s="29" t="s">
        <v>250</v>
      </c>
      <c r="C163" s="7" t="s">
        <v>65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167</v>
      </c>
      <c r="K163" s="30">
        <v>10</v>
      </c>
    </row>
    <row r="164" spans="2:11" s="4" customFormat="1" ht="15.95" hidden="1" customHeight="1" x14ac:dyDescent="0.25">
      <c r="B164" s="29" t="s">
        <v>250</v>
      </c>
      <c r="C164" s="7" t="s">
        <v>18</v>
      </c>
      <c r="D164" s="7"/>
      <c r="E164" s="8">
        <f t="shared" si="11"/>
        <v>220</v>
      </c>
      <c r="F164" s="8"/>
      <c r="G164" s="8"/>
      <c r="H164" s="8"/>
      <c r="I164" s="8">
        <v>22</v>
      </c>
      <c r="J164" s="10" t="s">
        <v>167</v>
      </c>
      <c r="K164" s="30">
        <v>10</v>
      </c>
    </row>
    <row r="165" spans="2:11" s="4" customFormat="1" ht="15.95" hidden="1" customHeight="1" x14ac:dyDescent="0.25">
      <c r="C165" s="7" t="s">
        <v>52</v>
      </c>
      <c r="D165" s="7"/>
      <c r="E165" s="8">
        <f t="shared" si="11"/>
        <v>100</v>
      </c>
      <c r="F165" s="12"/>
      <c r="G165" s="12"/>
      <c r="H165" s="12"/>
      <c r="I165" s="8">
        <v>20</v>
      </c>
      <c r="J165" s="10" t="s">
        <v>167</v>
      </c>
      <c r="K165" s="30">
        <v>5</v>
      </c>
    </row>
    <row r="166" spans="2:11" s="4" customFormat="1" ht="15.95" hidden="1" customHeight="1" x14ac:dyDescent="0.25">
      <c r="B166" s="29" t="s">
        <v>250</v>
      </c>
      <c r="C166" s="7" t="s">
        <v>17</v>
      </c>
      <c r="D166" s="7"/>
      <c r="E166" s="8">
        <f t="shared" si="11"/>
        <v>154.70000000000002</v>
      </c>
      <c r="F166" s="8"/>
      <c r="G166" s="8"/>
      <c r="H166" s="8"/>
      <c r="I166" s="8">
        <v>13</v>
      </c>
      <c r="J166" s="10" t="s">
        <v>167</v>
      </c>
      <c r="K166" s="30">
        <v>11.9</v>
      </c>
    </row>
    <row r="167" spans="2:11" s="4" customFormat="1" ht="15.95" hidden="1" customHeight="1" x14ac:dyDescent="0.25">
      <c r="C167" s="7" t="s">
        <v>57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167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1"/>
        <v>0</v>
      </c>
      <c r="F168" s="8"/>
      <c r="G168" s="8"/>
      <c r="H168" s="8"/>
      <c r="I168" s="8">
        <v>0</v>
      </c>
      <c r="J168" s="10" t="s">
        <v>167</v>
      </c>
      <c r="K168" s="30">
        <v>2.38</v>
      </c>
    </row>
    <row r="169" spans="2:11" ht="15.95" hidden="1" customHeight="1" x14ac:dyDescent="0.25">
      <c r="C169" s="7" t="s">
        <v>189</v>
      </c>
      <c r="D169" s="7"/>
      <c r="E169" s="8">
        <f t="shared" si="11"/>
        <v>324</v>
      </c>
      <c r="F169" s="8"/>
      <c r="G169" s="8"/>
      <c r="H169" s="8"/>
      <c r="I169" s="8">
        <v>80</v>
      </c>
      <c r="J169" s="10" t="s">
        <v>151</v>
      </c>
      <c r="K169" s="30">
        <v>4.05</v>
      </c>
    </row>
    <row r="170" spans="2:11" s="4" customFormat="1" ht="15.95" hidden="1" customHeight="1" x14ac:dyDescent="0.25">
      <c r="C170" s="7" t="s">
        <v>159</v>
      </c>
      <c r="D170" s="7"/>
      <c r="E170" s="8">
        <f t="shared" si="11"/>
        <v>190.48</v>
      </c>
      <c r="F170" s="8"/>
      <c r="G170" s="8"/>
      <c r="H170" s="8"/>
      <c r="I170" s="8">
        <v>1</v>
      </c>
      <c r="J170" s="10" t="s">
        <v>167</v>
      </c>
      <c r="K170" s="30">
        <v>190.48</v>
      </c>
    </row>
    <row r="171" spans="2:11" s="4" customFormat="1" ht="15.95" customHeight="1" x14ac:dyDescent="0.25">
      <c r="C171" s="26" t="s">
        <v>207</v>
      </c>
      <c r="D171" s="27">
        <f>SUM(E172:E213)</f>
        <v>1003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2">I172*K172</f>
        <v>90</v>
      </c>
      <c r="F172" s="12"/>
      <c r="G172" s="12"/>
      <c r="H172" s="12"/>
      <c r="I172" s="8">
        <v>6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2"/>
        <v>240</v>
      </c>
      <c r="F173" s="12"/>
      <c r="G173" s="12"/>
      <c r="H173" s="12"/>
      <c r="I173" s="8">
        <v>20</v>
      </c>
      <c r="J173" s="10" t="s">
        <v>167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2"/>
        <v>60</v>
      </c>
      <c r="F174" s="12"/>
      <c r="G174" s="12"/>
      <c r="H174" s="12"/>
      <c r="I174" s="8">
        <v>3</v>
      </c>
      <c r="J174" s="10" t="s">
        <v>167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167</v>
      </c>
      <c r="K175" s="30">
        <v>15</v>
      </c>
    </row>
    <row r="176" spans="2:11" s="4" customFormat="1" ht="15.95" hidden="1" customHeight="1" x14ac:dyDescent="0.25">
      <c r="C176" s="7" t="s">
        <v>82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167</v>
      </c>
      <c r="K176" s="30">
        <v>15</v>
      </c>
    </row>
    <row r="177" spans="3:11" s="4" customFormat="1" ht="15.95" hidden="1" customHeight="1" x14ac:dyDescent="0.25">
      <c r="C177" s="7" t="s">
        <v>180</v>
      </c>
      <c r="D177" s="7"/>
      <c r="E177" s="8">
        <f t="shared" si="12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167</v>
      </c>
      <c r="K177" s="30">
        <v>385</v>
      </c>
    </row>
    <row r="178" spans="3:11" s="4" customFormat="1" ht="15.95" hidden="1" customHeight="1" x14ac:dyDescent="0.25">
      <c r="C178" s="7" t="s">
        <v>81</v>
      </c>
      <c r="D178" s="7"/>
      <c r="E178" s="8">
        <f t="shared" si="12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167</v>
      </c>
      <c r="K178" s="30">
        <v>130</v>
      </c>
    </row>
    <row r="179" spans="3:11" s="4" customFormat="1" ht="15.95" hidden="1" customHeight="1" x14ac:dyDescent="0.25">
      <c r="C179" s="7" t="s">
        <v>273</v>
      </c>
      <c r="D179" s="7"/>
      <c r="E179" s="8">
        <f t="shared" si="12"/>
        <v>230</v>
      </c>
      <c r="F179" s="12">
        <v>2.4</v>
      </c>
      <c r="G179" s="12">
        <v>1</v>
      </c>
      <c r="H179" s="12">
        <v>1</v>
      </c>
      <c r="I179" s="8">
        <v>1</v>
      </c>
      <c r="J179" s="10" t="s">
        <v>167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167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2"/>
        <v>170</v>
      </c>
      <c r="F181" s="12"/>
      <c r="G181" s="12"/>
      <c r="H181" s="12"/>
      <c r="I181" s="8">
        <v>2</v>
      </c>
      <c r="J181" s="10" t="s">
        <v>167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167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167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2"/>
        <v>40</v>
      </c>
      <c r="F184" s="12"/>
      <c r="G184" s="12"/>
      <c r="H184" s="12"/>
      <c r="I184" s="8">
        <v>5</v>
      </c>
      <c r="J184" s="10" t="s">
        <v>167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167</v>
      </c>
      <c r="K185" s="30">
        <v>15</v>
      </c>
    </row>
    <row r="186" spans="3:11" s="4" customFormat="1" ht="15.95" hidden="1" customHeight="1" x14ac:dyDescent="0.25">
      <c r="C186" s="7" t="s">
        <v>191</v>
      </c>
      <c r="D186" s="7"/>
      <c r="E186" s="8">
        <f t="shared" si="12"/>
        <v>105</v>
      </c>
      <c r="F186" s="12"/>
      <c r="G186" s="12"/>
      <c r="H186" s="12"/>
      <c r="I186" s="8">
        <v>3</v>
      </c>
      <c r="J186" s="10" t="s">
        <v>167</v>
      </c>
      <c r="K186" s="30">
        <v>35</v>
      </c>
    </row>
    <row r="187" spans="3:11" s="4" customFormat="1" ht="15.95" hidden="1" customHeight="1" x14ac:dyDescent="0.25">
      <c r="C187" s="7" t="s">
        <v>62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167</v>
      </c>
      <c r="K187" s="30">
        <v>85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2"/>
        <v>35</v>
      </c>
      <c r="F188" s="12"/>
      <c r="G188" s="12"/>
      <c r="H188" s="12"/>
      <c r="I188" s="8">
        <v>1</v>
      </c>
      <c r="J188" s="10" t="s">
        <v>167</v>
      </c>
      <c r="K188" s="30">
        <v>35</v>
      </c>
    </row>
    <row r="189" spans="3:11" s="4" customFormat="1" ht="15.95" hidden="1" customHeight="1" x14ac:dyDescent="0.25">
      <c r="C189" s="7" t="s">
        <v>61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167</v>
      </c>
      <c r="K189" s="30">
        <v>25</v>
      </c>
    </row>
    <row r="190" spans="3:11" s="4" customFormat="1" ht="15.95" hidden="1" customHeight="1" x14ac:dyDescent="0.25">
      <c r="C190" s="7" t="s">
        <v>136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167</v>
      </c>
      <c r="K190" s="30">
        <v>35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167</v>
      </c>
      <c r="K191" s="30">
        <v>12</v>
      </c>
    </row>
    <row r="192" spans="3:11" s="4" customFormat="1" ht="15.95" hidden="1" customHeight="1" x14ac:dyDescent="0.25">
      <c r="C192" s="7" t="s">
        <v>49</v>
      </c>
      <c r="D192" s="7"/>
      <c r="E192" s="8">
        <f t="shared" si="12"/>
        <v>25</v>
      </c>
      <c r="F192" s="12"/>
      <c r="G192" s="12"/>
      <c r="H192" s="12"/>
      <c r="I192" s="8">
        <v>1</v>
      </c>
      <c r="J192" s="10" t="s">
        <v>167</v>
      </c>
      <c r="K192" s="30">
        <v>25</v>
      </c>
    </row>
    <row r="193" spans="2:11" s="4" customFormat="1" ht="15.95" hidden="1" customHeight="1" x14ac:dyDescent="0.25">
      <c r="C193" s="7" t="s">
        <v>55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167</v>
      </c>
      <c r="K193" s="30">
        <v>150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167</v>
      </c>
      <c r="K194" s="30">
        <v>15</v>
      </c>
    </row>
    <row r="195" spans="2:11" s="4" customFormat="1" ht="15.95" hidden="1" customHeight="1" x14ac:dyDescent="0.25">
      <c r="C195" s="7" t="s">
        <v>160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167</v>
      </c>
      <c r="K195" s="30">
        <v>15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2"/>
        <v>0</v>
      </c>
      <c r="F196" s="12"/>
      <c r="G196" s="12"/>
      <c r="H196" s="12"/>
      <c r="I196" s="8">
        <v>0</v>
      </c>
      <c r="J196" s="10" t="s">
        <v>167</v>
      </c>
      <c r="K196" s="30">
        <v>600</v>
      </c>
    </row>
    <row r="197" spans="2:11" s="4" customFormat="1" ht="15.95" hidden="1" customHeight="1" x14ac:dyDescent="0.25">
      <c r="C197" s="7" t="s">
        <v>210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167</v>
      </c>
      <c r="K197" s="30">
        <v>85</v>
      </c>
    </row>
    <row r="198" spans="2:11" s="4" customFormat="1" ht="15.95" hidden="1" customHeight="1" x14ac:dyDescent="0.25">
      <c r="C198" s="7" t="s">
        <v>259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167</v>
      </c>
      <c r="K198" s="30">
        <v>210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2"/>
        <v>8</v>
      </c>
      <c r="F199" s="8"/>
      <c r="G199" s="8"/>
      <c r="H199" s="8"/>
      <c r="I199" s="8">
        <v>1</v>
      </c>
      <c r="J199" s="10" t="s">
        <v>167</v>
      </c>
      <c r="K199" s="30">
        <v>8</v>
      </c>
    </row>
    <row r="200" spans="2:11" s="4" customFormat="1" ht="15.95" hidden="1" customHeight="1" x14ac:dyDescent="0.25">
      <c r="C200" s="7" t="s">
        <v>75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167</v>
      </c>
      <c r="K200" s="30">
        <v>15</v>
      </c>
    </row>
    <row r="201" spans="2:11" s="4" customFormat="1" ht="15.95" hidden="1" customHeight="1" x14ac:dyDescent="0.25">
      <c r="C201" s="7" t="s">
        <v>85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167</v>
      </c>
      <c r="K201" s="30">
        <v>15</v>
      </c>
    </row>
    <row r="202" spans="2:11" s="4" customFormat="1" ht="15.95" hidden="1" customHeight="1" x14ac:dyDescent="0.25">
      <c r="B202" s="29" t="s">
        <v>250</v>
      </c>
      <c r="C202" s="7" t="s">
        <v>86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167</v>
      </c>
      <c r="K202" s="30">
        <v>25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167</v>
      </c>
      <c r="K203" s="30">
        <v>85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167</v>
      </c>
      <c r="K204" s="30">
        <v>15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167</v>
      </c>
      <c r="K205" s="30">
        <v>5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167</v>
      </c>
      <c r="K206" s="30">
        <v>12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167</v>
      </c>
      <c r="K207" s="30">
        <v>25</v>
      </c>
    </row>
    <row r="208" spans="2:11" s="4" customFormat="1" ht="15.95" hidden="1" customHeight="1" x14ac:dyDescent="0.25">
      <c r="C208" s="7" t="s">
        <v>95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167</v>
      </c>
      <c r="K208" s="30">
        <v>20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167</v>
      </c>
      <c r="K209" s="30">
        <v>6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167</v>
      </c>
      <c r="K210" s="30">
        <v>3</v>
      </c>
    </row>
    <row r="211" spans="3:11" s="4" customFormat="1" ht="15.95" hidden="1" customHeight="1" x14ac:dyDescent="0.25">
      <c r="C211" s="7" t="s">
        <v>125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167</v>
      </c>
      <c r="K211" s="30">
        <v>35</v>
      </c>
    </row>
    <row r="212" spans="3:11" s="4" customFormat="1" ht="15.95" hidden="1" customHeight="1" x14ac:dyDescent="0.25">
      <c r="C212" s="7" t="s">
        <v>248</v>
      </c>
      <c r="D212" s="7"/>
      <c r="E212" s="8">
        <f t="shared" si="12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167</v>
      </c>
      <c r="K212" s="30">
        <v>20</v>
      </c>
    </row>
    <row r="213" spans="3:11" s="4" customFormat="1" ht="15.95" hidden="1" customHeight="1" x14ac:dyDescent="0.25">
      <c r="C213" s="7" t="s">
        <v>247</v>
      </c>
      <c r="D213" s="7"/>
      <c r="E213" s="8">
        <f t="shared" si="12"/>
        <v>0</v>
      </c>
      <c r="F213" s="8"/>
      <c r="G213" s="8"/>
      <c r="H213" s="8"/>
      <c r="I213" s="8">
        <v>0</v>
      </c>
      <c r="J213" s="10" t="s">
        <v>167</v>
      </c>
      <c r="K213" s="30">
        <v>85</v>
      </c>
    </row>
    <row r="214" spans="3:11" s="4" customFormat="1" ht="15.95" customHeight="1" x14ac:dyDescent="0.25">
      <c r="C214" s="26" t="s">
        <v>184</v>
      </c>
      <c r="D214" s="27">
        <f>SUM(E215:E225)</f>
        <v>1264.6199999999999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245</v>
      </c>
      <c r="D215" s="7"/>
      <c r="E215" s="8">
        <f t="shared" ref="E215:E225" si="13">I215*K215</f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10.71</v>
      </c>
    </row>
    <row r="216" spans="3:11" s="4" customFormat="1" ht="15.95" hidden="1" customHeight="1" x14ac:dyDescent="0.25">
      <c r="C216" s="7" t="s">
        <v>244</v>
      </c>
      <c r="D216" s="7"/>
      <c r="E216" s="8">
        <f t="shared" si="13"/>
        <v>557.28</v>
      </c>
      <c r="F216" s="8">
        <v>1</v>
      </c>
      <c r="G216" s="8">
        <v>1</v>
      </c>
      <c r="H216" s="12"/>
      <c r="I216" s="8">
        <v>36</v>
      </c>
      <c r="J216" s="10" t="s">
        <v>112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3"/>
        <v>510.84000000000003</v>
      </c>
      <c r="F217" s="8">
        <v>1</v>
      </c>
      <c r="G217" s="8">
        <v>1</v>
      </c>
      <c r="H217" s="12"/>
      <c r="I217" s="8">
        <v>33</v>
      </c>
      <c r="J217" s="10" t="s">
        <v>112</v>
      </c>
      <c r="K217" s="30">
        <v>15.48</v>
      </c>
    </row>
    <row r="218" spans="3:11" s="4" customFormat="1" ht="15.95" hidden="1" customHeight="1" x14ac:dyDescent="0.25">
      <c r="C218" s="7" t="s">
        <v>192</v>
      </c>
      <c r="D218" s="7"/>
      <c r="E218" s="8">
        <f t="shared" si="13"/>
        <v>196.5</v>
      </c>
      <c r="F218" s="8">
        <v>1</v>
      </c>
      <c r="G218" s="8">
        <v>1</v>
      </c>
      <c r="H218" s="12"/>
      <c r="I218" s="8">
        <v>15</v>
      </c>
      <c r="J218" s="10" t="s">
        <v>112</v>
      </c>
      <c r="K218" s="30">
        <v>13.1</v>
      </c>
    </row>
    <row r="219" spans="3:11" s="4" customFormat="1" ht="15.95" hidden="1" customHeight="1" x14ac:dyDescent="0.25">
      <c r="C219" s="7" t="s">
        <v>260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95.24</v>
      </c>
    </row>
    <row r="220" spans="3:11" s="4" customFormat="1" ht="15.95" hidden="1" customHeight="1" x14ac:dyDescent="0.25">
      <c r="C220" s="7" t="s">
        <v>261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47.62</v>
      </c>
    </row>
    <row r="221" spans="3:11" s="4" customFormat="1" ht="15.95" hidden="1" customHeight="1" x14ac:dyDescent="0.25">
      <c r="C221" s="7" t="s">
        <v>72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35.71</v>
      </c>
    </row>
    <row r="222" spans="3:11" s="4" customFormat="1" ht="15.95" hidden="1" customHeight="1" x14ac:dyDescent="0.25">
      <c r="C222" s="7" t="s">
        <v>123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28.57</v>
      </c>
    </row>
    <row r="223" spans="3:11" s="4" customFormat="1" ht="15.95" hidden="1" customHeight="1" x14ac:dyDescent="0.25">
      <c r="C223" s="7" t="s">
        <v>53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112</v>
      </c>
      <c r="K223" s="30">
        <v>13.1</v>
      </c>
    </row>
    <row r="224" spans="3:11" s="4" customFormat="1" ht="15.95" hidden="1" customHeight="1" x14ac:dyDescent="0.25">
      <c r="C224" s="7" t="s">
        <v>246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112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3"/>
        <v>0</v>
      </c>
      <c r="F225" s="8">
        <v>1</v>
      </c>
      <c r="G225" s="8">
        <v>1</v>
      </c>
      <c r="H225" s="12"/>
      <c r="I225" s="8">
        <v>0</v>
      </c>
      <c r="J225" s="10" t="s">
        <v>112</v>
      </c>
      <c r="K225" s="30">
        <v>10.71</v>
      </c>
    </row>
    <row r="226" spans="3:11" s="4" customFormat="1" ht="15.95" customHeight="1" x14ac:dyDescent="0.25">
      <c r="C226" s="26" t="s">
        <v>183</v>
      </c>
      <c r="D226" s="27">
        <f>SUM(E227:E265)</f>
        <v>750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22</v>
      </c>
      <c r="D227" s="7"/>
      <c r="E227" s="8">
        <f t="shared" ref="E227:E265" si="14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167</v>
      </c>
      <c r="K227" s="30">
        <v>320</v>
      </c>
    </row>
    <row r="228" spans="3:11" s="4" customFormat="1" ht="15.95" hidden="1" customHeight="1" x14ac:dyDescent="0.25">
      <c r="C228" s="7" t="s">
        <v>214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167</v>
      </c>
      <c r="K228" s="30">
        <v>210</v>
      </c>
    </row>
    <row r="229" spans="3:11" s="4" customFormat="1" ht="15.95" hidden="1" customHeight="1" x14ac:dyDescent="0.25">
      <c r="C229" s="7" t="s">
        <v>215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167</v>
      </c>
      <c r="K229" s="30">
        <v>180</v>
      </c>
    </row>
    <row r="230" spans="3:11" s="4" customFormat="1" ht="15.95" hidden="1" customHeight="1" x14ac:dyDescent="0.25">
      <c r="C230" s="7" t="s">
        <v>216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167</v>
      </c>
      <c r="K230" s="30">
        <v>180</v>
      </c>
    </row>
    <row r="231" spans="3:11" s="4" customFormat="1" ht="15.95" hidden="1" customHeight="1" x14ac:dyDescent="0.25">
      <c r="C231" s="7" t="s">
        <v>217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167</v>
      </c>
      <c r="K231" s="30">
        <v>110</v>
      </c>
    </row>
    <row r="232" spans="3:11" s="4" customFormat="1" ht="15.95" hidden="1" customHeight="1" x14ac:dyDescent="0.25">
      <c r="C232" s="7" t="s">
        <v>218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167</v>
      </c>
      <c r="K232" s="30">
        <v>310</v>
      </c>
    </row>
    <row r="233" spans="3:11" s="4" customFormat="1" ht="15.95" hidden="1" customHeight="1" x14ac:dyDescent="0.25">
      <c r="C233" s="7" t="s">
        <v>219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167</v>
      </c>
      <c r="K233" s="30">
        <v>160</v>
      </c>
    </row>
    <row r="234" spans="3:11" s="4" customFormat="1" ht="15.95" hidden="1" customHeight="1" x14ac:dyDescent="0.25">
      <c r="C234" s="7" t="s">
        <v>60</v>
      </c>
      <c r="D234" s="7"/>
      <c r="E234" s="8">
        <f t="shared" si="14"/>
        <v>0</v>
      </c>
      <c r="F234" s="12"/>
      <c r="G234" s="12"/>
      <c r="H234" s="12"/>
      <c r="I234" s="8">
        <v>0</v>
      </c>
      <c r="J234" s="10" t="s">
        <v>167</v>
      </c>
      <c r="K234" s="30">
        <v>10</v>
      </c>
    </row>
    <row r="235" spans="3:11" s="4" customFormat="1" ht="15.95" hidden="1" customHeight="1" x14ac:dyDescent="0.25">
      <c r="C235" s="7" t="s">
        <v>223</v>
      </c>
      <c r="D235" s="7"/>
      <c r="E235" s="8">
        <f t="shared" si="14"/>
        <v>0</v>
      </c>
      <c r="F235" s="12"/>
      <c r="G235" s="12"/>
      <c r="H235" s="12"/>
      <c r="I235" s="8">
        <v>0</v>
      </c>
      <c r="J235" s="10" t="s">
        <v>167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167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167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167</v>
      </c>
      <c r="K238" s="30">
        <v>220</v>
      </c>
    </row>
    <row r="239" spans="3:11" s="4" customFormat="1" ht="15.95" hidden="1" customHeight="1" x14ac:dyDescent="0.25">
      <c r="C239" s="7" t="s">
        <v>182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167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4"/>
        <v>750</v>
      </c>
      <c r="F240" s="8"/>
      <c r="G240" s="8"/>
      <c r="H240" s="8"/>
      <c r="I240" s="8">
        <v>3</v>
      </c>
      <c r="J240" s="10" t="s">
        <v>167</v>
      </c>
      <c r="K240" s="30">
        <v>250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167</v>
      </c>
      <c r="K241" s="30">
        <v>390</v>
      </c>
    </row>
    <row r="242" spans="3:11" s="4" customFormat="1" ht="15.95" hidden="1" customHeight="1" x14ac:dyDescent="0.25">
      <c r="C242" s="7" t="s">
        <v>237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167</v>
      </c>
      <c r="K242" s="30">
        <v>460</v>
      </c>
    </row>
    <row r="243" spans="3:11" s="4" customFormat="1" ht="15.95" hidden="1" customHeight="1" x14ac:dyDescent="0.25">
      <c r="C243" s="7" t="s">
        <v>212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167</v>
      </c>
      <c r="K243" s="30">
        <v>850</v>
      </c>
    </row>
    <row r="244" spans="3:11" s="4" customFormat="1" ht="15.95" hidden="1" customHeight="1" x14ac:dyDescent="0.25">
      <c r="C244" s="7" t="s">
        <v>188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167</v>
      </c>
      <c r="K244" s="30">
        <v>1400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167</v>
      </c>
      <c r="K245" s="30">
        <v>360</v>
      </c>
    </row>
    <row r="246" spans="3:11" s="4" customFormat="1" ht="15.95" hidden="1" customHeight="1" x14ac:dyDescent="0.25">
      <c r="C246" s="7" t="s">
        <v>242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167</v>
      </c>
      <c r="K246" s="30">
        <v>550</v>
      </c>
    </row>
    <row r="247" spans="3:11" s="4" customFormat="1" ht="15.95" hidden="1" customHeight="1" x14ac:dyDescent="0.25">
      <c r="C247" s="7" t="s">
        <v>243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167</v>
      </c>
      <c r="K247" s="30">
        <v>580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167</v>
      </c>
      <c r="K248" s="30">
        <v>680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167</v>
      </c>
      <c r="K249" s="30">
        <v>750</v>
      </c>
    </row>
    <row r="250" spans="3:11" s="4" customFormat="1" ht="15.95" hidden="1" customHeight="1" x14ac:dyDescent="0.25">
      <c r="C250" s="7" t="s">
        <v>236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167</v>
      </c>
      <c r="K250" s="30">
        <v>340</v>
      </c>
    </row>
    <row r="251" spans="3:11" s="4" customFormat="1" ht="15.95" hidden="1" customHeight="1" x14ac:dyDescent="0.25">
      <c r="C251" s="7" t="s">
        <v>241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167</v>
      </c>
      <c r="K251" s="30">
        <v>160</v>
      </c>
    </row>
    <row r="252" spans="3:11" s="4" customFormat="1" ht="15.95" hidden="1" customHeight="1" x14ac:dyDescent="0.25">
      <c r="C252" s="7" t="s">
        <v>238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167</v>
      </c>
      <c r="K252" s="30">
        <v>130</v>
      </c>
    </row>
    <row r="253" spans="3:11" s="4" customFormat="1" ht="15.95" hidden="1" customHeight="1" x14ac:dyDescent="0.25">
      <c r="C253" s="7" t="s">
        <v>228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167</v>
      </c>
      <c r="K253" s="30">
        <v>130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167</v>
      </c>
      <c r="K254" s="30">
        <v>400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167</v>
      </c>
      <c r="K255" s="30">
        <v>260</v>
      </c>
    </row>
    <row r="256" spans="3:11" s="4" customFormat="1" ht="15.95" hidden="1" customHeight="1" x14ac:dyDescent="0.25">
      <c r="C256" s="7" t="s">
        <v>232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167</v>
      </c>
      <c r="K256" s="30">
        <v>180</v>
      </c>
    </row>
    <row r="257" spans="3:11" s="4" customFormat="1" ht="15.95" hidden="1" customHeight="1" x14ac:dyDescent="0.25">
      <c r="C257" s="7" t="s">
        <v>233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167</v>
      </c>
      <c r="K257" s="30">
        <v>120</v>
      </c>
    </row>
    <row r="258" spans="3:11" s="4" customFormat="1" ht="15.95" hidden="1" customHeight="1" x14ac:dyDescent="0.25">
      <c r="C258" s="7" t="s">
        <v>234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167</v>
      </c>
      <c r="K258" s="30">
        <v>220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167</v>
      </c>
      <c r="K259" s="30">
        <v>230</v>
      </c>
    </row>
    <row r="260" spans="3:11" s="4" customFormat="1" ht="15.95" hidden="1" customHeight="1" x14ac:dyDescent="0.25">
      <c r="C260" s="7" t="s">
        <v>229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230</v>
      </c>
      <c r="K260" s="30">
        <v>500</v>
      </c>
    </row>
    <row r="261" spans="3:11" s="4" customFormat="1" ht="15.95" hidden="1" customHeight="1" x14ac:dyDescent="0.25">
      <c r="C261" s="7" t="s">
        <v>231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167</v>
      </c>
      <c r="K261" s="30">
        <v>180</v>
      </c>
    </row>
    <row r="262" spans="3:11" s="4" customFormat="1" ht="15.95" hidden="1" customHeight="1" x14ac:dyDescent="0.25">
      <c r="C262" s="7" t="s">
        <v>225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167</v>
      </c>
      <c r="K262" s="30">
        <v>260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167</v>
      </c>
      <c r="K263" s="30">
        <v>6500</v>
      </c>
    </row>
    <row r="264" spans="3:11" s="4" customFormat="1" ht="15.95" hidden="1" customHeight="1" x14ac:dyDescent="0.25">
      <c r="C264" s="7" t="s">
        <v>222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167</v>
      </c>
      <c r="K264" s="30">
        <v>8800</v>
      </c>
    </row>
    <row r="265" spans="3:11" s="4" customFormat="1" ht="15.95" hidden="1" customHeight="1" x14ac:dyDescent="0.25">
      <c r="C265" s="7" t="s">
        <v>221</v>
      </c>
      <c r="D265" s="7"/>
      <c r="E265" s="8">
        <f t="shared" si="14"/>
        <v>0</v>
      </c>
      <c r="F265" s="8"/>
      <c r="G265" s="8"/>
      <c r="H265" s="8"/>
      <c r="I265" s="8">
        <v>0</v>
      </c>
      <c r="J265" s="10" t="s">
        <v>167</v>
      </c>
      <c r="K265" s="30">
        <v>1050</v>
      </c>
    </row>
    <row r="266" spans="3:11" s="22" customFormat="1" ht="15.95" customHeight="1" x14ac:dyDescent="0.25">
      <c r="C266" s="32" t="s">
        <v>149</v>
      </c>
      <c r="D266" s="33">
        <f>SUM(E267)</f>
        <v>11800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11800</v>
      </c>
      <c r="F267" s="24"/>
      <c r="G267" s="24"/>
      <c r="H267" s="24"/>
      <c r="I267" s="24">
        <v>1</v>
      </c>
      <c r="J267" s="25" t="s">
        <v>167</v>
      </c>
      <c r="K267" s="48">
        <v>11800</v>
      </c>
    </row>
    <row r="268" spans="3:11" s="22" customFormat="1" ht="15.95" customHeight="1" x14ac:dyDescent="0.25">
      <c r="C268" s="32" t="s">
        <v>147</v>
      </c>
      <c r="D268" s="33">
        <f>SUM(E269)</f>
        <v>5000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5000</v>
      </c>
      <c r="F269" s="41"/>
      <c r="G269" s="41"/>
      <c r="H269" s="41"/>
      <c r="I269" s="24">
        <v>4</v>
      </c>
      <c r="J269" s="25" t="s">
        <v>150</v>
      </c>
      <c r="K269" s="48">
        <v>1250</v>
      </c>
    </row>
    <row r="270" spans="3:11" s="22" customFormat="1" ht="15.95" customHeight="1" x14ac:dyDescent="0.25">
      <c r="C270" s="32" t="s">
        <v>148</v>
      </c>
      <c r="D270" s="33">
        <f>SUM(E271)</f>
        <v>1500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1500</v>
      </c>
      <c r="F271" s="41"/>
      <c r="G271" s="41"/>
      <c r="H271" s="41"/>
      <c r="I271" s="24">
        <v>1</v>
      </c>
      <c r="J271" s="25" t="s">
        <v>167</v>
      </c>
      <c r="K271" s="48">
        <v>1500</v>
      </c>
    </row>
    <row r="272" spans="3:11" s="22" customFormat="1" ht="15.95" customHeight="1" x14ac:dyDescent="0.25">
      <c r="C272" s="32" t="s">
        <v>213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167</v>
      </c>
      <c r="K273" s="48">
        <v>1200</v>
      </c>
    </row>
    <row r="274" spans="3:11" s="22" customFormat="1" ht="15.95" customHeight="1" x14ac:dyDescent="0.25">
      <c r="C274" s="32" t="s">
        <v>266</v>
      </c>
      <c r="D274" s="33">
        <f>SUM(E275)</f>
        <v>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265</v>
      </c>
      <c r="D275" s="38"/>
      <c r="E275" s="39">
        <f>I275*K275</f>
        <v>0</v>
      </c>
      <c r="F275" s="41"/>
      <c r="G275" s="41"/>
      <c r="H275" s="41"/>
      <c r="I275" s="24">
        <v>0</v>
      </c>
      <c r="J275" s="25" t="s">
        <v>167</v>
      </c>
      <c r="K275" s="48">
        <v>0</v>
      </c>
    </row>
    <row r="276" spans="3:11" ht="15.95" customHeight="1" thickBot="1" x14ac:dyDescent="0.3">
      <c r="C276" s="18" t="s">
        <v>58</v>
      </c>
      <c r="D276" s="14">
        <f>SUM(D2:D275)</f>
        <v>34339.39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2025-08-22T11:07:10Z</dcterms:modified>
</cp:coreProperties>
</file>