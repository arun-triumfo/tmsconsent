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VIND @ Wind Europe 2026\13-10-2025\Standard Cost\"/>
    </mc:Choice>
  </mc:AlternateContent>
  <xr:revisionPtr revIDLastSave="0" documentId="13_ncr:1_{57D05B24-3F89-4282-B86F-40B057B89D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Europe!$C$1:$K$270</definedName>
    <definedName name="_xlnm.Print_Area" localSheetId="0">Europe!$A$1:$H$270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5" i="1" l="1"/>
  <c r="E94" i="1" l="1"/>
  <c r="E116" i="1"/>
  <c r="E136" i="1" l="1"/>
  <c r="E269" i="1" l="1"/>
  <c r="D268" i="1" s="1"/>
  <c r="E80" i="1" l="1"/>
  <c r="E79" i="1"/>
  <c r="E89" i="1" l="1"/>
  <c r="E90" i="1"/>
  <c r="E91" i="1"/>
  <c r="E92" i="1"/>
  <c r="E93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2" i="1"/>
  <c r="E113" i="1"/>
  <c r="E114" i="1"/>
  <c r="E115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7" i="1" l="1"/>
  <c r="D266" i="1" s="1"/>
  <c r="E265" i="1"/>
  <c r="D264" i="1" s="1"/>
  <c r="E263" i="1"/>
  <c r="D262" i="1" s="1"/>
  <c r="E261" i="1"/>
  <c r="D260" i="1" s="1"/>
  <c r="E14" i="1" l="1"/>
  <c r="E88" i="1" l="1"/>
  <c r="D87" i="1" s="1"/>
  <c r="E15" i="1" l="1"/>
  <c r="E83" i="1" l="1"/>
  <c r="E84" i="1"/>
  <c r="E85" i="1"/>
  <c r="E209" i="1" l="1"/>
  <c r="E133" i="1"/>
  <c r="E166" i="1"/>
  <c r="D165" i="1" s="1"/>
  <c r="D208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2" i="1" l="1"/>
  <c r="E144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0" i="1"/>
  <c r="E221" i="1"/>
  <c r="D220" i="1" s="1"/>
  <c r="D16" i="1" l="1"/>
  <c r="D151" i="1"/>
  <c r="D132" i="1"/>
  <c r="D143" i="1"/>
  <c r="D109" i="1"/>
  <c r="D270" i="1" l="1"/>
</calcChain>
</file>

<file path=xl/sharedStrings.xml><?xml version="1.0" encoding="utf-8"?>
<sst xmlns="http://schemas.openxmlformats.org/spreadsheetml/2006/main" count="580" uniqueCount="283">
  <si>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</si>
  <si>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</si>
  <si>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</si>
  <si>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</si>
  <si>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</si>
  <si>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</si>
  <si>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</si>
  <si>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</si>
  <si>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</si>
  <si>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</si>
  <si>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</si>
  <si>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</si>
  <si>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</si>
  <si>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</si>
  <si>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</si>
  <si>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</si>
  <si>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</si>
  <si>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</si>
  <si>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</si>
  <si>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</si>
  <si>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</si>
  <si>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</si>
  <si>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</si>
  <si>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</si>
  <si>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</si>
  <si>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</si>
  <si>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</si>
  <si>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</si>
  <si>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</si>
  <si>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</si>
  <si>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</si>
  <si>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</si>
  <si>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</si>
  <si>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</si>
  <si>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</si>
  <si>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</si>
  <si>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</si>
  <si>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</si>
  <si>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</si>
  <si>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</si>
  <si>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</si>
  <si>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</si>
  <si>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</si>
  <si>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</si>
  <si>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</si>
  <si>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</si>
  <si>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</si>
  <si>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</si>
  <si>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</si>
  <si>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</si>
  <si>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</si>
  <si>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</si>
  <si>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</si>
  <si>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</si>
  <si>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</si>
  <si>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</si>
  <si>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</si>
  <si>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</si>
  <si>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</si>
  <si>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</si>
  <si>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</si>
  <si>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</si>
  <si>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</si>
  <si>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</si>
  <si>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</si>
  <si>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</si>
  <si>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</si>
  <si>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</si>
  <si>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</si>
  <si>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</si>
  <si>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</si>
  <si>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</si>
  <si>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</si>
  <si>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</si>
  <si>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</si>
  <si>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</si>
  <si>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</si>
  <si>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</si>
  <si>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</si>
  <si>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</si>
  <si>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</si>
  <si>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</si>
  <si>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</si>
  <si>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</si>
  <si>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</si>
  <si>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</si>
  <si>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</si>
  <si>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</si>
  <si>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</si>
  <si>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</si>
  <si>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</si>
  <si>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</si>
  <si>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</si>
  <si>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</si>
  <si>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</si>
  <si>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</si>
  <si>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</si>
  <si>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</si>
  <si>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</si>
  <si>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</si>
  <si>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</si>
  <si>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</si>
  <si>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</si>
  <si>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</si>
  <si>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</si>
  <si>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</si>
  <si>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</si>
  <si>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</si>
  <si>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</si>
  <si>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</si>
  <si>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</si>
  <si>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</si>
  <si>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</si>
  <si>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</si>
  <si>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</si>
  <si>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</si>
  <si>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</si>
  <si>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</si>
  <si>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</si>
  <si>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</si>
  <si>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</si>
  <si>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</si>
  <si>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</si>
  <si>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</si>
  <si>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</si>
  <si>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</si>
  <si>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</si>
  <si>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</si>
  <si>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</si>
  <si>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</si>
  <si>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</si>
  <si>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</si>
  <si>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</si>
  <si>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</si>
  <si>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</si>
  <si>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</si>
  <si>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</si>
  <si>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</si>
  <si>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</si>
  <si>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</si>
  <si>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</si>
  <si>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</si>
  <si>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</si>
  <si>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</si>
  <si>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</si>
  <si>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</si>
  <si>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</si>
  <si>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</si>
  <si>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</si>
  <si>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</si>
  <si>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</si>
  <si>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</si>
  <si>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</si>
  <si>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</si>
  <si>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</si>
  <si>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</si>
  <si>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</si>
  <si>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</si>
  <si>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</si>
  <si>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</si>
  <si>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</si>
  <si>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</si>
  <si>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</si>
  <si>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</si>
  <si>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</si>
  <si>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</si>
  <si>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</si>
  <si>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</si>
  <si>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</si>
  <si>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</si>
  <si>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</si>
  <si>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</si>
  <si>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</si>
  <si>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</si>
  <si>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</si>
  <si>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</si>
  <si>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</si>
  <si>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</si>
  <si>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</si>
  <si>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</si>
  <si>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</si>
  <si>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</si>
  <si>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</si>
  <si>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</si>
  <si>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</si>
  <si>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</si>
  <si>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</si>
  <si>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</si>
  <si>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</si>
  <si>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</si>
  <si>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</si>
  <si>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</si>
  <si>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</si>
  <si>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</si>
  <si>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</si>
  <si>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</si>
  <si>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</si>
  <si>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</si>
  <si>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</si>
  <si>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</si>
  <si>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</si>
  <si>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</si>
  <si>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</si>
  <si>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</si>
  <si>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</si>
  <si>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</si>
  <si>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</si>
  <si>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</si>
  <si>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</si>
  <si>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</si>
  <si>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</si>
  <si>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</si>
  <si>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</si>
  <si>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</si>
  <si>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</si>
  <si>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</si>
  <si>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</si>
  <si>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</si>
  <si>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</si>
  <si>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</si>
  <si>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</si>
  <si>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</si>
  <si>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</si>
  <si>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</si>
  <si>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</si>
  <si>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</si>
  <si>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</si>
  <si>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</si>
  <si>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</si>
  <si>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</si>
  <si>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</si>
  <si>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</si>
  <si>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</si>
  <si>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</si>
  <si>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</si>
  <si>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</si>
  <si>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</si>
  <si>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</si>
  <si>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</si>
  <si>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</si>
  <si>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</si>
  <si>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</si>
  <si>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</si>
  <si>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</si>
  <si>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</si>
  <si>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</si>
  <si>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</si>
  <si>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</si>
  <si>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</si>
  <si>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</si>
  <si>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</si>
  <si>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</si>
  <si>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</si>
  <si>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</si>
  <si>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</si>
  <si>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</si>
  <si>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</si>
  <si>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</si>
  <si>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</si>
  <si>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</si>
  <si>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</si>
  <si>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</si>
  <si>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</si>
  <si>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</si>
  <si>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</si>
  <si>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</si>
  <si>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</si>
  <si>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</si>
  <si>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</si>
  <si>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</si>
  <si>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</si>
  <si>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Reception Counter (Laminated) 3.5 x 0.5 x 1.0</t>
  </si>
  <si>
    <t>Meeting Station (Laminated)- 1.8 x 0.5 x 1.0</t>
  </si>
  <si>
    <t>Opt Nr:-  1</t>
  </si>
  <si>
    <t>VIND</t>
  </si>
  <si>
    <t>WIND EUROPE 2026</t>
  </si>
  <si>
    <t>21.04-23.04.2026</t>
  </si>
  <si>
    <t>MADRID, SPAIN</t>
  </si>
  <si>
    <t>6M X 5M</t>
  </si>
  <si>
    <t>30 SQM</t>
  </si>
  <si>
    <t>4M</t>
  </si>
  <si>
    <t>Date:- 13-10-2025</t>
  </si>
  <si>
    <t>Wooden Backlit Hanging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</si>
</sst>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143</xdr:row>
      <xdr:rowOff>0</xdr:rowOff>
    </xdr:from>
    <xdr:to>
      <xdr:col>1</xdr:col>
      <xdr:colOff>1057276</xdr:colOff>
      <xdr:row>269</xdr:row>
      <xdr:rowOff>94806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0BA924-ACEB-4793-A1D8-2760C0FEB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666875"/>
          <a:ext cx="2114550" cy="1895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1"/>
  <sheetViews>
    <sheetView tabSelected="1" zoomScaleNormal="100" zoomScaleSheetLayoutView="85" workbookViewId="0">
      <pane ySplit="1" topLeftCell="A2" activePane="bottomLeft" state="frozen"/>
      <selection pane="bottomLeft" activeCell="I91" sqref="I91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273</v>
      </c>
      <c r="B1" s="31" t="s">
        <v>281</v>
      </c>
      <c r="C1" s="19" t="s">
        <v>46</v>
      </c>
      <c r="D1" s="19" t="s">
        <v>131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266</v>
      </c>
    </row>
    <row r="2" spans="1:11" s="4" customFormat="1" ht="15.95" customHeight="1" x14ac:dyDescent="0.25">
      <c r="A2" s="21" t="s">
        <v>140</v>
      </c>
      <c r="B2" s="4" t="s">
        <v>274</v>
      </c>
      <c r="C2" s="26" t="s">
        <v>151</v>
      </c>
      <c r="D2" s="27">
        <f>SUM(E3:E11)</f>
        <v>669.18999999999994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304.64</v>
      </c>
      <c r="F4" s="8"/>
      <c r="G4" s="8"/>
      <c r="H4" s="8"/>
      <c r="I4" s="9">
        <v>32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320</v>
      </c>
      <c r="F7" s="8"/>
      <c r="G7" s="8"/>
      <c r="H7" s="8"/>
      <c r="I7" s="9">
        <v>32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44.55</v>
      </c>
      <c r="F9" s="8"/>
      <c r="G9" s="8"/>
      <c r="H9" s="8"/>
      <c r="I9" s="9">
        <v>11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275</v>
      </c>
      <c r="C12" s="26" t="s">
        <v>194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277</v>
      </c>
      <c r="C16" s="26" t="s">
        <v>184</v>
      </c>
      <c r="D16" s="27">
        <f>SUM(E17:E86)</f>
        <v>1407.44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785.73</v>
      </c>
      <c r="F29" s="8">
        <v>1</v>
      </c>
      <c r="G29" s="8">
        <v>0.1</v>
      </c>
      <c r="H29" s="8">
        <v>3.5</v>
      </c>
      <c r="I29" s="9">
        <v>11</v>
      </c>
      <c r="J29" s="10" t="s">
        <v>154</v>
      </c>
      <c r="K29" s="30">
        <v>71.430000000000007</v>
      </c>
    </row>
    <row r="30" spans="2:11" ht="15.95" hidden="1" customHeight="1" x14ac:dyDescent="0.25">
      <c r="B30" s="29"/>
      <c r="C30" s="7" t="s">
        <v>66</v>
      </c>
      <c r="D30" s="7"/>
      <c r="E30" s="8">
        <f t="shared" si="1"/>
        <v>251.43</v>
      </c>
      <c r="F30" s="8">
        <v>1</v>
      </c>
      <c r="G30" s="8">
        <v>0.1</v>
      </c>
      <c r="H30" s="8">
        <v>3.5</v>
      </c>
      <c r="I30" s="9">
        <v>3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370.28</v>
      </c>
      <c r="F34" s="8">
        <v>1</v>
      </c>
      <c r="G34" s="8">
        <v>0.1</v>
      </c>
      <c r="H34" s="8">
        <v>4</v>
      </c>
      <c r="I34" s="9">
        <v>4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3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3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3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3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3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3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259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260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261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276</v>
      </c>
      <c r="C87" s="26" t="s">
        <v>195</v>
      </c>
      <c r="D87" s="27">
        <f>SUM(E88:E108)</f>
        <v>1162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8" si="4">I88*K88</f>
        <v>550</v>
      </c>
      <c r="F88" s="24"/>
      <c r="G88" s="24"/>
      <c r="H88" s="24"/>
      <c r="I88" s="24">
        <v>22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80</v>
      </c>
      <c r="F89" s="24"/>
      <c r="G89" s="24"/>
      <c r="H89" s="24"/>
      <c r="I89" s="24">
        <v>8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32</v>
      </c>
      <c r="F90" s="24"/>
      <c r="G90" s="24"/>
      <c r="H90" s="24"/>
      <c r="I90" s="24">
        <v>16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264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265</v>
      </c>
      <c r="D94" s="7"/>
      <c r="E94" s="24">
        <f t="shared" ref="E94:E95" si="5">I94*K94</f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42"/>
      <c r="C95" s="7" t="s">
        <v>282</v>
      </c>
      <c r="D95" s="7"/>
      <c r="E95" s="24">
        <f t="shared" si="5"/>
        <v>500</v>
      </c>
      <c r="F95" s="8"/>
      <c r="G95" s="8"/>
      <c r="H95" s="8"/>
      <c r="I95" s="8">
        <v>1</v>
      </c>
      <c r="J95" s="10" t="s">
        <v>166</v>
      </c>
      <c r="K95" s="48">
        <v>500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4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4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4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4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4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4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4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4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4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B109" s="4" t="s">
        <v>278</v>
      </c>
      <c r="C109" s="26" t="s">
        <v>196</v>
      </c>
      <c r="D109" s="27">
        <f>SUM(E110:E131)</f>
        <v>709.56999999999994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268</v>
      </c>
      <c r="D110" s="7"/>
      <c r="E110" s="8">
        <f t="shared" ref="E110:E131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254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269</v>
      </c>
      <c r="D112" s="7"/>
      <c r="E112" s="8">
        <f t="shared" si="6"/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166</v>
      </c>
      <c r="K112" s="30">
        <v>358.69</v>
      </c>
    </row>
    <row r="113" spans="2:11" s="4" customFormat="1" ht="15.95" hidden="1" customHeight="1" x14ac:dyDescent="0.25">
      <c r="C113" s="7" t="s">
        <v>255</v>
      </c>
      <c r="D113" s="7"/>
      <c r="E113" s="8">
        <f t="shared" si="6"/>
        <v>0</v>
      </c>
      <c r="F113" s="8">
        <v>4.5</v>
      </c>
      <c r="G113" s="8">
        <v>1</v>
      </c>
      <c r="H113" s="8">
        <v>1</v>
      </c>
      <c r="I113" s="8">
        <v>0</v>
      </c>
      <c r="J113" s="10" t="s">
        <v>166</v>
      </c>
      <c r="K113" s="30">
        <v>302.29000000000002</v>
      </c>
    </row>
    <row r="114" spans="2:11" s="4" customFormat="1" ht="15.95" hidden="1" customHeight="1" x14ac:dyDescent="0.25">
      <c r="C114" s="7" t="s">
        <v>253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604.02</v>
      </c>
    </row>
    <row r="115" spans="2:11" s="4" customFormat="1" ht="15.95" hidden="1" customHeight="1" x14ac:dyDescent="0.25">
      <c r="C115" s="7" t="s">
        <v>271</v>
      </c>
      <c r="D115" s="7"/>
      <c r="E115" s="8">
        <f t="shared" si="6"/>
        <v>423.86</v>
      </c>
      <c r="F115" s="8">
        <v>3.5</v>
      </c>
      <c r="G115" s="8">
        <v>0.5</v>
      </c>
      <c r="H115" s="8">
        <v>1</v>
      </c>
      <c r="I115" s="8">
        <v>1</v>
      </c>
      <c r="J115" s="10" t="s">
        <v>166</v>
      </c>
      <c r="K115" s="30">
        <v>423.86</v>
      </c>
    </row>
    <row r="116" spans="2:11" s="4" customFormat="1" ht="15.95" hidden="1" customHeight="1" x14ac:dyDescent="0.25">
      <c r="C116" s="7" t="s">
        <v>272</v>
      </c>
      <c r="D116" s="7"/>
      <c r="E116" s="8">
        <f t="shared" ref="E116" si="7">I116*K116</f>
        <v>285.70999999999998</v>
      </c>
      <c r="F116" s="8">
        <v>1.8</v>
      </c>
      <c r="G116" s="8">
        <v>0.5</v>
      </c>
      <c r="H116" s="8">
        <v>1</v>
      </c>
      <c r="I116" s="8">
        <v>1</v>
      </c>
      <c r="J116" s="10" t="s">
        <v>166</v>
      </c>
      <c r="K116" s="30">
        <v>285.70999999999998</v>
      </c>
    </row>
    <row r="117" spans="2:11" s="4" customFormat="1" ht="15.95" hidden="1" customHeight="1" x14ac:dyDescent="0.25">
      <c r="C117" s="7" t="s">
        <v>157</v>
      </c>
      <c r="D117" s="7"/>
      <c r="E117" s="8">
        <f t="shared" si="6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166</v>
      </c>
      <c r="K117" s="30">
        <v>595.24</v>
      </c>
    </row>
    <row r="118" spans="2:11" s="4" customFormat="1" ht="15.95" hidden="1" customHeight="1" x14ac:dyDescent="0.25">
      <c r="C118" s="7" t="s">
        <v>197</v>
      </c>
      <c r="D118" s="7"/>
      <c r="E118" s="8">
        <f t="shared" si="6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166</v>
      </c>
      <c r="K118" s="30">
        <v>161.9</v>
      </c>
    </row>
    <row r="119" spans="2:11" s="4" customFormat="1" ht="15.95" hidden="1" customHeight="1" x14ac:dyDescent="0.25">
      <c r="C119" s="7" t="s">
        <v>198</v>
      </c>
      <c r="D119" s="7"/>
      <c r="E119" s="8">
        <f t="shared" si="6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166</v>
      </c>
      <c r="K119" s="30">
        <v>190.48</v>
      </c>
    </row>
    <row r="120" spans="2:11" s="4" customFormat="1" ht="15.95" hidden="1" customHeight="1" x14ac:dyDescent="0.25">
      <c r="C120" s="7" t="s">
        <v>199</v>
      </c>
      <c r="D120" s="7"/>
      <c r="E120" s="8">
        <f t="shared" si="6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166</v>
      </c>
      <c r="K120" s="30">
        <v>216.67</v>
      </c>
    </row>
    <row r="121" spans="2:11" s="4" customFormat="1" ht="15.95" hidden="1" customHeight="1" x14ac:dyDescent="0.25">
      <c r="C121" s="7" t="s">
        <v>200</v>
      </c>
      <c r="D121" s="7"/>
      <c r="E121" s="8">
        <f t="shared" si="6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166</v>
      </c>
      <c r="K121" s="30">
        <v>154.76</v>
      </c>
    </row>
    <row r="122" spans="2:11" s="4" customFormat="1" ht="15.95" hidden="1" customHeight="1" x14ac:dyDescent="0.25">
      <c r="C122" s="7" t="s">
        <v>201</v>
      </c>
      <c r="D122" s="7"/>
      <c r="E122" s="8">
        <f t="shared" si="6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166</v>
      </c>
      <c r="K122" s="30">
        <v>177.98</v>
      </c>
    </row>
    <row r="123" spans="2:11" s="4" customFormat="1" ht="15.95" hidden="1" customHeight="1" x14ac:dyDescent="0.25">
      <c r="C123" s="7" t="s">
        <v>202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260.12</v>
      </c>
    </row>
    <row r="124" spans="2:11" s="4" customFormat="1" ht="15.95" hidden="1" customHeight="1" x14ac:dyDescent="0.25">
      <c r="B124" s="29" t="s">
        <v>249</v>
      </c>
      <c r="C124" s="7" t="s">
        <v>120</v>
      </c>
      <c r="D124" s="7"/>
      <c r="E124" s="8">
        <f t="shared" si="6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166</v>
      </c>
      <c r="K124" s="30">
        <v>210</v>
      </c>
    </row>
    <row r="125" spans="2:11" s="4" customFormat="1" ht="15.95" hidden="1" customHeight="1" x14ac:dyDescent="0.25">
      <c r="C125" s="7" t="s">
        <v>125</v>
      </c>
      <c r="D125" s="7"/>
      <c r="E125" s="8">
        <f t="shared" si="6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166</v>
      </c>
      <c r="K125" s="30">
        <v>223.81</v>
      </c>
    </row>
    <row r="126" spans="2:11" s="4" customFormat="1" ht="15.95" hidden="1" customHeight="1" x14ac:dyDescent="0.25">
      <c r="C126" s="7" t="s">
        <v>126</v>
      </c>
      <c r="D126" s="7"/>
      <c r="E126" s="8">
        <f t="shared" si="6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166</v>
      </c>
      <c r="K126" s="30">
        <v>65</v>
      </c>
    </row>
    <row r="127" spans="2:11" s="4" customFormat="1" ht="15.95" hidden="1" customHeight="1" x14ac:dyDescent="0.25">
      <c r="C127" s="7" t="s">
        <v>127</v>
      </c>
      <c r="D127" s="7"/>
      <c r="E127" s="8">
        <f t="shared" si="6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166</v>
      </c>
      <c r="K127" s="30">
        <v>35</v>
      </c>
    </row>
    <row r="128" spans="2:11" s="4" customFormat="1" ht="15.95" hidden="1" customHeight="1" x14ac:dyDescent="0.25">
      <c r="B128" s="29" t="s">
        <v>249</v>
      </c>
      <c r="C128" s="7" t="s">
        <v>55</v>
      </c>
      <c r="D128" s="7"/>
      <c r="E128" s="8">
        <f t="shared" si="6"/>
        <v>0</v>
      </c>
      <c r="F128" s="8"/>
      <c r="G128" s="8"/>
      <c r="H128" s="8"/>
      <c r="I128" s="8">
        <v>0</v>
      </c>
      <c r="J128" s="10" t="s">
        <v>166</v>
      </c>
      <c r="K128" s="30">
        <v>12</v>
      </c>
    </row>
    <row r="129" spans="1:11" s="4" customFormat="1" ht="15.95" hidden="1" customHeight="1" x14ac:dyDescent="0.25">
      <c r="C129" s="7" t="s">
        <v>130</v>
      </c>
      <c r="D129" s="7"/>
      <c r="E129" s="8">
        <f t="shared" si="6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111</v>
      </c>
      <c r="K129" s="30">
        <v>21.9</v>
      </c>
    </row>
    <row r="130" spans="1:11" s="4" customFormat="1" ht="15.95" hidden="1" customHeight="1" x14ac:dyDescent="0.25">
      <c r="C130" s="7" t="s">
        <v>203</v>
      </c>
      <c r="D130" s="7"/>
      <c r="E130" s="8">
        <f t="shared" si="6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166</v>
      </c>
      <c r="K130" s="30">
        <v>177.98</v>
      </c>
    </row>
    <row r="131" spans="1:11" s="4" customFormat="1" ht="15.95" hidden="1" customHeight="1" x14ac:dyDescent="0.25">
      <c r="C131" s="7" t="s">
        <v>178</v>
      </c>
      <c r="D131" s="7"/>
      <c r="E131" s="8">
        <f t="shared" si="6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166</v>
      </c>
      <c r="K131" s="30">
        <v>383.33</v>
      </c>
    </row>
    <row r="132" spans="1:11" s="4" customFormat="1" ht="15.95" customHeight="1" x14ac:dyDescent="0.25">
      <c r="A132" s="21" t="s">
        <v>143</v>
      </c>
      <c r="B132" s="4" t="s">
        <v>279</v>
      </c>
      <c r="C132" s="26" t="s">
        <v>204</v>
      </c>
      <c r="D132" s="27">
        <f>SUM(E133:E142)</f>
        <v>35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249</v>
      </c>
      <c r="C133" s="7" t="s">
        <v>49</v>
      </c>
      <c r="D133" s="7"/>
      <c r="E133" s="8">
        <f t="shared" ref="E133:E142" si="8">I133*K133</f>
        <v>35</v>
      </c>
      <c r="F133" s="12"/>
      <c r="G133" s="12"/>
      <c r="H133" s="12"/>
      <c r="I133" s="8">
        <v>1</v>
      </c>
      <c r="J133" s="10" t="s">
        <v>166</v>
      </c>
      <c r="K133" s="30">
        <v>35</v>
      </c>
    </row>
    <row r="134" spans="1:11" s="4" customFormat="1" ht="15.95" hidden="1" customHeight="1" x14ac:dyDescent="0.25">
      <c r="B134" s="29" t="s">
        <v>249</v>
      </c>
      <c r="C134" s="7" t="s">
        <v>50</v>
      </c>
      <c r="D134" s="7"/>
      <c r="E134" s="8">
        <f t="shared" si="8"/>
        <v>0</v>
      </c>
      <c r="F134" s="8"/>
      <c r="G134" s="8"/>
      <c r="H134" s="8"/>
      <c r="I134" s="8">
        <v>0</v>
      </c>
      <c r="J134" s="10" t="s">
        <v>166</v>
      </c>
      <c r="K134" s="30">
        <v>50</v>
      </c>
    </row>
    <row r="135" spans="1:11" s="4" customFormat="1" ht="15.95" hidden="1" customHeight="1" x14ac:dyDescent="0.25">
      <c r="B135" s="29" t="s">
        <v>249</v>
      </c>
      <c r="C135" s="7" t="s">
        <v>270</v>
      </c>
      <c r="D135" s="7"/>
      <c r="E135" s="8">
        <f t="shared" si="8"/>
        <v>0</v>
      </c>
      <c r="F135" s="8">
        <v>1</v>
      </c>
      <c r="G135" s="8">
        <v>0</v>
      </c>
      <c r="H135" s="8">
        <v>2</v>
      </c>
      <c r="I135" s="8">
        <v>0</v>
      </c>
      <c r="J135" s="10" t="s">
        <v>166</v>
      </c>
      <c r="K135" s="30">
        <v>119.05</v>
      </c>
    </row>
    <row r="136" spans="1:11" s="4" customFormat="1" ht="15.95" hidden="1" customHeight="1" x14ac:dyDescent="0.25">
      <c r="C136" s="7" t="s">
        <v>122</v>
      </c>
      <c r="D136" s="7"/>
      <c r="E136" s="8">
        <f t="shared" si="8"/>
        <v>0</v>
      </c>
      <c r="F136" s="8">
        <v>1</v>
      </c>
      <c r="G136" s="8">
        <v>1</v>
      </c>
      <c r="H136" s="8"/>
      <c r="I136" s="8">
        <v>0</v>
      </c>
      <c r="J136" s="10" t="s">
        <v>111</v>
      </c>
      <c r="K136" s="30">
        <v>28.57</v>
      </c>
    </row>
    <row r="137" spans="1:11" s="4" customFormat="1" ht="15.95" hidden="1" customHeight="1" x14ac:dyDescent="0.25">
      <c r="C137" s="7" t="s">
        <v>74</v>
      </c>
      <c r="D137" s="7"/>
      <c r="E137" s="8">
        <f t="shared" si="8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166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8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166</v>
      </c>
      <c r="K138" s="30">
        <v>136.9</v>
      </c>
    </row>
    <row r="139" spans="1:11" s="4" customFormat="1" ht="15.95" hidden="1" customHeight="1" x14ac:dyDescent="0.25">
      <c r="C139" s="7" t="s">
        <v>171</v>
      </c>
      <c r="D139" s="7"/>
      <c r="E139" s="8">
        <f t="shared" si="8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111</v>
      </c>
      <c r="K139" s="30">
        <v>22.62</v>
      </c>
    </row>
    <row r="140" spans="1:11" s="4" customFormat="1" ht="15.95" hidden="1" customHeight="1" x14ac:dyDescent="0.25">
      <c r="C140" s="7" t="s">
        <v>162</v>
      </c>
      <c r="D140" s="7"/>
      <c r="E140" s="8">
        <f t="shared" si="8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111</v>
      </c>
      <c r="K140" s="30">
        <v>83.33</v>
      </c>
    </row>
    <row r="141" spans="1:11" s="4" customFormat="1" ht="15.95" hidden="1" customHeight="1" x14ac:dyDescent="0.25">
      <c r="C141" s="7" t="s">
        <v>163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32.14</v>
      </c>
    </row>
    <row r="142" spans="1:11" s="4" customFormat="1" ht="15.95" hidden="1" customHeight="1" x14ac:dyDescent="0.25">
      <c r="C142" s="7" t="s">
        <v>164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38.1</v>
      </c>
    </row>
    <row r="143" spans="1:11" s="4" customFormat="1" ht="15.95" customHeight="1" x14ac:dyDescent="0.25">
      <c r="A143" s="21" t="s">
        <v>142</v>
      </c>
      <c r="B143" s="4" t="s">
        <v>280</v>
      </c>
      <c r="C143" s="26" t="s">
        <v>205</v>
      </c>
      <c r="D143" s="27">
        <f>SUM(E144:E150)</f>
        <v>45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267</v>
      </c>
      <c r="D144" s="7"/>
      <c r="E144" s="8">
        <f t="shared" ref="E144:E150" si="9">I144*K144</f>
        <v>0</v>
      </c>
      <c r="F144" s="8">
        <v>2</v>
      </c>
      <c r="G144" s="8">
        <v>0.2</v>
      </c>
      <c r="H144" s="8">
        <v>0.2</v>
      </c>
      <c r="I144" s="8">
        <v>0</v>
      </c>
      <c r="J144" s="10" t="s">
        <v>166</v>
      </c>
      <c r="K144" s="30">
        <v>109.52</v>
      </c>
    </row>
    <row r="145" spans="2:11" s="4" customFormat="1" ht="15.95" hidden="1" customHeight="1" x14ac:dyDescent="0.25">
      <c r="C145" s="7" t="s">
        <v>86</v>
      </c>
      <c r="D145" s="7"/>
      <c r="E145" s="8">
        <f t="shared" si="9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166</v>
      </c>
      <c r="K145" s="30">
        <v>219.05</v>
      </c>
    </row>
    <row r="146" spans="2:11" s="4" customFormat="1" ht="15.95" hidden="1" customHeight="1" x14ac:dyDescent="0.25">
      <c r="C146" s="7" t="s">
        <v>180</v>
      </c>
      <c r="D146" s="7"/>
      <c r="E146" s="8">
        <f t="shared" si="9"/>
        <v>0</v>
      </c>
      <c r="F146" s="8">
        <v>0</v>
      </c>
      <c r="G146" s="8">
        <v>0</v>
      </c>
      <c r="H146" s="8">
        <v>0</v>
      </c>
      <c r="I146" s="8">
        <v>0</v>
      </c>
      <c r="J146" s="10" t="s">
        <v>166</v>
      </c>
      <c r="K146" s="30">
        <v>3</v>
      </c>
    </row>
    <row r="147" spans="2:11" s="4" customFormat="1" ht="15.95" hidden="1" customHeight="1" x14ac:dyDescent="0.25">
      <c r="C147" s="7" t="s">
        <v>53</v>
      </c>
      <c r="D147" s="7"/>
      <c r="E147" s="8">
        <f t="shared" si="9"/>
        <v>25</v>
      </c>
      <c r="F147" s="8">
        <v>0</v>
      </c>
      <c r="G147" s="8">
        <v>0</v>
      </c>
      <c r="H147" s="8">
        <v>0</v>
      </c>
      <c r="I147" s="8">
        <v>1</v>
      </c>
      <c r="J147" s="10" t="s">
        <v>166</v>
      </c>
      <c r="K147" s="30">
        <v>25</v>
      </c>
    </row>
    <row r="148" spans="2:11" s="4" customFormat="1" ht="15.95" hidden="1" customHeight="1" x14ac:dyDescent="0.25">
      <c r="B148" s="29" t="s">
        <v>249</v>
      </c>
      <c r="C148" s="7" t="s">
        <v>72</v>
      </c>
      <c r="D148" s="7"/>
      <c r="E148" s="8">
        <f t="shared" si="9"/>
        <v>0</v>
      </c>
      <c r="F148" s="8">
        <v>0.5</v>
      </c>
      <c r="G148" s="8">
        <v>0.5</v>
      </c>
      <c r="H148" s="8"/>
      <c r="I148" s="8">
        <v>0</v>
      </c>
      <c r="J148" s="10" t="s">
        <v>111</v>
      </c>
      <c r="K148" s="30">
        <v>25</v>
      </c>
    </row>
    <row r="149" spans="2:11" s="4" customFormat="1" ht="15.95" hidden="1" customHeight="1" x14ac:dyDescent="0.25">
      <c r="C149" s="7" t="s">
        <v>91</v>
      </c>
      <c r="D149" s="7"/>
      <c r="E149" s="8">
        <f t="shared" si="9"/>
        <v>0</v>
      </c>
      <c r="F149" s="8"/>
      <c r="G149" s="8"/>
      <c r="H149" s="8"/>
      <c r="I149" s="8">
        <v>0</v>
      </c>
      <c r="J149" s="10" t="s">
        <v>166</v>
      </c>
      <c r="K149" s="30">
        <v>25</v>
      </c>
    </row>
    <row r="150" spans="2:11" s="4" customFormat="1" ht="15.95" hidden="1" customHeight="1" x14ac:dyDescent="0.25">
      <c r="C150" s="7" t="s">
        <v>248</v>
      </c>
      <c r="D150" s="7"/>
      <c r="E150" s="8">
        <f t="shared" si="9"/>
        <v>20</v>
      </c>
      <c r="F150" s="8"/>
      <c r="G150" s="8"/>
      <c r="H150" s="8"/>
      <c r="I150" s="8">
        <v>1</v>
      </c>
      <c r="J150" s="10" t="s">
        <v>166</v>
      </c>
      <c r="K150" s="30">
        <v>20</v>
      </c>
    </row>
    <row r="151" spans="2:11" s="4" customFormat="1" ht="15.95" customHeight="1" x14ac:dyDescent="0.25">
      <c r="C151" s="26" t="s">
        <v>132</v>
      </c>
      <c r="D151" s="27">
        <f>SUM(E152:E164)</f>
        <v>831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249</v>
      </c>
      <c r="C152" s="7" t="s">
        <v>19</v>
      </c>
      <c r="D152" s="7"/>
      <c r="E152" s="8">
        <f t="shared" ref="E152:E164" si="10">I152*K152</f>
        <v>47.6</v>
      </c>
      <c r="F152" s="8"/>
      <c r="G152" s="8"/>
      <c r="H152" s="8"/>
      <c r="I152" s="8">
        <v>4</v>
      </c>
      <c r="J152" s="10" t="s">
        <v>166</v>
      </c>
      <c r="K152" s="30">
        <v>11.9</v>
      </c>
    </row>
    <row r="153" spans="2:11" s="4" customFormat="1" ht="15.95" hidden="1" customHeight="1" x14ac:dyDescent="0.25">
      <c r="B153" s="29" t="s">
        <v>249</v>
      </c>
      <c r="C153" s="7" t="s">
        <v>62</v>
      </c>
      <c r="D153" s="7"/>
      <c r="E153" s="8">
        <f t="shared" si="10"/>
        <v>0</v>
      </c>
      <c r="F153" s="8"/>
      <c r="G153" s="8"/>
      <c r="H153" s="8"/>
      <c r="I153" s="8">
        <v>0</v>
      </c>
      <c r="J153" s="10" t="s">
        <v>166</v>
      </c>
      <c r="K153" s="30">
        <v>50</v>
      </c>
    </row>
    <row r="154" spans="2:11" s="4" customFormat="1" ht="15.95" hidden="1" customHeight="1" x14ac:dyDescent="0.25">
      <c r="B154" s="29" t="s">
        <v>249</v>
      </c>
      <c r="C154" s="7" t="s">
        <v>63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166</v>
      </c>
      <c r="K154" s="30">
        <v>65</v>
      </c>
    </row>
    <row r="155" spans="2:11" s="4" customFormat="1" ht="15.95" hidden="1" customHeight="1" x14ac:dyDescent="0.25">
      <c r="C155" s="7" t="s">
        <v>82</v>
      </c>
      <c r="D155" s="7"/>
      <c r="E155" s="8">
        <f t="shared" si="10"/>
        <v>285.71999999999997</v>
      </c>
      <c r="F155" s="8"/>
      <c r="G155" s="8"/>
      <c r="H155" s="8"/>
      <c r="I155" s="8">
        <v>12</v>
      </c>
      <c r="J155" s="10" t="s">
        <v>166</v>
      </c>
      <c r="K155" s="30">
        <v>23.81</v>
      </c>
    </row>
    <row r="156" spans="2:11" s="4" customFormat="1" ht="15.95" hidden="1" customHeight="1" x14ac:dyDescent="0.25">
      <c r="C156" s="7" t="s">
        <v>83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166</v>
      </c>
      <c r="K156" s="30">
        <v>14.29</v>
      </c>
    </row>
    <row r="157" spans="2:11" s="4" customFormat="1" ht="15.95" hidden="1" customHeight="1" x14ac:dyDescent="0.25">
      <c r="B157" s="29" t="s">
        <v>249</v>
      </c>
      <c r="C157" s="7" t="s">
        <v>64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166</v>
      </c>
      <c r="K157" s="30">
        <v>10</v>
      </c>
    </row>
    <row r="158" spans="2:11" s="4" customFormat="1" ht="15.95" hidden="1" customHeight="1" x14ac:dyDescent="0.25">
      <c r="B158" s="29" t="s">
        <v>249</v>
      </c>
      <c r="C158" s="7" t="s">
        <v>18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166</v>
      </c>
      <c r="K158" s="30">
        <v>10</v>
      </c>
    </row>
    <row r="159" spans="2:11" s="4" customFormat="1" ht="15.95" hidden="1" customHeight="1" x14ac:dyDescent="0.25">
      <c r="C159" s="7" t="s">
        <v>51</v>
      </c>
      <c r="D159" s="7"/>
      <c r="E159" s="8">
        <f t="shared" si="10"/>
        <v>50</v>
      </c>
      <c r="F159" s="12"/>
      <c r="G159" s="12"/>
      <c r="H159" s="12"/>
      <c r="I159" s="8">
        <v>10</v>
      </c>
      <c r="J159" s="10" t="s">
        <v>166</v>
      </c>
      <c r="K159" s="30">
        <v>5</v>
      </c>
    </row>
    <row r="160" spans="2:11" s="4" customFormat="1" ht="15.95" hidden="1" customHeight="1" x14ac:dyDescent="0.25">
      <c r="B160" s="29" t="s">
        <v>249</v>
      </c>
      <c r="C160" s="7" t="s">
        <v>17</v>
      </c>
      <c r="D160" s="7"/>
      <c r="E160" s="8">
        <f t="shared" si="10"/>
        <v>95.2</v>
      </c>
      <c r="F160" s="8"/>
      <c r="G160" s="8"/>
      <c r="H160" s="8"/>
      <c r="I160" s="8">
        <v>8</v>
      </c>
      <c r="J160" s="10" t="s">
        <v>166</v>
      </c>
      <c r="K160" s="30">
        <v>11.9</v>
      </c>
    </row>
    <row r="161" spans="3:11" s="4" customFormat="1" ht="15.95" hidden="1" customHeight="1" x14ac:dyDescent="0.25">
      <c r="C161" s="7" t="s">
        <v>56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166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166</v>
      </c>
      <c r="K162" s="30">
        <v>2.38</v>
      </c>
    </row>
    <row r="163" spans="3:11" ht="15.95" hidden="1" customHeight="1" x14ac:dyDescent="0.25">
      <c r="C163" s="7" t="s">
        <v>188</v>
      </c>
      <c r="D163" s="7"/>
      <c r="E163" s="8">
        <f t="shared" si="10"/>
        <v>162</v>
      </c>
      <c r="F163" s="8"/>
      <c r="G163" s="8"/>
      <c r="H163" s="8"/>
      <c r="I163" s="8">
        <v>40</v>
      </c>
      <c r="J163" s="10" t="s">
        <v>150</v>
      </c>
      <c r="K163" s="30">
        <v>4.05</v>
      </c>
    </row>
    <row r="164" spans="3:11" s="4" customFormat="1" ht="15.95" hidden="1" customHeight="1" x14ac:dyDescent="0.25">
      <c r="C164" s="7" t="s">
        <v>158</v>
      </c>
      <c r="D164" s="7"/>
      <c r="E164" s="8">
        <f t="shared" si="10"/>
        <v>190.48</v>
      </c>
      <c r="F164" s="8"/>
      <c r="G164" s="8"/>
      <c r="H164" s="8"/>
      <c r="I164" s="8">
        <v>1</v>
      </c>
      <c r="J164" s="10" t="s">
        <v>166</v>
      </c>
      <c r="K164" s="30">
        <v>190.48</v>
      </c>
    </row>
    <row r="165" spans="3:11" s="4" customFormat="1" ht="15.95" customHeight="1" x14ac:dyDescent="0.25">
      <c r="C165" s="26" t="s">
        <v>206</v>
      </c>
      <c r="D165" s="27">
        <f>SUM(E166:E207)</f>
        <v>465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1">I166*K166</f>
        <v>90</v>
      </c>
      <c r="F166" s="12"/>
      <c r="G166" s="12"/>
      <c r="H166" s="12"/>
      <c r="I166" s="8">
        <v>6</v>
      </c>
      <c r="J166" s="10" t="s">
        <v>166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1"/>
        <v>0</v>
      </c>
      <c r="F167" s="12"/>
      <c r="G167" s="12"/>
      <c r="H167" s="12"/>
      <c r="I167" s="8">
        <v>0</v>
      </c>
      <c r="J167" s="10" t="s">
        <v>166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1"/>
        <v>0</v>
      </c>
      <c r="F168" s="12"/>
      <c r="G168" s="12"/>
      <c r="H168" s="12"/>
      <c r="I168" s="8">
        <v>0</v>
      </c>
      <c r="J168" s="10" t="s">
        <v>166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1"/>
        <v>0</v>
      </c>
      <c r="F169" s="12"/>
      <c r="G169" s="12"/>
      <c r="H169" s="12"/>
      <c r="I169" s="8">
        <v>0</v>
      </c>
      <c r="J169" s="10" t="s">
        <v>166</v>
      </c>
      <c r="K169" s="30">
        <v>15</v>
      </c>
    </row>
    <row r="170" spans="3:11" s="4" customFormat="1" ht="15.95" hidden="1" customHeight="1" x14ac:dyDescent="0.25">
      <c r="C170" s="7" t="s">
        <v>81</v>
      </c>
      <c r="D170" s="7"/>
      <c r="E170" s="8">
        <f t="shared" si="11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3:11" s="4" customFormat="1" ht="15.95" hidden="1" customHeight="1" x14ac:dyDescent="0.25">
      <c r="C171" s="7" t="s">
        <v>179</v>
      </c>
      <c r="D171" s="7"/>
      <c r="E171" s="8">
        <f t="shared" si="11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166</v>
      </c>
      <c r="K171" s="30">
        <v>385</v>
      </c>
    </row>
    <row r="172" spans="3:11" s="4" customFormat="1" ht="15.95" hidden="1" customHeight="1" x14ac:dyDescent="0.25">
      <c r="C172" s="7" t="s">
        <v>80</v>
      </c>
      <c r="D172" s="7"/>
      <c r="E172" s="8">
        <f t="shared" si="11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166</v>
      </c>
      <c r="K172" s="30">
        <v>130</v>
      </c>
    </row>
    <row r="173" spans="3:11" s="4" customFormat="1" ht="15.95" hidden="1" customHeight="1" x14ac:dyDescent="0.25">
      <c r="C173" s="7" t="s">
        <v>79</v>
      </c>
      <c r="D173" s="7"/>
      <c r="E173" s="8">
        <f t="shared" si="11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1"/>
        <v>0</v>
      </c>
      <c r="F174" s="12"/>
      <c r="G174" s="12"/>
      <c r="H174" s="12"/>
      <c r="I174" s="8">
        <v>0</v>
      </c>
      <c r="J174" s="10" t="s">
        <v>166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1"/>
        <v>85</v>
      </c>
      <c r="F175" s="12"/>
      <c r="G175" s="12"/>
      <c r="H175" s="12"/>
      <c r="I175" s="8">
        <v>1</v>
      </c>
      <c r="J175" s="10" t="s">
        <v>166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1"/>
        <v>120</v>
      </c>
      <c r="F176" s="12"/>
      <c r="G176" s="12"/>
      <c r="H176" s="12"/>
      <c r="I176" s="8">
        <v>1</v>
      </c>
      <c r="J176" s="10" t="s">
        <v>166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166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1"/>
        <v>32</v>
      </c>
      <c r="F178" s="12"/>
      <c r="G178" s="12"/>
      <c r="H178" s="12"/>
      <c r="I178" s="8">
        <v>4</v>
      </c>
      <c r="J178" s="10" t="s">
        <v>166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1"/>
        <v>0</v>
      </c>
      <c r="F179" s="12"/>
      <c r="G179" s="12"/>
      <c r="H179" s="12"/>
      <c r="I179" s="8">
        <v>0</v>
      </c>
      <c r="J179" s="10" t="s">
        <v>166</v>
      </c>
      <c r="K179" s="30">
        <v>15</v>
      </c>
    </row>
    <row r="180" spans="3:11" s="4" customFormat="1" ht="15.95" hidden="1" customHeight="1" x14ac:dyDescent="0.25">
      <c r="C180" s="7" t="s">
        <v>190</v>
      </c>
      <c r="D180" s="7"/>
      <c r="E180" s="8">
        <f t="shared" si="11"/>
        <v>70</v>
      </c>
      <c r="F180" s="12"/>
      <c r="G180" s="12"/>
      <c r="H180" s="12"/>
      <c r="I180" s="8">
        <v>2</v>
      </c>
      <c r="J180" s="10" t="s">
        <v>166</v>
      </c>
      <c r="K180" s="30">
        <v>35</v>
      </c>
    </row>
    <row r="181" spans="3:11" s="4" customFormat="1" ht="15.95" hidden="1" customHeight="1" x14ac:dyDescent="0.25">
      <c r="C181" s="7" t="s">
        <v>61</v>
      </c>
      <c r="D181" s="7"/>
      <c r="E181" s="8">
        <f t="shared" si="11"/>
        <v>0</v>
      </c>
      <c r="F181" s="12"/>
      <c r="G181" s="12"/>
      <c r="H181" s="12"/>
      <c r="I181" s="8">
        <v>0</v>
      </c>
      <c r="J181" s="10" t="s">
        <v>166</v>
      </c>
      <c r="K181" s="30">
        <v>85</v>
      </c>
    </row>
    <row r="182" spans="3:11" s="4" customFormat="1" ht="15.95" hidden="1" customHeight="1" x14ac:dyDescent="0.25">
      <c r="C182" s="7" t="s">
        <v>58</v>
      </c>
      <c r="D182" s="7"/>
      <c r="E182" s="8">
        <f t="shared" si="11"/>
        <v>35</v>
      </c>
      <c r="F182" s="12"/>
      <c r="G182" s="12"/>
      <c r="H182" s="12"/>
      <c r="I182" s="8">
        <v>1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1"/>
        <v>0</v>
      </c>
      <c r="F183" s="12"/>
      <c r="G183" s="12"/>
      <c r="H183" s="12"/>
      <c r="I183" s="8">
        <v>0</v>
      </c>
      <c r="J183" s="10" t="s">
        <v>166</v>
      </c>
      <c r="K183" s="30">
        <v>25</v>
      </c>
    </row>
    <row r="184" spans="3:11" s="4" customFormat="1" ht="15.95" hidden="1" customHeight="1" x14ac:dyDescent="0.25">
      <c r="C184" s="7" t="s">
        <v>135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166</v>
      </c>
      <c r="K185" s="30">
        <v>12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1"/>
        <v>25</v>
      </c>
      <c r="F186" s="12"/>
      <c r="G186" s="12"/>
      <c r="H186" s="12"/>
      <c r="I186" s="8">
        <v>1</v>
      </c>
      <c r="J186" s="10" t="s">
        <v>166</v>
      </c>
      <c r="K186" s="30">
        <v>25</v>
      </c>
    </row>
    <row r="187" spans="3:11" s="4" customFormat="1" ht="15.95" hidden="1" customHeight="1" x14ac:dyDescent="0.25">
      <c r="C187" s="7" t="s">
        <v>54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166</v>
      </c>
      <c r="K187" s="30">
        <v>150</v>
      </c>
    </row>
    <row r="188" spans="3:11" s="4" customFormat="1" ht="15.95" hidden="1" customHeight="1" x14ac:dyDescent="0.25">
      <c r="C188" s="7" t="s">
        <v>207</v>
      </c>
      <c r="D188" s="7"/>
      <c r="E188" s="8">
        <f t="shared" si="11"/>
        <v>0</v>
      </c>
      <c r="F188" s="8"/>
      <c r="G188" s="8"/>
      <c r="H188" s="8"/>
      <c r="I188" s="8">
        <v>0</v>
      </c>
      <c r="J188" s="10" t="s">
        <v>166</v>
      </c>
      <c r="K188" s="30">
        <v>15</v>
      </c>
    </row>
    <row r="189" spans="3:11" s="4" customFormat="1" ht="15.95" hidden="1" customHeight="1" x14ac:dyDescent="0.25">
      <c r="C189" s="7" t="s">
        <v>159</v>
      </c>
      <c r="D189" s="7"/>
      <c r="E189" s="8">
        <f t="shared" si="11"/>
        <v>0</v>
      </c>
      <c r="F189" s="12"/>
      <c r="G189" s="12"/>
      <c r="H189" s="12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208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166</v>
      </c>
      <c r="K190" s="30">
        <v>600</v>
      </c>
    </row>
    <row r="191" spans="3:11" s="4" customFormat="1" ht="15.95" hidden="1" customHeight="1" x14ac:dyDescent="0.25">
      <c r="C191" s="7" t="s">
        <v>209</v>
      </c>
      <c r="D191" s="7"/>
      <c r="E191" s="8">
        <f t="shared" si="11"/>
        <v>0</v>
      </c>
      <c r="F191" s="8"/>
      <c r="G191" s="8"/>
      <c r="H191" s="8"/>
      <c r="I191" s="8">
        <v>0</v>
      </c>
      <c r="J191" s="10" t="s">
        <v>166</v>
      </c>
      <c r="K191" s="30">
        <v>85</v>
      </c>
    </row>
    <row r="192" spans="3:11" s="4" customFormat="1" ht="15.95" hidden="1" customHeight="1" x14ac:dyDescent="0.25">
      <c r="C192" s="7" t="s">
        <v>256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166</v>
      </c>
      <c r="K192" s="30">
        <v>210</v>
      </c>
    </row>
    <row r="193" spans="2:11" s="4" customFormat="1" ht="15.95" hidden="1" customHeight="1" x14ac:dyDescent="0.25">
      <c r="C193" s="7" t="s">
        <v>87</v>
      </c>
      <c r="D193" s="7"/>
      <c r="E193" s="8">
        <f t="shared" si="11"/>
        <v>8</v>
      </c>
      <c r="F193" s="8"/>
      <c r="G193" s="8"/>
      <c r="H193" s="8"/>
      <c r="I193" s="8">
        <v>1</v>
      </c>
      <c r="J193" s="10" t="s">
        <v>166</v>
      </c>
      <c r="K193" s="30">
        <v>8</v>
      </c>
    </row>
    <row r="194" spans="2:11" s="4" customFormat="1" ht="15.95" hidden="1" customHeight="1" x14ac:dyDescent="0.25">
      <c r="C194" s="7" t="s">
        <v>73</v>
      </c>
      <c r="D194" s="7"/>
      <c r="E194" s="8">
        <f t="shared" si="11"/>
        <v>0</v>
      </c>
      <c r="F194" s="8"/>
      <c r="G194" s="8"/>
      <c r="H194" s="8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84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B196" s="29" t="s">
        <v>249</v>
      </c>
      <c r="C196" s="7" t="s">
        <v>85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166</v>
      </c>
      <c r="K196" s="30">
        <v>25</v>
      </c>
    </row>
    <row r="197" spans="2:11" s="4" customFormat="1" ht="15.95" hidden="1" customHeight="1" x14ac:dyDescent="0.25">
      <c r="C197" s="7" t="s">
        <v>88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166</v>
      </c>
      <c r="K197" s="30">
        <v>85</v>
      </c>
    </row>
    <row r="198" spans="2:11" s="4" customFormat="1" ht="15.95" hidden="1" customHeight="1" x14ac:dyDescent="0.25">
      <c r="C198" s="7" t="s">
        <v>89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90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166</v>
      </c>
      <c r="K199" s="30">
        <v>5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166</v>
      </c>
      <c r="K200" s="30">
        <v>12</v>
      </c>
    </row>
    <row r="201" spans="2:11" s="4" customFormat="1" ht="15.95" hidden="1" customHeight="1" x14ac:dyDescent="0.25">
      <c r="C201" s="7" t="s">
        <v>93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94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166</v>
      </c>
      <c r="K202" s="30">
        <v>20</v>
      </c>
    </row>
    <row r="203" spans="2:11" s="4" customFormat="1" ht="15.95" hidden="1" customHeight="1" x14ac:dyDescent="0.25">
      <c r="C203" s="7" t="s">
        <v>121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166</v>
      </c>
      <c r="K203" s="30">
        <v>6</v>
      </c>
    </row>
    <row r="204" spans="2:11" s="4" customFormat="1" ht="15.95" hidden="1" customHeight="1" x14ac:dyDescent="0.25">
      <c r="C204" s="7" t="s">
        <v>123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166</v>
      </c>
      <c r="K204" s="30">
        <v>3</v>
      </c>
    </row>
    <row r="205" spans="2:11" s="4" customFormat="1" ht="15.95" hidden="1" customHeight="1" x14ac:dyDescent="0.25">
      <c r="C205" s="7" t="s">
        <v>124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166</v>
      </c>
      <c r="K205" s="30">
        <v>35</v>
      </c>
    </row>
    <row r="206" spans="2:11" s="4" customFormat="1" ht="15.95" hidden="1" customHeight="1" x14ac:dyDescent="0.25">
      <c r="C206" s="7" t="s">
        <v>247</v>
      </c>
      <c r="D206" s="7"/>
      <c r="E206" s="8">
        <f t="shared" si="11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1"/>
        <v>0</v>
      </c>
      <c r="F207" s="8"/>
      <c r="G207" s="8"/>
      <c r="H207" s="8"/>
      <c r="I207" s="8">
        <v>0</v>
      </c>
      <c r="J207" s="10" t="s">
        <v>166</v>
      </c>
      <c r="K207" s="30">
        <v>85</v>
      </c>
    </row>
    <row r="208" spans="2:11" s="4" customFormat="1" ht="15.95" customHeight="1" x14ac:dyDescent="0.25">
      <c r="C208" s="26" t="s">
        <v>183</v>
      </c>
      <c r="D208" s="27">
        <f>SUM(E209:E219)</f>
        <v>965.66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244</v>
      </c>
      <c r="D209" s="7"/>
      <c r="E209" s="8">
        <f t="shared" ref="E209:E219" si="12">I209*K209</f>
        <v>0</v>
      </c>
      <c r="F209" s="8">
        <v>1</v>
      </c>
      <c r="G209" s="8">
        <v>1</v>
      </c>
      <c r="H209" s="12"/>
      <c r="I209" s="8">
        <v>0</v>
      </c>
      <c r="J209" s="10" t="s">
        <v>111</v>
      </c>
      <c r="K209" s="30">
        <v>10.71</v>
      </c>
    </row>
    <row r="210" spans="3:11" s="4" customFormat="1" ht="15.95" hidden="1" customHeight="1" x14ac:dyDescent="0.25">
      <c r="C210" s="7" t="s">
        <v>243</v>
      </c>
      <c r="D210" s="7"/>
      <c r="E210" s="8">
        <f t="shared" si="12"/>
        <v>681.12</v>
      </c>
      <c r="F210" s="8">
        <v>1</v>
      </c>
      <c r="G210" s="8">
        <v>1</v>
      </c>
      <c r="H210" s="12"/>
      <c r="I210" s="8">
        <v>44</v>
      </c>
      <c r="J210" s="10" t="s">
        <v>111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2"/>
        <v>46.44</v>
      </c>
      <c r="F211" s="8">
        <v>1</v>
      </c>
      <c r="G211" s="8">
        <v>1</v>
      </c>
      <c r="H211" s="12"/>
      <c r="I211" s="8">
        <v>3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191</v>
      </c>
      <c r="D212" s="7"/>
      <c r="E212" s="8">
        <f t="shared" si="12"/>
        <v>0</v>
      </c>
      <c r="F212" s="8">
        <v>1</v>
      </c>
      <c r="G212" s="8">
        <v>1</v>
      </c>
      <c r="H212" s="12"/>
      <c r="I212" s="8">
        <v>0</v>
      </c>
      <c r="J212" s="10" t="s">
        <v>111</v>
      </c>
      <c r="K212" s="30">
        <v>13.1</v>
      </c>
    </row>
    <row r="213" spans="3:11" s="4" customFormat="1" ht="15.95" hidden="1" customHeight="1" x14ac:dyDescent="0.25">
      <c r="C213" s="7" t="s">
        <v>257</v>
      </c>
      <c r="D213" s="7"/>
      <c r="E213" s="8">
        <f t="shared" si="12"/>
        <v>0</v>
      </c>
      <c r="F213" s="8">
        <v>1</v>
      </c>
      <c r="G213" s="8">
        <v>1</v>
      </c>
      <c r="H213" s="12"/>
      <c r="I213" s="8">
        <v>0</v>
      </c>
      <c r="J213" s="10" t="s">
        <v>111</v>
      </c>
      <c r="K213" s="30">
        <v>95.24</v>
      </c>
    </row>
    <row r="214" spans="3:11" s="4" customFormat="1" ht="15.95" hidden="1" customHeight="1" x14ac:dyDescent="0.25">
      <c r="C214" s="7" t="s">
        <v>258</v>
      </c>
      <c r="D214" s="7"/>
      <c r="E214" s="8">
        <f t="shared" si="12"/>
        <v>238.1</v>
      </c>
      <c r="F214" s="8">
        <v>1</v>
      </c>
      <c r="G214" s="8">
        <v>1</v>
      </c>
      <c r="H214" s="12"/>
      <c r="I214" s="8">
        <v>5</v>
      </c>
      <c r="J214" s="10" t="s">
        <v>111</v>
      </c>
      <c r="K214" s="30">
        <v>47.62</v>
      </c>
    </row>
    <row r="215" spans="3:11" s="4" customFormat="1" ht="15.95" hidden="1" customHeight="1" x14ac:dyDescent="0.25">
      <c r="C215" s="7" t="s">
        <v>71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35.71</v>
      </c>
    </row>
    <row r="216" spans="3:11" s="4" customFormat="1" ht="15.95" hidden="1" customHeight="1" x14ac:dyDescent="0.25">
      <c r="C216" s="7" t="s">
        <v>122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28.57</v>
      </c>
    </row>
    <row r="217" spans="3:11" s="4" customFormat="1" ht="15.95" hidden="1" customHeight="1" x14ac:dyDescent="0.25">
      <c r="C217" s="7" t="s">
        <v>52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13.1</v>
      </c>
    </row>
    <row r="218" spans="3:11" s="4" customFormat="1" ht="15.95" hidden="1" customHeight="1" x14ac:dyDescent="0.25">
      <c r="C218" s="7" t="s">
        <v>245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10.71</v>
      </c>
    </row>
    <row r="220" spans="3:11" s="4" customFormat="1" ht="15.95" customHeight="1" x14ac:dyDescent="0.25">
      <c r="C220" s="26" t="s">
        <v>182</v>
      </c>
      <c r="D220" s="27">
        <f>SUM(E221:E259)</f>
        <v>860</v>
      </c>
      <c r="E220" s="51"/>
      <c r="F220" s="27"/>
      <c r="G220" s="27"/>
      <c r="H220" s="27"/>
      <c r="I220" s="27"/>
      <c r="J220" s="28"/>
      <c r="K220" s="47"/>
    </row>
    <row r="221" spans="3:11" s="4" customFormat="1" ht="15.95" hidden="1" customHeight="1" x14ac:dyDescent="0.25">
      <c r="C221" s="7" t="s">
        <v>21</v>
      </c>
      <c r="D221" s="7"/>
      <c r="E221" s="8">
        <f t="shared" ref="E221:E259" si="13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166</v>
      </c>
      <c r="K221" s="30">
        <v>320</v>
      </c>
    </row>
    <row r="222" spans="3:11" s="4" customFormat="1" ht="15.95" hidden="1" customHeight="1" x14ac:dyDescent="0.25">
      <c r="C222" s="7" t="s">
        <v>213</v>
      </c>
      <c r="D222" s="7"/>
      <c r="E222" s="8">
        <f t="shared" si="13"/>
        <v>0</v>
      </c>
      <c r="F222" s="8"/>
      <c r="G222" s="8"/>
      <c r="H222" s="8"/>
      <c r="I222" s="8">
        <v>0</v>
      </c>
      <c r="J222" s="10" t="s">
        <v>166</v>
      </c>
      <c r="K222" s="30">
        <v>210</v>
      </c>
    </row>
    <row r="223" spans="3:11" s="4" customFormat="1" ht="15.95" hidden="1" customHeight="1" x14ac:dyDescent="0.25">
      <c r="C223" s="7" t="s">
        <v>214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166</v>
      </c>
      <c r="K223" s="30">
        <v>180</v>
      </c>
    </row>
    <row r="224" spans="3:11" s="4" customFormat="1" ht="15.95" hidden="1" customHeight="1" x14ac:dyDescent="0.25">
      <c r="C224" s="7" t="s">
        <v>215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216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166</v>
      </c>
      <c r="K225" s="30">
        <v>110</v>
      </c>
    </row>
    <row r="226" spans="3:11" s="4" customFormat="1" ht="15.95" hidden="1" customHeight="1" x14ac:dyDescent="0.25">
      <c r="C226" s="7" t="s">
        <v>217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166</v>
      </c>
      <c r="K226" s="30">
        <v>310</v>
      </c>
    </row>
    <row r="227" spans="3:11" s="4" customFormat="1" ht="15.95" hidden="1" customHeight="1" x14ac:dyDescent="0.25">
      <c r="C227" s="7" t="s">
        <v>218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166</v>
      </c>
      <c r="K227" s="30">
        <v>160</v>
      </c>
    </row>
    <row r="228" spans="3:11" s="4" customFormat="1" ht="15.95" hidden="1" customHeight="1" x14ac:dyDescent="0.25">
      <c r="C228" s="7" t="s">
        <v>59</v>
      </c>
      <c r="D228" s="7"/>
      <c r="E228" s="8">
        <f t="shared" si="13"/>
        <v>0</v>
      </c>
      <c r="F228" s="12"/>
      <c r="G228" s="12"/>
      <c r="H228" s="12"/>
      <c r="I228" s="8">
        <v>0</v>
      </c>
      <c r="J228" s="10" t="s">
        <v>166</v>
      </c>
      <c r="K228" s="30">
        <v>10</v>
      </c>
    </row>
    <row r="229" spans="3:11" s="4" customFormat="1" ht="15.95" hidden="1" customHeight="1" x14ac:dyDescent="0.25">
      <c r="C229" s="7" t="s">
        <v>222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166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3"/>
        <v>0</v>
      </c>
      <c r="F230" s="8"/>
      <c r="G230" s="8"/>
      <c r="H230" s="8"/>
      <c r="I230" s="8">
        <v>0</v>
      </c>
      <c r="J230" s="10" t="s">
        <v>166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3"/>
        <v>400</v>
      </c>
      <c r="F231" s="8"/>
      <c r="G231" s="8"/>
      <c r="H231" s="8"/>
      <c r="I231" s="8">
        <v>2</v>
      </c>
      <c r="J231" s="10" t="s">
        <v>166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166</v>
      </c>
      <c r="K232" s="30">
        <v>220</v>
      </c>
    </row>
    <row r="233" spans="3:11" s="4" customFormat="1" ht="15.95" hidden="1" customHeight="1" x14ac:dyDescent="0.25">
      <c r="C233" s="7" t="s">
        <v>181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166</v>
      </c>
      <c r="K234" s="30">
        <v>250</v>
      </c>
    </row>
    <row r="235" spans="3:11" s="4" customFormat="1" ht="15.95" hidden="1" customHeight="1" x14ac:dyDescent="0.25">
      <c r="C235" s="7" t="s">
        <v>210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166</v>
      </c>
      <c r="K235" s="30">
        <v>390</v>
      </c>
    </row>
    <row r="236" spans="3:11" s="4" customFormat="1" ht="15.95" hidden="1" customHeight="1" x14ac:dyDescent="0.25">
      <c r="C236" s="7" t="s">
        <v>236</v>
      </c>
      <c r="D236" s="7"/>
      <c r="E236" s="8">
        <f t="shared" si="13"/>
        <v>460</v>
      </c>
      <c r="F236" s="8"/>
      <c r="G236" s="8"/>
      <c r="H236" s="8"/>
      <c r="I236" s="8">
        <v>1</v>
      </c>
      <c r="J236" s="10" t="s">
        <v>166</v>
      </c>
      <c r="K236" s="30">
        <v>460</v>
      </c>
    </row>
    <row r="237" spans="3:11" s="4" customFormat="1" ht="15.95" hidden="1" customHeight="1" x14ac:dyDescent="0.25">
      <c r="C237" s="7" t="s">
        <v>211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166</v>
      </c>
      <c r="K237" s="30">
        <v>850</v>
      </c>
    </row>
    <row r="238" spans="3:11" s="4" customFormat="1" ht="15.95" hidden="1" customHeight="1" x14ac:dyDescent="0.25">
      <c r="C238" s="7" t="s">
        <v>187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166</v>
      </c>
      <c r="K238" s="30">
        <v>1400</v>
      </c>
    </row>
    <row r="239" spans="3:11" s="4" customFormat="1" ht="15.95" hidden="1" customHeight="1" x14ac:dyDescent="0.25">
      <c r="C239" s="7" t="s">
        <v>238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166</v>
      </c>
      <c r="K239" s="30">
        <v>360</v>
      </c>
    </row>
    <row r="240" spans="3:11" s="4" customFormat="1" ht="15.95" hidden="1" customHeight="1" x14ac:dyDescent="0.25">
      <c r="C240" s="7" t="s">
        <v>241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166</v>
      </c>
      <c r="K240" s="30">
        <v>550</v>
      </c>
    </row>
    <row r="241" spans="3:11" s="4" customFormat="1" ht="15.95" hidden="1" customHeight="1" x14ac:dyDescent="0.25">
      <c r="C241" s="7" t="s">
        <v>242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166</v>
      </c>
      <c r="K241" s="30">
        <v>580</v>
      </c>
    </row>
    <row r="242" spans="3:11" s="4" customFormat="1" ht="15.95" hidden="1" customHeight="1" x14ac:dyDescent="0.25">
      <c r="C242" s="7" t="s">
        <v>234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166</v>
      </c>
      <c r="K242" s="30">
        <v>680</v>
      </c>
    </row>
    <row r="243" spans="3:11" s="4" customFormat="1" ht="15.95" hidden="1" customHeight="1" x14ac:dyDescent="0.25">
      <c r="C243" s="7" t="s">
        <v>239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166</v>
      </c>
      <c r="K243" s="30">
        <v>750</v>
      </c>
    </row>
    <row r="244" spans="3:11" s="4" customFormat="1" ht="15.95" hidden="1" customHeight="1" x14ac:dyDescent="0.25">
      <c r="C244" s="7" t="s">
        <v>235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166</v>
      </c>
      <c r="K244" s="30">
        <v>340</v>
      </c>
    </row>
    <row r="245" spans="3:11" s="4" customFormat="1" ht="15.95" hidden="1" customHeight="1" x14ac:dyDescent="0.25">
      <c r="C245" s="7" t="s">
        <v>240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166</v>
      </c>
      <c r="K245" s="30">
        <v>160</v>
      </c>
    </row>
    <row r="246" spans="3:11" s="4" customFormat="1" ht="15.95" hidden="1" customHeight="1" x14ac:dyDescent="0.25">
      <c r="C246" s="7" t="s">
        <v>237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166</v>
      </c>
      <c r="K246" s="30">
        <v>130</v>
      </c>
    </row>
    <row r="247" spans="3:11" s="4" customFormat="1" ht="15.95" hidden="1" customHeight="1" x14ac:dyDescent="0.25">
      <c r="C247" s="7" t="s">
        <v>227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223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166</v>
      </c>
      <c r="K248" s="30">
        <v>400</v>
      </c>
    </row>
    <row r="249" spans="3:11" s="4" customFormat="1" ht="15.95" hidden="1" customHeight="1" x14ac:dyDescent="0.25">
      <c r="C249" s="7" t="s">
        <v>225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166</v>
      </c>
      <c r="K249" s="30">
        <v>260</v>
      </c>
    </row>
    <row r="250" spans="3:11" s="4" customFormat="1" ht="15.95" hidden="1" customHeight="1" x14ac:dyDescent="0.25">
      <c r="C250" s="7" t="s">
        <v>231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166</v>
      </c>
      <c r="K250" s="30">
        <v>180</v>
      </c>
    </row>
    <row r="251" spans="3:11" s="4" customFormat="1" ht="15.95" hidden="1" customHeight="1" x14ac:dyDescent="0.25">
      <c r="C251" s="7" t="s">
        <v>232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166</v>
      </c>
      <c r="K251" s="30">
        <v>120</v>
      </c>
    </row>
    <row r="252" spans="3:11" s="4" customFormat="1" ht="15.95" hidden="1" customHeight="1" x14ac:dyDescent="0.25">
      <c r="C252" s="7" t="s">
        <v>233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166</v>
      </c>
      <c r="K252" s="30">
        <v>220</v>
      </c>
    </row>
    <row r="253" spans="3:11" s="4" customFormat="1" ht="15.95" hidden="1" customHeight="1" x14ac:dyDescent="0.25">
      <c r="C253" s="7" t="s">
        <v>226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166</v>
      </c>
      <c r="K253" s="30">
        <v>230</v>
      </c>
    </row>
    <row r="254" spans="3:11" s="4" customFormat="1" ht="15.95" hidden="1" customHeight="1" x14ac:dyDescent="0.25">
      <c r="C254" s="7" t="s">
        <v>228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229</v>
      </c>
      <c r="K254" s="30">
        <v>500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166</v>
      </c>
      <c r="K255" s="30">
        <v>180</v>
      </c>
    </row>
    <row r="256" spans="3:11" s="4" customFormat="1" ht="15.95" hidden="1" customHeight="1" x14ac:dyDescent="0.25">
      <c r="C256" s="7" t="s">
        <v>224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166</v>
      </c>
      <c r="K256" s="30">
        <v>260</v>
      </c>
    </row>
    <row r="257" spans="3:11" s="4" customFormat="1" ht="15.95" hidden="1" customHeight="1" x14ac:dyDescent="0.25">
      <c r="C257" s="7" t="s">
        <v>219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166</v>
      </c>
      <c r="K257" s="30">
        <v>6500</v>
      </c>
    </row>
    <row r="258" spans="3:11" s="4" customFormat="1" ht="15.95" hidden="1" customHeight="1" x14ac:dyDescent="0.25">
      <c r="C258" s="7" t="s">
        <v>221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166</v>
      </c>
      <c r="K258" s="30">
        <v>8800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166</v>
      </c>
      <c r="K259" s="30">
        <v>1050</v>
      </c>
    </row>
    <row r="260" spans="3:11" s="22" customFormat="1" ht="15.95" customHeight="1" x14ac:dyDescent="0.25">
      <c r="C260" s="32" t="s">
        <v>148</v>
      </c>
      <c r="D260" s="33">
        <f>SUM(E261)</f>
        <v>15000</v>
      </c>
      <c r="E260" s="34"/>
      <c r="F260" s="35"/>
      <c r="G260" s="35"/>
      <c r="H260" s="35"/>
      <c r="I260" s="35"/>
      <c r="J260" s="36"/>
      <c r="K260" s="49"/>
    </row>
    <row r="261" spans="3:11" s="22" customFormat="1" ht="15.95" hidden="1" customHeight="1" x14ac:dyDescent="0.25">
      <c r="C261" s="37"/>
      <c r="D261" s="38"/>
      <c r="E261" s="39">
        <f>K261*I261</f>
        <v>15000</v>
      </c>
      <c r="F261" s="24"/>
      <c r="G261" s="24"/>
      <c r="H261" s="24"/>
      <c r="I261" s="24">
        <v>1</v>
      </c>
      <c r="J261" s="25" t="s">
        <v>166</v>
      </c>
      <c r="K261" s="48">
        <v>15000</v>
      </c>
    </row>
    <row r="262" spans="3:11" s="22" customFormat="1" ht="15.95" customHeight="1" x14ac:dyDescent="0.25">
      <c r="C262" s="32" t="s">
        <v>146</v>
      </c>
      <c r="D262" s="33">
        <f>SUM(E263)</f>
        <v>5700</v>
      </c>
      <c r="E262" s="34"/>
      <c r="F262" s="40"/>
      <c r="G262" s="40"/>
      <c r="H262" s="40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I263*K263</f>
        <v>5700</v>
      </c>
      <c r="F263" s="41"/>
      <c r="G263" s="41"/>
      <c r="H263" s="41"/>
      <c r="I263" s="24">
        <v>2</v>
      </c>
      <c r="J263" s="25" t="s">
        <v>149</v>
      </c>
      <c r="K263" s="48">
        <v>2850</v>
      </c>
    </row>
    <row r="264" spans="3:11" s="22" customFormat="1" ht="15.95" customHeight="1" x14ac:dyDescent="0.25">
      <c r="C264" s="32" t="s">
        <v>147</v>
      </c>
      <c r="D264" s="33">
        <f>SUM(E265)</f>
        <v>5000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5000</v>
      </c>
      <c r="F265" s="41"/>
      <c r="G265" s="41"/>
      <c r="H265" s="41"/>
      <c r="I265" s="24">
        <v>2</v>
      </c>
      <c r="J265" s="25" t="s">
        <v>166</v>
      </c>
      <c r="K265" s="48">
        <v>2500</v>
      </c>
    </row>
    <row r="266" spans="3:11" s="22" customFormat="1" ht="15.95" customHeight="1" x14ac:dyDescent="0.25">
      <c r="C266" s="32" t="s">
        <v>212</v>
      </c>
      <c r="D266" s="33">
        <f>SUM(E267)</f>
        <v>1200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1200</v>
      </c>
      <c r="F267" s="41"/>
      <c r="G267" s="41"/>
      <c r="H267" s="41"/>
      <c r="I267" s="24">
        <v>1</v>
      </c>
      <c r="J267" s="25" t="s">
        <v>166</v>
      </c>
      <c r="K267" s="48">
        <v>1200</v>
      </c>
    </row>
    <row r="268" spans="3:11" s="22" customFormat="1" ht="15.95" customHeight="1" x14ac:dyDescent="0.25">
      <c r="C268" s="32" t="s">
        <v>263</v>
      </c>
      <c r="D268" s="33">
        <f>SUM(E269)</f>
        <v>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 t="s">
        <v>262</v>
      </c>
      <c r="D269" s="38"/>
      <c r="E269" s="39">
        <f>I269*K269</f>
        <v>0</v>
      </c>
      <c r="F269" s="41"/>
      <c r="G269" s="41"/>
      <c r="H269" s="41"/>
      <c r="I269" s="24">
        <v>0</v>
      </c>
      <c r="J269" s="25" t="s">
        <v>166</v>
      </c>
      <c r="K269" s="48">
        <v>0</v>
      </c>
    </row>
    <row r="270" spans="3:11" ht="15.95" customHeight="1" thickBot="1" x14ac:dyDescent="0.3">
      <c r="C270" s="18" t="s">
        <v>57</v>
      </c>
      <c r="D270" s="14">
        <f>SUM(D2:D269)</f>
        <v>34314.86</v>
      </c>
      <c r="E270" s="15"/>
      <c r="F270" s="53"/>
      <c r="G270" s="53"/>
      <c r="H270" s="53"/>
      <c r="I270" s="53"/>
      <c r="J270" s="53"/>
      <c r="K270" s="53"/>
    </row>
    <row r="271" spans="3:11" ht="15.95" customHeight="1" thickTop="1" x14ac:dyDescent="0.25"/>
  </sheetData>
  <autoFilter ref="C1:K270" xr:uid="{00000000-0009-0000-0000-000000000000}">
    <filterColumn colId="1">
      <customFilters>
        <customFilter operator="notEqual" val=" "/>
      </customFilters>
    </filterColumn>
  </autoFilter>
  <mergeCells count="1">
    <mergeCell ref="F270:K270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2025-10-13T11:27:11Z</dcterms:modified>
</cp:coreProperties>
</file>