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VIKING @ SMM 2026\Option-3\"/>
    </mc:Choice>
  </mc:AlternateContent>
  <xr:revisionPtr revIDLastSave="0" documentId="13_ncr:1_{9DB0BDC1-D6D6-4D7D-BC43-867E57E845C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Europe!$C$1:$K$277</definedName>
    <definedName name="_xlnm.Print_Area" localSheetId="0">Europe!$A$1:$H$277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63" i="1" l="1"/>
  <c r="E95" i="1"/>
  <c r="E117" i="1" l="1"/>
  <c r="E115" i="1"/>
  <c r="E114" i="1"/>
  <c r="E113" i="1"/>
  <c r="E112" i="1"/>
  <c r="E270" i="1" l="1"/>
  <c r="D269" i="1" s="1"/>
  <c r="E140" i="1" l="1"/>
  <c r="E276" i="1" l="1"/>
  <c r="D275" i="1" s="1"/>
  <c r="E80" i="1" l="1"/>
  <c r="E79" i="1"/>
  <c r="E89" i="1" l="1"/>
  <c r="E90" i="1"/>
  <c r="E91" i="1"/>
  <c r="E92" i="1"/>
  <c r="E93" i="1"/>
  <c r="E94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11" i="1"/>
  <c r="E116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8" i="1"/>
  <c r="E139" i="1"/>
  <c r="E141" i="1"/>
  <c r="E142" i="1"/>
  <c r="E143" i="1"/>
  <c r="E144" i="1"/>
  <c r="E145" i="1"/>
  <c r="E146" i="1"/>
  <c r="E149" i="1"/>
  <c r="E150" i="1"/>
  <c r="E151" i="1"/>
  <c r="E152" i="1"/>
  <c r="E153" i="1"/>
  <c r="E154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7" i="1"/>
  <c r="E196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4" i="1"/>
  <c r="E215" i="1"/>
  <c r="E216" i="1"/>
  <c r="E217" i="1"/>
  <c r="E218" i="1"/>
  <c r="E219" i="1"/>
  <c r="E220" i="1"/>
  <c r="E221" i="1"/>
  <c r="E222" i="1"/>
  <c r="E223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4" i="1"/>
  <c r="E274" i="1" l="1"/>
  <c r="D273" i="1" s="1"/>
  <c r="E272" i="1"/>
  <c r="D271" i="1" s="1"/>
  <c r="E268" i="1"/>
  <c r="D267" i="1" s="1"/>
  <c r="E266" i="1"/>
  <c r="D265" i="1" s="1"/>
  <c r="E14" i="1" l="1"/>
  <c r="E88" i="1" l="1"/>
  <c r="D87" i="1" s="1"/>
  <c r="E15" i="1" l="1"/>
  <c r="E83" i="1" l="1"/>
  <c r="E84" i="1"/>
  <c r="E85" i="1"/>
  <c r="E213" i="1" l="1"/>
  <c r="E137" i="1"/>
  <c r="E170" i="1"/>
  <c r="D169" i="1" s="1"/>
  <c r="D212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6" i="1" l="1"/>
  <c r="E148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10" i="1"/>
  <c r="E225" i="1"/>
  <c r="D224" i="1" s="1"/>
  <c r="D16" i="1" l="1"/>
  <c r="D155" i="1"/>
  <c r="D136" i="1"/>
  <c r="D147" i="1"/>
  <c r="D109" i="1"/>
  <c r="D277" i="1" l="1"/>
</calcChain>
</file>

<file path=xl/sharedStrings.xml><?xml version="1.0" encoding="utf-8"?>
<sst xmlns="http://schemas.openxmlformats.org/spreadsheetml/2006/main" count="596" uniqueCount="288">
  <si>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</si>
  <si>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</si>
  <si>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</si>
  <si>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</si>
  <si>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</si>
  <si>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</si>
  <si>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</si>
  <si>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</si>
  <si>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</si>
  <si>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</si>
  <si>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</si>
  <si>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</si>
  <si>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</si>
  <si>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</si>
  <si>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</si>
  <si>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</si>
  <si>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</si>
  <si>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</si>
  <si>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</si>
  <si>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</si>
  <si>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</si>
  <si>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</si>
  <si>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</si>
  <si>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</si>
  <si>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</si>
  <si>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</si>
  <si>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</si>
  <si>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</si>
  <si>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</si>
  <si>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</si>
  <si>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</si>
  <si>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</si>
  <si>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</si>
  <si>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</si>
  <si>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</si>
  <si>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</si>
  <si>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</si>
  <si>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</si>
  <si>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</si>
  <si>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</si>
  <si>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</si>
  <si>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</si>
  <si>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</si>
  <si>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</si>
  <si>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</si>
  <si>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</si>
  <si>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</si>
  <si>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</si>
  <si>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</si>
  <si>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</si>
  <si>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</si>
  <si>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</si>
  <si>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</si>
  <si>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</si>
  <si>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</si>
  <si>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</si>
  <si>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</si>
  <si>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</si>
  <si>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</si>
  <si>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</si>
  <si>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</si>
  <si>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</si>
  <si>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</si>
  <si>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</si>
  <si>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</si>
  <si>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</si>
  <si>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</si>
  <si>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</si>
  <si>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</si>
  <si>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</si>
  <si>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</si>
  <si>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</si>
  <si>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</si>
  <si>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</si>
  <si>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</si>
  <si>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</si>
  <si>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</si>
  <si>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</si>
  <si>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</si>
  <si>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</si>
  <si>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</si>
  <si>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</si>
  <si>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</si>
  <si>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</si>
  <si>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</si>
  <si>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</si>
  <si>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</si>
  <si>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</si>
  <si>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</si>
  <si>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</si>
  <si>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</si>
  <si>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</si>
  <si>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</si>
  <si>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</si>
  <si>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</si>
  <si>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</si>
  <si>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</si>
  <si>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</si>
  <si>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</si>
  <si>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</si>
  <si>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</si>
  <si>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</si>
  <si>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</si>
  <si>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</si>
  <si>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</si>
  <si>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</si>
  <si>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</si>
  <si>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</si>
  <si>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</si>
  <si>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</si>
  <si>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</si>
  <si>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</si>
  <si>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</si>
  <si>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</si>
  <si>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</si>
  <si>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</si>
  <si>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</si>
  <si>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</si>
  <si>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</si>
  <si>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</si>
  <si>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</si>
  <si>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</si>
  <si>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</si>
  <si>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</si>
  <si>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</si>
  <si>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</si>
  <si>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</si>
  <si>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</si>
  <si>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</si>
  <si>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</si>
  <si>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</si>
  <si>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</si>
  <si>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</si>
  <si>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</si>
  <si>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</si>
  <si>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</si>
  <si>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</si>
  <si>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</si>
  <si>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</si>
  <si>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</si>
  <si>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</si>
  <si>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</si>
  <si>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</si>
  <si>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</si>
  <si>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</si>
  <si>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</si>
  <si>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</si>
  <si>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</si>
  <si>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</si>
  <si>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</si>
  <si>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</si>
  <si>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</si>
  <si>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</si>
  <si>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</si>
  <si>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</si>
  <si>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</si>
  <si>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</si>
  <si>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</si>
  <si>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</si>
  <si>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</si>
  <si>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</si>
  <si>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</si>
  <si>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</si>
  <si>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</si>
  <si>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</si>
  <si>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</si>
  <si>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</si>
  <si>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</si>
  <si>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</si>
  <si>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</si>
  <si>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</si>
  <si>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</si>
  <si>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</si>
  <si>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</si>
  <si>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</si>
  <si>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</si>
  <si>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</si>
  <si>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</si>
  <si>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</si>
  <si>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</si>
  <si>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</si>
  <si>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</si>
  <si>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</si>
  <si>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</si>
  <si>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</si>
  <si>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</si>
  <si>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</si>
  <si>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</si>
  <si>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</si>
  <si>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</si>
  <si>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</si>
  <si>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</si>
  <si>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</si>
  <si>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</si>
  <si>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</si>
  <si>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</si>
  <si>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</si>
  <si>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</si>
  <si>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</si>
  <si>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</si>
  <si>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</si>
  <si>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</si>
  <si>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</si>
  <si>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</si>
  <si>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</si>
  <si>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</si>
  <si>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</si>
  <si>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</si>
  <si>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</si>
  <si>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</si>
  <si>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</si>
  <si>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</si>
  <si>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</si>
  <si>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</si>
  <si>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</si>
  <si>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</si>
  <si>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</si>
  <si>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</si>
  <si>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</si>
  <si>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</si>
  <si>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</si>
  <si>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</si>
  <si>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</si>
  <si>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</si>
  <si>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</si>
  <si>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</si>
  <si>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</si>
  <si>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</si>
  <si>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</si>
  <si>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</si>
  <si>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</si>
  <si>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</si>
  <si>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</si>
  <si>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</si>
  <si>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</si>
  <si>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</si>
  <si>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</si>
  <si>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</si>
  <si>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</si>
  <si>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</si>
  <si>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</si>
  <si>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</si>
  <si>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</si>
  <si>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</si>
  <si>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</si>
  <si>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</si>
  <si>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</si>
  <si>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</si>
  <si>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</si>
  <si>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</si>
  <si>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</si>
  <si>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</si>
  <si>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</si>
  <si>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</si>
  <si>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</si>
  <si>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</si>
  <si>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</si>
  <si>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</si>
  <si>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</si>
  <si>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</si>
  <si>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</si>
  <si>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</si>
  <si>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</si>
  <si>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</si>
  <si>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</si>
  <si>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</si>
  <si>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</si>
  <si>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</si>
  <si>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</si>
  <si>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</si>
  <si>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</si>
  <si>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</si>
  <si>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Emergency Transportation</t>
  </si>
  <si>
    <t>Bar Counter (Laminated)- 5.5 x 0.6 x 1.0</t>
  </si>
  <si>
    <t>Table (Laminated)- 1.5 x 0.6 x 1.0</t>
  </si>
  <si>
    <t>Podium (Laminated)- 1.0 x 0.6 x 1.0</t>
  </si>
  <si>
    <t>Podium (Laminated)- 0.5 x 0.5 x 1.0</t>
  </si>
  <si>
    <t>Cabinate (Laminated)- 1.0 x 0.5 x 1.0</t>
  </si>
  <si>
    <t>Backlit fabric hanging (2.5m x 2m x 2m H)</t>
  </si>
  <si>
    <t>Opt Nr:-  3</t>
  </si>
  <si>
    <t>Date:- 30-03-2026</t>
  </si>
  <si>
    <t>VIKING</t>
  </si>
  <si>
    <t>SMM 2026</t>
  </si>
  <si>
    <t>16M X 6.5M</t>
  </si>
  <si>
    <t>104 SQM</t>
  </si>
  <si>
    <t>5M</t>
  </si>
  <si>
    <t>01-04 SEP, 2026</t>
  </si>
  <si>
    <t>HAMBURG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</si>
</sst>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147</xdr:row>
      <xdr:rowOff>0</xdr:rowOff>
    </xdr:from>
    <xdr:to>
      <xdr:col>1</xdr:col>
      <xdr:colOff>1047750</xdr:colOff>
      <xdr:row>272</xdr:row>
      <xdr:rowOff>130709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980441-BDE7-44A8-A8D6-E51336E50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7309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8"/>
  <sheetViews>
    <sheetView tabSelected="1" zoomScaleNormal="100" zoomScaleSheetLayoutView="85" workbookViewId="0">
      <pane ySplit="1" topLeftCell="A2" activePane="bottomLeft" state="frozen"/>
      <selection pane="bottomLeft" activeCell="D281" sqref="D281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279</v>
      </c>
      <c r="B1" s="31" t="s">
        <v>280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281</v>
      </c>
      <c r="C2" s="26" t="s">
        <v>151</v>
      </c>
      <c r="D2" s="27">
        <f>SUM(E3:E11)</f>
        <v>3868.1800000000003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22.88</v>
      </c>
      <c r="F3" s="8"/>
      <c r="G3" s="8"/>
      <c r="H3" s="8"/>
      <c r="I3" s="9">
        <v>8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1443.29</v>
      </c>
      <c r="F5" s="8"/>
      <c r="G5" s="8"/>
      <c r="H5" s="8"/>
      <c r="I5" s="9">
        <v>101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2308.86</v>
      </c>
      <c r="F8" s="8"/>
      <c r="G8" s="8"/>
      <c r="H8" s="8"/>
      <c r="I8" s="9">
        <v>101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93.149999999999991</v>
      </c>
      <c r="F9" s="8"/>
      <c r="G9" s="8"/>
      <c r="H9" s="8"/>
      <c r="I9" s="9">
        <v>23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282</v>
      </c>
      <c r="C12" s="26" t="s">
        <v>194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287</v>
      </c>
      <c r="C16" s="26" t="s">
        <v>184</v>
      </c>
      <c r="D16" s="27">
        <f>SUM(E17:E86)</f>
        <v>5532.1549999999997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0</v>
      </c>
      <c r="F33" s="8">
        <v>1</v>
      </c>
      <c r="G33" s="8">
        <v>0.1</v>
      </c>
      <c r="H33" s="8">
        <v>4</v>
      </c>
      <c r="I33" s="9">
        <v>0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553.54999999999995</v>
      </c>
      <c r="F42" s="8">
        <v>1</v>
      </c>
      <c r="G42" s="8">
        <v>0.1</v>
      </c>
      <c r="H42" s="8">
        <v>5</v>
      </c>
      <c r="I42" s="9">
        <v>5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B52" s="29" t="s">
        <v>249</v>
      </c>
      <c r="C52" s="7" t="s">
        <v>39</v>
      </c>
      <c r="D52" s="7"/>
      <c r="E52" s="8">
        <f t="shared" si="2"/>
        <v>308.56</v>
      </c>
      <c r="F52" s="8">
        <v>1</v>
      </c>
      <c r="G52" s="8">
        <v>0.2</v>
      </c>
      <c r="H52" s="8">
        <v>2.5</v>
      </c>
      <c r="I52" s="9">
        <v>4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C55" s="7" t="s">
        <v>36</v>
      </c>
      <c r="D55" s="7"/>
      <c r="E55" s="8">
        <f t="shared" si="2"/>
        <v>0</v>
      </c>
      <c r="F55" s="8">
        <v>1</v>
      </c>
      <c r="G55" s="8">
        <v>0.2</v>
      </c>
      <c r="H55" s="8">
        <v>3</v>
      </c>
      <c r="I55" s="9">
        <v>0</v>
      </c>
      <c r="J55" s="10" t="s">
        <v>156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2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2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2:11" ht="15.95" hidden="1" customHeight="1" x14ac:dyDescent="0.25">
      <c r="C64" s="7" t="s">
        <v>31</v>
      </c>
      <c r="D64" s="7"/>
      <c r="E64" s="8">
        <f t="shared" si="2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B71" s="29" t="s">
        <v>249</v>
      </c>
      <c r="C71" s="7" t="s">
        <v>67</v>
      </c>
      <c r="D71" s="7"/>
      <c r="E71" s="8">
        <f t="shared" si="2"/>
        <v>2507.1750000000002</v>
      </c>
      <c r="F71" s="8">
        <v>1</v>
      </c>
      <c r="G71" s="8">
        <v>0.2</v>
      </c>
      <c r="H71" s="8">
        <v>5</v>
      </c>
      <c r="I71" s="9">
        <v>22.5</v>
      </c>
      <c r="J71" s="10" t="s">
        <v>156</v>
      </c>
      <c r="K71" s="30">
        <v>111.43</v>
      </c>
    </row>
    <row r="72" spans="1:11" ht="15.95" hidden="1" customHeight="1" x14ac:dyDescent="0.25">
      <c r="B72" s="29" t="s">
        <v>249</v>
      </c>
      <c r="C72" s="7" t="s">
        <v>68</v>
      </c>
      <c r="D72" s="7"/>
      <c r="E72" s="8">
        <f t="shared" si="2"/>
        <v>1888.1200000000001</v>
      </c>
      <c r="F72" s="8">
        <v>1</v>
      </c>
      <c r="G72" s="8">
        <v>0.2</v>
      </c>
      <c r="H72" s="8">
        <v>5</v>
      </c>
      <c r="I72" s="9">
        <v>13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274.75</v>
      </c>
      <c r="F79" s="24">
        <v>1</v>
      </c>
      <c r="G79" s="24"/>
      <c r="H79" s="24">
        <v>1</v>
      </c>
      <c r="I79" s="44">
        <v>35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286</v>
      </c>
      <c r="C87" s="26" t="s">
        <v>195</v>
      </c>
      <c r="D87" s="27">
        <f>SUM(E88:E108)</f>
        <v>1456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8" si="4">I88*K88</f>
        <v>200</v>
      </c>
      <c r="F88" s="24"/>
      <c r="G88" s="24"/>
      <c r="H88" s="24"/>
      <c r="I88" s="24">
        <v>8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40</v>
      </c>
      <c r="F89" s="24"/>
      <c r="G89" s="24"/>
      <c r="H89" s="24"/>
      <c r="I89" s="24">
        <v>4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16</v>
      </c>
      <c r="F90" s="24"/>
      <c r="G90" s="24"/>
      <c r="H90" s="24"/>
      <c r="I90" s="24">
        <v>8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22" customFormat="1" ht="15.95" hidden="1" customHeight="1" x14ac:dyDescent="0.25">
      <c r="C95" s="23" t="s">
        <v>278</v>
      </c>
      <c r="D95" s="23"/>
      <c r="E95" s="24">
        <f t="shared" si="4"/>
        <v>1200</v>
      </c>
      <c r="F95" s="24"/>
      <c r="G95" s="24"/>
      <c r="H95" s="24"/>
      <c r="I95" s="24">
        <v>1</v>
      </c>
      <c r="J95" s="25" t="s">
        <v>166</v>
      </c>
      <c r="K95" s="48">
        <v>1200</v>
      </c>
    </row>
    <row r="96" spans="1:11" s="4" customFormat="1" ht="15.95" hidden="1" customHeight="1" x14ac:dyDescent="0.25">
      <c r="B96" s="42"/>
      <c r="C96" s="7" t="s">
        <v>24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714.29</v>
      </c>
    </row>
    <row r="97" spans="1:11" s="4" customFormat="1" ht="15.95" hidden="1" customHeight="1" x14ac:dyDescent="0.25">
      <c r="B97" s="42"/>
      <c r="C97" s="7" t="s">
        <v>23</v>
      </c>
      <c r="D97" s="7"/>
      <c r="E97" s="24">
        <f t="shared" si="4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166</v>
      </c>
      <c r="K97" s="48">
        <v>1000</v>
      </c>
    </row>
    <row r="98" spans="1:11" s="4" customFormat="1" ht="15.95" hidden="1" customHeight="1" x14ac:dyDescent="0.25">
      <c r="B98" s="42"/>
      <c r="C98" s="7" t="s">
        <v>177</v>
      </c>
      <c r="D98" s="7"/>
      <c r="E98" s="24">
        <f t="shared" si="4"/>
        <v>0</v>
      </c>
      <c r="F98" s="8">
        <v>4</v>
      </c>
      <c r="G98" s="8">
        <v>1</v>
      </c>
      <c r="H98" s="8">
        <v>1</v>
      </c>
      <c r="I98" s="8">
        <v>0</v>
      </c>
      <c r="J98" s="10" t="s">
        <v>166</v>
      </c>
      <c r="K98" s="48">
        <v>250</v>
      </c>
    </row>
    <row r="99" spans="1:11" s="4" customFormat="1" ht="15.95" hidden="1" customHeight="1" x14ac:dyDescent="0.25">
      <c r="B99" s="42"/>
      <c r="C99" s="7" t="s">
        <v>22</v>
      </c>
      <c r="D99" s="7"/>
      <c r="E99" s="24">
        <f t="shared" si="4"/>
        <v>0</v>
      </c>
      <c r="F99" s="8">
        <v>6</v>
      </c>
      <c r="G99" s="8">
        <v>4</v>
      </c>
      <c r="H99" s="8">
        <v>1</v>
      </c>
      <c r="I99" s="8">
        <v>0</v>
      </c>
      <c r="J99" s="10" t="s">
        <v>166</v>
      </c>
      <c r="K99" s="48">
        <v>1166.67</v>
      </c>
    </row>
    <row r="100" spans="1:11" s="4" customFormat="1" ht="15.95" hidden="1" customHeight="1" x14ac:dyDescent="0.25">
      <c r="B100" s="42"/>
      <c r="C100" s="7" t="s">
        <v>133</v>
      </c>
      <c r="D100" s="7"/>
      <c r="E100" s="24">
        <f t="shared" si="4"/>
        <v>0</v>
      </c>
      <c r="F100" s="8">
        <v>1</v>
      </c>
      <c r="G100" s="8">
        <v>0.2</v>
      </c>
      <c r="H100" s="8">
        <v>1</v>
      </c>
      <c r="I100" s="8">
        <v>0</v>
      </c>
      <c r="J100" s="10" t="s">
        <v>166</v>
      </c>
      <c r="K100" s="48">
        <v>35.71</v>
      </c>
    </row>
    <row r="101" spans="1:11" s="4" customFormat="1" ht="15.95" hidden="1" customHeight="1" x14ac:dyDescent="0.25">
      <c r="B101" s="29" t="s">
        <v>249</v>
      </c>
      <c r="C101" s="7" t="s">
        <v>114</v>
      </c>
      <c r="D101" s="7"/>
      <c r="E101" s="24">
        <f t="shared" si="4"/>
        <v>0</v>
      </c>
      <c r="F101" s="8">
        <v>1</v>
      </c>
      <c r="G101" s="8">
        <v>0.1</v>
      </c>
      <c r="H101" s="8">
        <v>1</v>
      </c>
      <c r="I101" s="8">
        <v>0</v>
      </c>
      <c r="J101" s="10" t="s">
        <v>111</v>
      </c>
      <c r="K101" s="48">
        <v>23.33</v>
      </c>
    </row>
    <row r="102" spans="1:11" s="4" customFormat="1" ht="15.95" hidden="1" customHeight="1" x14ac:dyDescent="0.25">
      <c r="B102" s="29" t="s">
        <v>249</v>
      </c>
      <c r="C102" s="7" t="s">
        <v>116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12.86</v>
      </c>
    </row>
    <row r="103" spans="1:11" s="4" customFormat="1" ht="15.95" hidden="1" customHeight="1" x14ac:dyDescent="0.25">
      <c r="B103" s="29" t="s">
        <v>249</v>
      </c>
      <c r="C103" s="7" t="s">
        <v>117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11.9</v>
      </c>
    </row>
    <row r="104" spans="1:11" s="4" customFormat="1" ht="15.95" hidden="1" customHeight="1" x14ac:dyDescent="0.25">
      <c r="B104" s="29" t="s">
        <v>249</v>
      </c>
      <c r="C104" s="7" t="s">
        <v>118</v>
      </c>
      <c r="D104" s="7"/>
      <c r="E104" s="24">
        <f t="shared" si="4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166</v>
      </c>
      <c r="K104" s="48">
        <v>9.52</v>
      </c>
    </row>
    <row r="105" spans="1:11" s="4" customFormat="1" ht="15.95" hidden="1" customHeight="1" x14ac:dyDescent="0.25">
      <c r="C105" s="7" t="s">
        <v>252</v>
      </c>
      <c r="D105" s="7"/>
      <c r="E105" s="24">
        <f t="shared" si="4"/>
        <v>0</v>
      </c>
      <c r="F105" s="8">
        <v>1</v>
      </c>
      <c r="G105" s="8">
        <v>0</v>
      </c>
      <c r="H105" s="8">
        <v>1</v>
      </c>
      <c r="I105" s="8">
        <v>0</v>
      </c>
      <c r="J105" s="10" t="s">
        <v>111</v>
      </c>
      <c r="K105" s="48">
        <v>15.48</v>
      </c>
    </row>
    <row r="106" spans="1:11" s="4" customFormat="1" ht="15.95" hidden="1" customHeight="1" x14ac:dyDescent="0.25">
      <c r="C106" s="7" t="s">
        <v>115</v>
      </c>
      <c r="D106" s="7"/>
      <c r="E106" s="24">
        <f t="shared" si="4"/>
        <v>0</v>
      </c>
      <c r="F106" s="8">
        <v>1</v>
      </c>
      <c r="G106" s="8">
        <v>0.5</v>
      </c>
      <c r="H106" s="8">
        <v>1</v>
      </c>
      <c r="I106" s="8">
        <v>0</v>
      </c>
      <c r="J106" s="10" t="s">
        <v>111</v>
      </c>
      <c r="K106" s="48">
        <v>16.07</v>
      </c>
    </row>
    <row r="107" spans="1:11" s="4" customFormat="1" ht="15.95" hidden="1" customHeight="1" x14ac:dyDescent="0.25">
      <c r="C107" s="7" t="s">
        <v>119</v>
      </c>
      <c r="D107" s="7"/>
      <c r="E107" s="24">
        <f>I107*K107</f>
        <v>0</v>
      </c>
      <c r="F107" s="8">
        <v>1.5</v>
      </c>
      <c r="G107" s="8">
        <v>1.5</v>
      </c>
      <c r="H107" s="8">
        <v>1.5</v>
      </c>
      <c r="I107" s="8">
        <v>0</v>
      </c>
      <c r="J107" s="10" t="s">
        <v>166</v>
      </c>
      <c r="K107" s="48">
        <v>2142.86</v>
      </c>
    </row>
    <row r="108" spans="1:11" s="4" customFormat="1" ht="15.95" hidden="1" customHeight="1" x14ac:dyDescent="0.25">
      <c r="C108" s="7" t="s">
        <v>134</v>
      </c>
      <c r="D108" s="7"/>
      <c r="E108" s="24">
        <f t="shared" si="4"/>
        <v>0</v>
      </c>
      <c r="F108" s="8">
        <v>1</v>
      </c>
      <c r="G108" s="8">
        <v>0</v>
      </c>
      <c r="H108" s="8">
        <v>1</v>
      </c>
      <c r="I108" s="8">
        <v>0</v>
      </c>
      <c r="J108" s="10" t="s">
        <v>166</v>
      </c>
      <c r="K108" s="48">
        <v>11.9</v>
      </c>
    </row>
    <row r="109" spans="1:11" s="4" customFormat="1" ht="15.95" customHeight="1" x14ac:dyDescent="0.25">
      <c r="A109" s="21" t="s">
        <v>141</v>
      </c>
      <c r="B109" s="4" t="s">
        <v>283</v>
      </c>
      <c r="C109" s="26" t="s">
        <v>196</v>
      </c>
      <c r="D109" s="27">
        <f>SUM(E110:E135)</f>
        <v>1259.04</v>
      </c>
      <c r="E109" s="51"/>
      <c r="F109" s="27"/>
      <c r="G109" s="27"/>
      <c r="H109" s="27"/>
      <c r="I109" s="27"/>
      <c r="J109" s="28"/>
      <c r="K109" s="47"/>
    </row>
    <row r="110" spans="1:11" s="4" customFormat="1" ht="15.95" hidden="1" customHeight="1" x14ac:dyDescent="0.25">
      <c r="C110" s="7" t="s">
        <v>269</v>
      </c>
      <c r="D110" s="7"/>
      <c r="E110" s="8">
        <f t="shared" ref="E110:E135" si="5">I110*K110</f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262.86</v>
      </c>
    </row>
    <row r="111" spans="1:11" s="4" customFormat="1" ht="15.95" hidden="1" customHeight="1" x14ac:dyDescent="0.25">
      <c r="C111" s="7" t="s">
        <v>254</v>
      </c>
      <c r="D111" s="7"/>
      <c r="E111" s="8">
        <f t="shared" si="5"/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166</v>
      </c>
      <c r="K111" s="30">
        <v>564.6</v>
      </c>
    </row>
    <row r="112" spans="1:11" s="4" customFormat="1" ht="15.95" hidden="1" customHeight="1" x14ac:dyDescent="0.25">
      <c r="C112" s="7" t="s">
        <v>270</v>
      </c>
      <c r="D112" s="7"/>
      <c r="E112" s="8">
        <f t="shared" ref="E112:E115" si="6">I112*K112</f>
        <v>0</v>
      </c>
      <c r="F112" s="8">
        <v>2.5</v>
      </c>
      <c r="G112" s="8">
        <v>0.5</v>
      </c>
      <c r="H112" s="8">
        <v>1</v>
      </c>
      <c r="I112" s="8">
        <v>0</v>
      </c>
      <c r="J112" s="10" t="s">
        <v>166</v>
      </c>
      <c r="K112" s="30">
        <v>358.69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6"/>
        <v>520</v>
      </c>
      <c r="F113" s="8">
        <v>5.5</v>
      </c>
      <c r="G113" s="8">
        <v>0.6</v>
      </c>
      <c r="H113" s="8">
        <v>1</v>
      </c>
      <c r="I113" s="8">
        <v>1</v>
      </c>
      <c r="J113" s="10" t="s">
        <v>166</v>
      </c>
      <c r="K113" s="30">
        <v>520</v>
      </c>
    </row>
    <row r="114" spans="2:11" s="4" customFormat="1" ht="15.95" hidden="1" customHeight="1" x14ac:dyDescent="0.25">
      <c r="C114" s="7" t="s">
        <v>274</v>
      </c>
      <c r="D114" s="7"/>
      <c r="E114" s="8">
        <f t="shared" si="6"/>
        <v>309.52</v>
      </c>
      <c r="F114" s="8">
        <v>1.5</v>
      </c>
      <c r="G114" s="8">
        <v>0.6</v>
      </c>
      <c r="H114" s="8">
        <v>1</v>
      </c>
      <c r="I114" s="8">
        <v>2</v>
      </c>
      <c r="J114" s="10" t="s">
        <v>166</v>
      </c>
      <c r="K114" s="30">
        <v>154.76</v>
      </c>
    </row>
    <row r="115" spans="2:11" s="4" customFormat="1" ht="15.95" hidden="1" customHeight="1" x14ac:dyDescent="0.25">
      <c r="C115" s="7" t="s">
        <v>275</v>
      </c>
      <c r="D115" s="7"/>
      <c r="E115" s="8">
        <f t="shared" si="6"/>
        <v>154.76</v>
      </c>
      <c r="F115" s="8">
        <v>1</v>
      </c>
      <c r="G115" s="8">
        <v>0.6</v>
      </c>
      <c r="H115" s="8">
        <v>1</v>
      </c>
      <c r="I115" s="8">
        <v>1</v>
      </c>
      <c r="J115" s="10" t="s">
        <v>166</v>
      </c>
      <c r="K115" s="30">
        <v>154.76</v>
      </c>
    </row>
    <row r="116" spans="2:11" s="4" customFormat="1" ht="15.95" hidden="1" customHeight="1" x14ac:dyDescent="0.25">
      <c r="C116" s="7" t="s">
        <v>276</v>
      </c>
      <c r="D116" s="7"/>
      <c r="E116" s="8">
        <f t="shared" si="5"/>
        <v>120</v>
      </c>
      <c r="F116" s="8">
        <v>0.5</v>
      </c>
      <c r="G116" s="8">
        <v>0.5</v>
      </c>
      <c r="H116" s="8">
        <v>1</v>
      </c>
      <c r="I116" s="8">
        <v>1</v>
      </c>
      <c r="J116" s="10" t="s">
        <v>166</v>
      </c>
      <c r="K116" s="30">
        <v>120</v>
      </c>
    </row>
    <row r="117" spans="2:11" s="4" customFormat="1" ht="15.95" hidden="1" customHeight="1" x14ac:dyDescent="0.25">
      <c r="C117" s="7" t="s">
        <v>277</v>
      </c>
      <c r="D117" s="7"/>
      <c r="E117" s="8">
        <f t="shared" si="5"/>
        <v>154.76</v>
      </c>
      <c r="F117" s="8">
        <v>1</v>
      </c>
      <c r="G117" s="8">
        <v>0.5</v>
      </c>
      <c r="H117" s="8">
        <v>1</v>
      </c>
      <c r="I117" s="8">
        <v>1</v>
      </c>
      <c r="J117" s="10" t="s">
        <v>166</v>
      </c>
      <c r="K117" s="30">
        <v>154.76</v>
      </c>
    </row>
    <row r="118" spans="2:11" s="4" customFormat="1" ht="15.95" hidden="1" customHeight="1" x14ac:dyDescent="0.25">
      <c r="C118" s="7" t="s">
        <v>255</v>
      </c>
      <c r="D118" s="7"/>
      <c r="E118" s="8">
        <f t="shared" si="5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166</v>
      </c>
      <c r="K118" s="30">
        <v>302.29000000000002</v>
      </c>
    </row>
    <row r="119" spans="2:11" s="4" customFormat="1" ht="15.95" hidden="1" customHeight="1" x14ac:dyDescent="0.25">
      <c r="C119" s="7" t="s">
        <v>253</v>
      </c>
      <c r="D119" s="7"/>
      <c r="E119" s="8">
        <f t="shared" si="5"/>
        <v>0</v>
      </c>
      <c r="F119" s="8">
        <v>4.5</v>
      </c>
      <c r="G119" s="8">
        <v>1</v>
      </c>
      <c r="H119" s="8">
        <v>1</v>
      </c>
      <c r="I119" s="8">
        <v>0</v>
      </c>
      <c r="J119" s="10" t="s">
        <v>166</v>
      </c>
      <c r="K119" s="30">
        <v>604.02</v>
      </c>
    </row>
    <row r="120" spans="2:11" s="4" customFormat="1" ht="15.95" hidden="1" customHeight="1" x14ac:dyDescent="0.25">
      <c r="C120" s="7" t="s">
        <v>256</v>
      </c>
      <c r="D120" s="7"/>
      <c r="E120" s="8">
        <f t="shared" si="5"/>
        <v>0</v>
      </c>
      <c r="F120" s="8">
        <v>4.5</v>
      </c>
      <c r="G120" s="8">
        <v>1</v>
      </c>
      <c r="H120" s="8">
        <v>1</v>
      </c>
      <c r="I120" s="8">
        <v>0</v>
      </c>
      <c r="J120" s="10" t="s">
        <v>166</v>
      </c>
      <c r="K120" s="30">
        <v>423.86</v>
      </c>
    </row>
    <row r="121" spans="2:11" s="4" customFormat="1" ht="15.95" hidden="1" customHeight="1" x14ac:dyDescent="0.25">
      <c r="C121" s="7" t="s">
        <v>157</v>
      </c>
      <c r="D121" s="7"/>
      <c r="E121" s="8">
        <f t="shared" si="5"/>
        <v>0</v>
      </c>
      <c r="F121" s="8">
        <v>4</v>
      </c>
      <c r="G121" s="8">
        <v>0.5</v>
      </c>
      <c r="H121" s="8">
        <v>1</v>
      </c>
      <c r="I121" s="8">
        <v>0</v>
      </c>
      <c r="J121" s="10" t="s">
        <v>166</v>
      </c>
      <c r="K121" s="30">
        <v>595.24</v>
      </c>
    </row>
    <row r="122" spans="2:11" s="4" customFormat="1" ht="15.95" hidden="1" customHeight="1" x14ac:dyDescent="0.25">
      <c r="C122" s="7" t="s">
        <v>197</v>
      </c>
      <c r="D122" s="7"/>
      <c r="E122" s="8">
        <f t="shared" si="5"/>
        <v>0</v>
      </c>
      <c r="F122" s="8">
        <v>1.5</v>
      </c>
      <c r="G122" s="8">
        <v>0.4</v>
      </c>
      <c r="H122" s="8">
        <v>1</v>
      </c>
      <c r="I122" s="8">
        <v>0</v>
      </c>
      <c r="J122" s="10" t="s">
        <v>166</v>
      </c>
      <c r="K122" s="30">
        <v>161.9</v>
      </c>
    </row>
    <row r="123" spans="2:11" s="4" customFormat="1" ht="15.95" hidden="1" customHeight="1" x14ac:dyDescent="0.25">
      <c r="C123" s="7" t="s">
        <v>198</v>
      </c>
      <c r="D123" s="7"/>
      <c r="E123" s="8">
        <f t="shared" si="5"/>
        <v>0</v>
      </c>
      <c r="F123" s="8">
        <v>1</v>
      </c>
      <c r="G123" s="8">
        <v>0.5</v>
      </c>
      <c r="H123" s="8">
        <v>0.9</v>
      </c>
      <c r="I123" s="8">
        <v>0</v>
      </c>
      <c r="J123" s="10" t="s">
        <v>166</v>
      </c>
      <c r="K123" s="30">
        <v>190.48</v>
      </c>
    </row>
    <row r="124" spans="2:11" s="4" customFormat="1" ht="15.95" hidden="1" customHeight="1" x14ac:dyDescent="0.25">
      <c r="C124" s="7" t="s">
        <v>199</v>
      </c>
      <c r="D124" s="7"/>
      <c r="E124" s="8">
        <f t="shared" si="5"/>
        <v>0</v>
      </c>
      <c r="F124" s="8">
        <v>2.4</v>
      </c>
      <c r="G124" s="8">
        <v>0.4</v>
      </c>
      <c r="H124" s="8">
        <v>1</v>
      </c>
      <c r="I124" s="8">
        <v>0</v>
      </c>
      <c r="J124" s="10" t="s">
        <v>166</v>
      </c>
      <c r="K124" s="30">
        <v>216.67</v>
      </c>
    </row>
    <row r="125" spans="2:11" s="4" customFormat="1" ht="15.95" hidden="1" customHeight="1" x14ac:dyDescent="0.25">
      <c r="C125" s="7" t="s">
        <v>200</v>
      </c>
      <c r="D125" s="7"/>
      <c r="E125" s="8">
        <f t="shared" si="5"/>
        <v>0</v>
      </c>
      <c r="F125" s="8">
        <v>1.2</v>
      </c>
      <c r="G125" s="8">
        <v>0.4</v>
      </c>
      <c r="H125" s="8">
        <v>1</v>
      </c>
      <c r="I125" s="8">
        <v>0</v>
      </c>
      <c r="J125" s="10" t="s">
        <v>166</v>
      </c>
      <c r="K125" s="30">
        <v>154.76</v>
      </c>
    </row>
    <row r="126" spans="2:11" s="4" customFormat="1" ht="15.95" hidden="1" customHeight="1" x14ac:dyDescent="0.25">
      <c r="C126" s="7" t="s">
        <v>201</v>
      </c>
      <c r="D126" s="7"/>
      <c r="E126" s="8">
        <f t="shared" si="5"/>
        <v>0</v>
      </c>
      <c r="F126" s="8">
        <v>0.5</v>
      </c>
      <c r="G126" s="8">
        <v>0.5</v>
      </c>
      <c r="H126" s="8">
        <v>1</v>
      </c>
      <c r="I126" s="8">
        <v>0</v>
      </c>
      <c r="J126" s="10" t="s">
        <v>166</v>
      </c>
      <c r="K126" s="30">
        <v>177.98</v>
      </c>
    </row>
    <row r="127" spans="2:11" s="4" customFormat="1" ht="15.95" hidden="1" customHeight="1" x14ac:dyDescent="0.25">
      <c r="C127" s="7" t="s">
        <v>202</v>
      </c>
      <c r="D127" s="7"/>
      <c r="E127" s="8">
        <f t="shared" si="5"/>
        <v>0</v>
      </c>
      <c r="F127" s="8">
        <v>0.5</v>
      </c>
      <c r="G127" s="8">
        <v>0.5</v>
      </c>
      <c r="H127" s="8">
        <v>1</v>
      </c>
      <c r="I127" s="8">
        <v>0</v>
      </c>
      <c r="J127" s="10" t="s">
        <v>166</v>
      </c>
      <c r="K127" s="30">
        <v>260.12</v>
      </c>
    </row>
    <row r="128" spans="2:11" s="4" customFormat="1" ht="15.95" hidden="1" customHeight="1" x14ac:dyDescent="0.25">
      <c r="B128" s="29" t="s">
        <v>249</v>
      </c>
      <c r="C128" s="7" t="s">
        <v>120</v>
      </c>
      <c r="D128" s="7"/>
      <c r="E128" s="8">
        <f t="shared" si="5"/>
        <v>0</v>
      </c>
      <c r="F128" s="8">
        <v>0.5</v>
      </c>
      <c r="G128" s="8">
        <v>0.5</v>
      </c>
      <c r="H128" s="8">
        <v>2</v>
      </c>
      <c r="I128" s="8">
        <v>0</v>
      </c>
      <c r="J128" s="10" t="s">
        <v>166</v>
      </c>
      <c r="K128" s="30">
        <v>210</v>
      </c>
    </row>
    <row r="129" spans="1:11" s="4" customFormat="1" ht="15.95" hidden="1" customHeight="1" x14ac:dyDescent="0.25">
      <c r="C129" s="7" t="s">
        <v>125</v>
      </c>
      <c r="D129" s="7"/>
      <c r="E129" s="8">
        <f t="shared" si="5"/>
        <v>0</v>
      </c>
      <c r="F129" s="8">
        <v>2.1</v>
      </c>
      <c r="G129" s="8">
        <v>2</v>
      </c>
      <c r="H129" s="8">
        <v>0.9</v>
      </c>
      <c r="I129" s="8">
        <v>0</v>
      </c>
      <c r="J129" s="10" t="s">
        <v>166</v>
      </c>
      <c r="K129" s="30">
        <v>223.81</v>
      </c>
    </row>
    <row r="130" spans="1:11" s="4" customFormat="1" ht="15.95" hidden="1" customHeight="1" x14ac:dyDescent="0.25">
      <c r="C130" s="7" t="s">
        <v>126</v>
      </c>
      <c r="D130" s="7"/>
      <c r="E130" s="8">
        <f t="shared" si="5"/>
        <v>0</v>
      </c>
      <c r="F130" s="8">
        <v>0.45</v>
      </c>
      <c r="G130" s="8">
        <v>0.45</v>
      </c>
      <c r="H130" s="8">
        <v>0.5</v>
      </c>
      <c r="I130" s="8">
        <v>0</v>
      </c>
      <c r="J130" s="10" t="s">
        <v>166</v>
      </c>
      <c r="K130" s="30">
        <v>65</v>
      </c>
    </row>
    <row r="131" spans="1:11" s="4" customFormat="1" ht="15.95" hidden="1" customHeight="1" x14ac:dyDescent="0.25">
      <c r="C131" s="7" t="s">
        <v>127</v>
      </c>
      <c r="D131" s="7"/>
      <c r="E131" s="8">
        <f t="shared" si="5"/>
        <v>0</v>
      </c>
      <c r="F131" s="8">
        <v>1.1000000000000001</v>
      </c>
      <c r="G131" s="8">
        <v>0.35</v>
      </c>
      <c r="H131" s="8">
        <v>1.8</v>
      </c>
      <c r="I131" s="8">
        <v>0</v>
      </c>
      <c r="J131" s="10" t="s">
        <v>166</v>
      </c>
      <c r="K131" s="30">
        <v>35</v>
      </c>
    </row>
    <row r="132" spans="1:11" s="4" customFormat="1" ht="15.95" hidden="1" customHeight="1" x14ac:dyDescent="0.25">
      <c r="B132" s="29" t="s">
        <v>249</v>
      </c>
      <c r="C132" s="7" t="s">
        <v>55</v>
      </c>
      <c r="D132" s="7"/>
      <c r="E132" s="8">
        <f t="shared" si="5"/>
        <v>0</v>
      </c>
      <c r="F132" s="8"/>
      <c r="G132" s="8"/>
      <c r="H132" s="8"/>
      <c r="I132" s="8">
        <v>0</v>
      </c>
      <c r="J132" s="10" t="s">
        <v>166</v>
      </c>
      <c r="K132" s="30">
        <v>12</v>
      </c>
    </row>
    <row r="133" spans="1:11" s="4" customFormat="1" ht="15.95" hidden="1" customHeight="1" x14ac:dyDescent="0.25">
      <c r="C133" s="7" t="s">
        <v>130</v>
      </c>
      <c r="D133" s="7"/>
      <c r="E133" s="8">
        <f t="shared" si="5"/>
        <v>0</v>
      </c>
      <c r="F133" s="8">
        <v>1</v>
      </c>
      <c r="G133" s="8">
        <v>0.1</v>
      </c>
      <c r="H133" s="8">
        <v>1</v>
      </c>
      <c r="I133" s="8">
        <v>0</v>
      </c>
      <c r="J133" s="10" t="s">
        <v>111</v>
      </c>
      <c r="K133" s="30">
        <v>21.9</v>
      </c>
    </row>
    <row r="134" spans="1:11" s="4" customFormat="1" ht="15.95" hidden="1" customHeight="1" x14ac:dyDescent="0.25">
      <c r="C134" s="7" t="s">
        <v>203</v>
      </c>
      <c r="D134" s="7"/>
      <c r="E134" s="8">
        <f t="shared" si="5"/>
        <v>0</v>
      </c>
      <c r="F134" s="8">
        <v>0.5</v>
      </c>
      <c r="G134" s="8">
        <v>0.5</v>
      </c>
      <c r="H134" s="8">
        <v>0.5</v>
      </c>
      <c r="I134" s="8">
        <v>0</v>
      </c>
      <c r="J134" s="10" t="s">
        <v>166</v>
      </c>
      <c r="K134" s="30">
        <v>177.98</v>
      </c>
    </row>
    <row r="135" spans="1:11" s="4" customFormat="1" ht="15.95" hidden="1" customHeight="1" x14ac:dyDescent="0.25">
      <c r="C135" s="7" t="s">
        <v>178</v>
      </c>
      <c r="D135" s="7"/>
      <c r="E135" s="8">
        <f t="shared" si="5"/>
        <v>0</v>
      </c>
      <c r="F135" s="8">
        <v>0.84</v>
      </c>
      <c r="G135" s="8">
        <v>0.84</v>
      </c>
      <c r="H135" s="8">
        <v>2.1</v>
      </c>
      <c r="I135" s="8">
        <v>0</v>
      </c>
      <c r="J135" s="10" t="s">
        <v>166</v>
      </c>
      <c r="K135" s="30">
        <v>383.33</v>
      </c>
    </row>
    <row r="136" spans="1:11" s="4" customFormat="1" ht="15.95" customHeight="1" x14ac:dyDescent="0.25">
      <c r="A136" s="21" t="s">
        <v>143</v>
      </c>
      <c r="B136" s="4" t="s">
        <v>284</v>
      </c>
      <c r="C136" s="26" t="s">
        <v>204</v>
      </c>
      <c r="D136" s="27">
        <f>SUM(E137:E146)</f>
        <v>276.42</v>
      </c>
      <c r="E136" s="51"/>
      <c r="F136" s="27"/>
      <c r="G136" s="27"/>
      <c r="H136" s="27"/>
      <c r="I136" s="27"/>
      <c r="J136" s="28"/>
      <c r="K136" s="47"/>
    </row>
    <row r="137" spans="1:11" s="4" customFormat="1" ht="15.95" hidden="1" customHeight="1" x14ac:dyDescent="0.25">
      <c r="B137" s="29" t="s">
        <v>249</v>
      </c>
      <c r="C137" s="7" t="s">
        <v>49</v>
      </c>
      <c r="D137" s="7"/>
      <c r="E137" s="8">
        <f t="shared" ref="E137:E146" si="7">I137*K137</f>
        <v>105</v>
      </c>
      <c r="F137" s="12"/>
      <c r="G137" s="12"/>
      <c r="H137" s="12"/>
      <c r="I137" s="8">
        <v>3</v>
      </c>
      <c r="J137" s="10" t="s">
        <v>166</v>
      </c>
      <c r="K137" s="30">
        <v>35</v>
      </c>
    </row>
    <row r="138" spans="1:11" s="4" customFormat="1" ht="15.95" hidden="1" customHeight="1" x14ac:dyDescent="0.25">
      <c r="B138" s="29" t="s">
        <v>249</v>
      </c>
      <c r="C138" s="7" t="s">
        <v>50</v>
      </c>
      <c r="D138" s="7"/>
      <c r="E138" s="8">
        <f t="shared" si="7"/>
        <v>0</v>
      </c>
      <c r="F138" s="8"/>
      <c r="G138" s="8"/>
      <c r="H138" s="8"/>
      <c r="I138" s="8">
        <v>0</v>
      </c>
      <c r="J138" s="10" t="s">
        <v>166</v>
      </c>
      <c r="K138" s="30">
        <v>50</v>
      </c>
    </row>
    <row r="139" spans="1:11" s="4" customFormat="1" ht="15.95" hidden="1" customHeight="1" x14ac:dyDescent="0.25">
      <c r="B139" s="29" t="s">
        <v>249</v>
      </c>
      <c r="C139" s="7" t="s">
        <v>271</v>
      </c>
      <c r="D139" s="7"/>
      <c r="E139" s="8">
        <f t="shared" si="7"/>
        <v>0</v>
      </c>
      <c r="F139" s="8">
        <v>1</v>
      </c>
      <c r="G139" s="8">
        <v>0</v>
      </c>
      <c r="H139" s="8">
        <v>2</v>
      </c>
      <c r="I139" s="8">
        <v>0</v>
      </c>
      <c r="J139" s="10" t="s">
        <v>166</v>
      </c>
      <c r="K139" s="30">
        <v>119.05</v>
      </c>
    </row>
    <row r="140" spans="1:11" s="4" customFormat="1" ht="15.95" hidden="1" customHeight="1" x14ac:dyDescent="0.25">
      <c r="C140" s="7" t="s">
        <v>122</v>
      </c>
      <c r="D140" s="7"/>
      <c r="E140" s="8">
        <f t="shared" si="7"/>
        <v>171.42000000000002</v>
      </c>
      <c r="F140" s="8">
        <v>1</v>
      </c>
      <c r="G140" s="8">
        <v>1</v>
      </c>
      <c r="H140" s="8"/>
      <c r="I140" s="8">
        <v>6</v>
      </c>
      <c r="J140" s="10" t="s">
        <v>111</v>
      </c>
      <c r="K140" s="30">
        <v>28.57</v>
      </c>
    </row>
    <row r="141" spans="1:11" s="4" customFormat="1" ht="15.95" hidden="1" customHeight="1" x14ac:dyDescent="0.25">
      <c r="C141" s="7" t="s">
        <v>74</v>
      </c>
      <c r="D141" s="7"/>
      <c r="E141" s="8">
        <f t="shared" si="7"/>
        <v>0</v>
      </c>
      <c r="F141" s="8">
        <v>1</v>
      </c>
      <c r="G141" s="8">
        <v>0</v>
      </c>
      <c r="H141" s="8">
        <v>1</v>
      </c>
      <c r="I141" s="8">
        <v>0</v>
      </c>
      <c r="J141" s="10" t="s">
        <v>166</v>
      </c>
      <c r="K141" s="30">
        <v>11.9</v>
      </c>
    </row>
    <row r="142" spans="1:11" s="4" customFormat="1" ht="15.95" hidden="1" customHeight="1" x14ac:dyDescent="0.25">
      <c r="C142" s="7" t="s">
        <v>20</v>
      </c>
      <c r="D142" s="7"/>
      <c r="E142" s="8">
        <f t="shared" si="7"/>
        <v>0</v>
      </c>
      <c r="F142" s="8">
        <v>2</v>
      </c>
      <c r="G142" s="8">
        <v>0.2</v>
      </c>
      <c r="H142" s="8">
        <v>0.2</v>
      </c>
      <c r="I142" s="8">
        <v>0</v>
      </c>
      <c r="J142" s="10" t="s">
        <v>166</v>
      </c>
      <c r="K142" s="30">
        <v>136.9</v>
      </c>
    </row>
    <row r="143" spans="1:11" s="4" customFormat="1" ht="15.95" hidden="1" customHeight="1" x14ac:dyDescent="0.25">
      <c r="C143" s="7" t="s">
        <v>171</v>
      </c>
      <c r="D143" s="7"/>
      <c r="E143" s="8">
        <f t="shared" si="7"/>
        <v>0</v>
      </c>
      <c r="F143" s="8">
        <v>1</v>
      </c>
      <c r="G143" s="8">
        <v>1</v>
      </c>
      <c r="H143" s="8">
        <v>0</v>
      </c>
      <c r="I143" s="8">
        <v>0</v>
      </c>
      <c r="J143" s="10" t="s">
        <v>111</v>
      </c>
      <c r="K143" s="30">
        <v>22.62</v>
      </c>
    </row>
    <row r="144" spans="1:11" s="4" customFormat="1" ht="15.95" hidden="1" customHeight="1" x14ac:dyDescent="0.25">
      <c r="C144" s="7" t="s">
        <v>162</v>
      </c>
      <c r="D144" s="7"/>
      <c r="E144" s="8">
        <f t="shared" si="7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111</v>
      </c>
      <c r="K144" s="30">
        <v>83.33</v>
      </c>
    </row>
    <row r="145" spans="1:11" s="4" customFormat="1" ht="15.95" hidden="1" customHeight="1" x14ac:dyDescent="0.25">
      <c r="C145" s="7" t="s">
        <v>163</v>
      </c>
      <c r="D145" s="7"/>
      <c r="E145" s="8">
        <f t="shared" si="7"/>
        <v>0</v>
      </c>
      <c r="F145" s="8">
        <v>1</v>
      </c>
      <c r="G145" s="8">
        <v>0.1</v>
      </c>
      <c r="H145" s="8">
        <v>1</v>
      </c>
      <c r="I145" s="8">
        <v>0</v>
      </c>
      <c r="J145" s="10" t="s">
        <v>111</v>
      </c>
      <c r="K145" s="30">
        <v>32.14</v>
      </c>
    </row>
    <row r="146" spans="1:11" s="4" customFormat="1" ht="15.95" hidden="1" customHeight="1" x14ac:dyDescent="0.25">
      <c r="C146" s="7" t="s">
        <v>164</v>
      </c>
      <c r="D146" s="7"/>
      <c r="E146" s="8">
        <f t="shared" si="7"/>
        <v>0</v>
      </c>
      <c r="F146" s="8">
        <v>1</v>
      </c>
      <c r="G146" s="8">
        <v>0.1</v>
      </c>
      <c r="H146" s="8">
        <v>1</v>
      </c>
      <c r="I146" s="8">
        <v>0</v>
      </c>
      <c r="J146" s="10" t="s">
        <v>111</v>
      </c>
      <c r="K146" s="30">
        <v>38.1</v>
      </c>
    </row>
    <row r="147" spans="1:11" s="4" customFormat="1" ht="15.95" customHeight="1" x14ac:dyDescent="0.25">
      <c r="A147" s="21" t="s">
        <v>142</v>
      </c>
      <c r="B147" s="4" t="s">
        <v>285</v>
      </c>
      <c r="C147" s="26" t="s">
        <v>205</v>
      </c>
      <c r="D147" s="27">
        <f>SUM(E148:E154)</f>
        <v>425.69</v>
      </c>
      <c r="E147" s="51"/>
      <c r="F147" s="27"/>
      <c r="G147" s="27"/>
      <c r="H147" s="27"/>
      <c r="I147" s="27"/>
      <c r="J147" s="28"/>
      <c r="K147" s="47"/>
    </row>
    <row r="148" spans="1:11" s="4" customFormat="1" ht="15.95" hidden="1" customHeight="1" x14ac:dyDescent="0.25">
      <c r="C148" s="7" t="s">
        <v>268</v>
      </c>
      <c r="D148" s="7"/>
      <c r="E148" s="8">
        <f t="shared" ref="E148:E154" si="8">I148*K148</f>
        <v>358.69</v>
      </c>
      <c r="F148" s="8">
        <v>3.5</v>
      </c>
      <c r="G148" s="8">
        <v>0.2</v>
      </c>
      <c r="H148" s="8">
        <v>0.8</v>
      </c>
      <c r="I148" s="8">
        <v>1</v>
      </c>
      <c r="J148" s="10" t="s">
        <v>166</v>
      </c>
      <c r="K148" s="30">
        <v>358.69</v>
      </c>
    </row>
    <row r="149" spans="1:11" s="4" customFormat="1" ht="15.95" hidden="1" customHeight="1" x14ac:dyDescent="0.25">
      <c r="C149" s="7" t="s">
        <v>86</v>
      </c>
      <c r="D149" s="7"/>
      <c r="E149" s="8">
        <f t="shared" si="8"/>
        <v>0</v>
      </c>
      <c r="F149" s="8">
        <v>6</v>
      </c>
      <c r="G149" s="8">
        <v>0.2</v>
      </c>
      <c r="H149" s="8">
        <v>1</v>
      </c>
      <c r="I149" s="8">
        <v>0</v>
      </c>
      <c r="J149" s="10" t="s">
        <v>166</v>
      </c>
      <c r="K149" s="30">
        <v>219.05</v>
      </c>
    </row>
    <row r="150" spans="1:11" s="4" customFormat="1" ht="15.95" hidden="1" customHeight="1" x14ac:dyDescent="0.25">
      <c r="C150" s="7" t="s">
        <v>180</v>
      </c>
      <c r="D150" s="7"/>
      <c r="E150" s="8">
        <f t="shared" si="8"/>
        <v>42</v>
      </c>
      <c r="F150" s="8">
        <v>0</v>
      </c>
      <c r="G150" s="8">
        <v>0</v>
      </c>
      <c r="H150" s="8">
        <v>0</v>
      </c>
      <c r="I150" s="8">
        <v>14</v>
      </c>
      <c r="J150" s="10" t="s">
        <v>166</v>
      </c>
      <c r="K150" s="30">
        <v>3</v>
      </c>
    </row>
    <row r="151" spans="1:11" s="4" customFormat="1" ht="15.95" hidden="1" customHeight="1" x14ac:dyDescent="0.25">
      <c r="C151" s="7" t="s">
        <v>53</v>
      </c>
      <c r="D151" s="7"/>
      <c r="E151" s="8">
        <f t="shared" si="8"/>
        <v>25</v>
      </c>
      <c r="F151" s="8">
        <v>0</v>
      </c>
      <c r="G151" s="8">
        <v>0</v>
      </c>
      <c r="H151" s="8">
        <v>0</v>
      </c>
      <c r="I151" s="8">
        <v>1</v>
      </c>
      <c r="J151" s="10" t="s">
        <v>166</v>
      </c>
      <c r="K151" s="30">
        <v>25</v>
      </c>
    </row>
    <row r="152" spans="1:11" s="4" customFormat="1" ht="15.95" hidden="1" customHeight="1" x14ac:dyDescent="0.25">
      <c r="B152" s="29" t="s">
        <v>249</v>
      </c>
      <c r="C152" s="7" t="s">
        <v>72</v>
      </c>
      <c r="D152" s="7"/>
      <c r="E152" s="8">
        <f t="shared" si="8"/>
        <v>0</v>
      </c>
      <c r="F152" s="8">
        <v>0.5</v>
      </c>
      <c r="G152" s="8">
        <v>0.5</v>
      </c>
      <c r="H152" s="8"/>
      <c r="I152" s="8">
        <v>0</v>
      </c>
      <c r="J152" s="10" t="s">
        <v>111</v>
      </c>
      <c r="K152" s="30">
        <v>25</v>
      </c>
    </row>
    <row r="153" spans="1:11" s="4" customFormat="1" ht="15.95" hidden="1" customHeight="1" x14ac:dyDescent="0.25">
      <c r="C153" s="7" t="s">
        <v>91</v>
      </c>
      <c r="D153" s="7"/>
      <c r="E153" s="8">
        <f t="shared" si="8"/>
        <v>0</v>
      </c>
      <c r="F153" s="8"/>
      <c r="G153" s="8"/>
      <c r="H153" s="8"/>
      <c r="I153" s="8">
        <v>0</v>
      </c>
      <c r="J153" s="10" t="s">
        <v>166</v>
      </c>
      <c r="K153" s="30">
        <v>25</v>
      </c>
    </row>
    <row r="154" spans="1:11" s="4" customFormat="1" ht="15.95" hidden="1" customHeight="1" x14ac:dyDescent="0.25">
      <c r="C154" s="7" t="s">
        <v>248</v>
      </c>
      <c r="D154" s="7"/>
      <c r="E154" s="8">
        <f t="shared" si="8"/>
        <v>0</v>
      </c>
      <c r="F154" s="8"/>
      <c r="G154" s="8"/>
      <c r="H154" s="8"/>
      <c r="I154" s="8">
        <v>0</v>
      </c>
      <c r="J154" s="10" t="s">
        <v>166</v>
      </c>
      <c r="K154" s="30">
        <v>20</v>
      </c>
    </row>
    <row r="155" spans="1:11" s="4" customFormat="1" ht="15.95" customHeight="1" x14ac:dyDescent="0.25">
      <c r="C155" s="26" t="s">
        <v>132</v>
      </c>
      <c r="D155" s="27">
        <f>SUM(E156:E168)</f>
        <v>1124.08</v>
      </c>
      <c r="E155" s="51"/>
      <c r="F155" s="27"/>
      <c r="G155" s="27"/>
      <c r="H155" s="27"/>
      <c r="I155" s="27"/>
      <c r="J155" s="28"/>
      <c r="K155" s="47"/>
    </row>
    <row r="156" spans="1:11" s="4" customFormat="1" ht="15.95" hidden="1" customHeight="1" x14ac:dyDescent="0.25">
      <c r="B156" s="29" t="s">
        <v>249</v>
      </c>
      <c r="C156" s="7" t="s">
        <v>19</v>
      </c>
      <c r="D156" s="7"/>
      <c r="E156" s="8">
        <f t="shared" ref="E156:E168" si="9">I156*K156</f>
        <v>178.5</v>
      </c>
      <c r="F156" s="8"/>
      <c r="G156" s="8"/>
      <c r="H156" s="8"/>
      <c r="I156" s="8">
        <v>15</v>
      </c>
      <c r="J156" s="10" t="s">
        <v>166</v>
      </c>
      <c r="K156" s="30">
        <v>11.9</v>
      </c>
    </row>
    <row r="157" spans="1:11" s="4" customFormat="1" ht="15.95" hidden="1" customHeight="1" x14ac:dyDescent="0.25">
      <c r="B157" s="29" t="s">
        <v>249</v>
      </c>
      <c r="C157" s="7" t="s">
        <v>62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166</v>
      </c>
      <c r="K157" s="30">
        <v>50</v>
      </c>
    </row>
    <row r="158" spans="1:11" s="4" customFormat="1" ht="15.95" hidden="1" customHeight="1" x14ac:dyDescent="0.25">
      <c r="B158" s="29" t="s">
        <v>249</v>
      </c>
      <c r="C158" s="7" t="s">
        <v>63</v>
      </c>
      <c r="D158" s="7"/>
      <c r="E158" s="8">
        <f t="shared" si="9"/>
        <v>0</v>
      </c>
      <c r="F158" s="8"/>
      <c r="G158" s="8"/>
      <c r="H158" s="8"/>
      <c r="I158" s="8">
        <v>0</v>
      </c>
      <c r="J158" s="10" t="s">
        <v>166</v>
      </c>
      <c r="K158" s="30">
        <v>65</v>
      </c>
    </row>
    <row r="159" spans="1:11" s="4" customFormat="1" ht="15.95" hidden="1" customHeight="1" x14ac:dyDescent="0.25">
      <c r="C159" s="7" t="s">
        <v>82</v>
      </c>
      <c r="D159" s="7"/>
      <c r="E159" s="8">
        <f t="shared" si="9"/>
        <v>0</v>
      </c>
      <c r="F159" s="8"/>
      <c r="G159" s="8"/>
      <c r="H159" s="8"/>
      <c r="I159" s="8">
        <v>0</v>
      </c>
      <c r="J159" s="10" t="s">
        <v>166</v>
      </c>
      <c r="K159" s="30">
        <v>23.81</v>
      </c>
    </row>
    <row r="160" spans="1:11" s="4" customFormat="1" ht="15.95" hidden="1" customHeight="1" x14ac:dyDescent="0.25">
      <c r="C160" s="7" t="s">
        <v>83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166</v>
      </c>
      <c r="K160" s="30">
        <v>14.29</v>
      </c>
    </row>
    <row r="161" spans="2:11" s="4" customFormat="1" ht="15.95" hidden="1" customHeight="1" x14ac:dyDescent="0.25">
      <c r="B161" s="29" t="s">
        <v>249</v>
      </c>
      <c r="C161" s="7" t="s">
        <v>64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166</v>
      </c>
      <c r="K161" s="30">
        <v>10</v>
      </c>
    </row>
    <row r="162" spans="2:11" s="4" customFormat="1" ht="15.95" hidden="1" customHeight="1" x14ac:dyDescent="0.25">
      <c r="B162" s="29" t="s">
        <v>249</v>
      </c>
      <c r="C162" s="7" t="s">
        <v>18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166</v>
      </c>
      <c r="K162" s="30">
        <v>10</v>
      </c>
    </row>
    <row r="163" spans="2:11" s="4" customFormat="1" ht="15.95" hidden="1" customHeight="1" x14ac:dyDescent="0.25">
      <c r="C163" s="7" t="s">
        <v>51</v>
      </c>
      <c r="D163" s="7"/>
      <c r="E163" s="8">
        <f t="shared" si="9"/>
        <v>100</v>
      </c>
      <c r="F163" s="12"/>
      <c r="G163" s="12"/>
      <c r="H163" s="12"/>
      <c r="I163" s="8">
        <v>20</v>
      </c>
      <c r="J163" s="10" t="s">
        <v>166</v>
      </c>
      <c r="K163" s="30">
        <v>5</v>
      </c>
    </row>
    <row r="164" spans="2:11" s="4" customFormat="1" ht="15.95" hidden="1" customHeight="1" x14ac:dyDescent="0.25">
      <c r="B164" s="29" t="s">
        <v>249</v>
      </c>
      <c r="C164" s="7" t="s">
        <v>17</v>
      </c>
      <c r="D164" s="7"/>
      <c r="E164" s="8">
        <f t="shared" si="9"/>
        <v>47.6</v>
      </c>
      <c r="F164" s="8"/>
      <c r="G164" s="8"/>
      <c r="H164" s="8"/>
      <c r="I164" s="8">
        <v>4</v>
      </c>
      <c r="J164" s="10" t="s">
        <v>166</v>
      </c>
      <c r="K164" s="30">
        <v>11.9</v>
      </c>
    </row>
    <row r="165" spans="2:11" s="4" customFormat="1" ht="15.95" hidden="1" customHeight="1" x14ac:dyDescent="0.25">
      <c r="C165" s="7" t="s">
        <v>56</v>
      </c>
      <c r="D165" s="7"/>
      <c r="E165" s="8">
        <f t="shared" si="9"/>
        <v>0</v>
      </c>
      <c r="F165" s="8"/>
      <c r="G165" s="8"/>
      <c r="H165" s="8"/>
      <c r="I165" s="8">
        <v>0</v>
      </c>
      <c r="J165" s="10" t="s">
        <v>166</v>
      </c>
      <c r="K165" s="30">
        <v>4.76</v>
      </c>
    </row>
    <row r="166" spans="2:11" s="4" customFormat="1" ht="15.95" hidden="1" customHeight="1" x14ac:dyDescent="0.25">
      <c r="C166" s="7" t="s">
        <v>16</v>
      </c>
      <c r="D166" s="7"/>
      <c r="E166" s="8">
        <f t="shared" si="9"/>
        <v>0</v>
      </c>
      <c r="F166" s="8"/>
      <c r="G166" s="8"/>
      <c r="H166" s="8"/>
      <c r="I166" s="8">
        <v>0</v>
      </c>
      <c r="J166" s="10" t="s">
        <v>166</v>
      </c>
      <c r="K166" s="30">
        <v>2.38</v>
      </c>
    </row>
    <row r="167" spans="2:11" ht="15.95" hidden="1" customHeight="1" x14ac:dyDescent="0.25">
      <c r="C167" s="7" t="s">
        <v>188</v>
      </c>
      <c r="D167" s="7"/>
      <c r="E167" s="8">
        <f t="shared" si="9"/>
        <v>607.5</v>
      </c>
      <c r="F167" s="8"/>
      <c r="G167" s="8"/>
      <c r="H167" s="8"/>
      <c r="I167" s="8">
        <v>150</v>
      </c>
      <c r="J167" s="10" t="s">
        <v>150</v>
      </c>
      <c r="K167" s="30">
        <v>4.05</v>
      </c>
    </row>
    <row r="168" spans="2:11" s="4" customFormat="1" ht="15.95" hidden="1" customHeight="1" x14ac:dyDescent="0.25">
      <c r="C168" s="7" t="s">
        <v>158</v>
      </c>
      <c r="D168" s="7"/>
      <c r="E168" s="8">
        <f t="shared" si="9"/>
        <v>190.48</v>
      </c>
      <c r="F168" s="8"/>
      <c r="G168" s="8"/>
      <c r="H168" s="8"/>
      <c r="I168" s="8">
        <v>1</v>
      </c>
      <c r="J168" s="10" t="s">
        <v>166</v>
      </c>
      <c r="K168" s="30">
        <v>190.48</v>
      </c>
    </row>
    <row r="169" spans="2:11" s="4" customFormat="1" ht="15.95" customHeight="1" x14ac:dyDescent="0.25">
      <c r="C169" s="26" t="s">
        <v>206</v>
      </c>
      <c r="D169" s="27">
        <f>SUM(E170:E211)</f>
        <v>885</v>
      </c>
      <c r="E169" s="51"/>
      <c r="F169" s="27"/>
      <c r="G169" s="27"/>
      <c r="H169" s="27"/>
      <c r="I169" s="27"/>
      <c r="J169" s="28"/>
      <c r="K169" s="47"/>
    </row>
    <row r="170" spans="2:11" s="4" customFormat="1" ht="15.95" hidden="1" customHeight="1" x14ac:dyDescent="0.25">
      <c r="C170" s="7" t="s">
        <v>15</v>
      </c>
      <c r="D170" s="7"/>
      <c r="E170" s="8">
        <f t="shared" ref="E170:E211" si="10">I170*K170</f>
        <v>345</v>
      </c>
      <c r="F170" s="12"/>
      <c r="G170" s="12"/>
      <c r="H170" s="12"/>
      <c r="I170" s="8">
        <v>23</v>
      </c>
      <c r="J170" s="10" t="s">
        <v>166</v>
      </c>
      <c r="K170" s="30">
        <v>15</v>
      </c>
    </row>
    <row r="171" spans="2:11" s="4" customFormat="1" ht="15.95" hidden="1" customHeight="1" x14ac:dyDescent="0.25">
      <c r="C171" s="7" t="s">
        <v>14</v>
      </c>
      <c r="D171" s="7"/>
      <c r="E171" s="8">
        <f t="shared" si="10"/>
        <v>144</v>
      </c>
      <c r="F171" s="12"/>
      <c r="G171" s="12"/>
      <c r="H171" s="12"/>
      <c r="I171" s="8">
        <v>12</v>
      </c>
      <c r="J171" s="10" t="s">
        <v>166</v>
      </c>
      <c r="K171" s="30">
        <v>12</v>
      </c>
    </row>
    <row r="172" spans="2:11" s="4" customFormat="1" ht="15.95" hidden="1" customHeight="1" x14ac:dyDescent="0.25">
      <c r="C172" s="7" t="s">
        <v>13</v>
      </c>
      <c r="D172" s="7"/>
      <c r="E172" s="8">
        <f t="shared" si="10"/>
        <v>20</v>
      </c>
      <c r="F172" s="12"/>
      <c r="G172" s="12"/>
      <c r="H172" s="12"/>
      <c r="I172" s="8">
        <v>1</v>
      </c>
      <c r="J172" s="10" t="s">
        <v>166</v>
      </c>
      <c r="K172" s="30">
        <v>20</v>
      </c>
    </row>
    <row r="173" spans="2:11" s="4" customFormat="1" ht="15.95" hidden="1" customHeight="1" x14ac:dyDescent="0.25">
      <c r="C173" s="7" t="s">
        <v>12</v>
      </c>
      <c r="D173" s="7"/>
      <c r="E173" s="8">
        <f t="shared" si="10"/>
        <v>45</v>
      </c>
      <c r="F173" s="12"/>
      <c r="G173" s="12"/>
      <c r="H173" s="12"/>
      <c r="I173" s="8">
        <v>3</v>
      </c>
      <c r="J173" s="10" t="s">
        <v>166</v>
      </c>
      <c r="K173" s="30">
        <v>15</v>
      </c>
    </row>
    <row r="174" spans="2:11" s="4" customFormat="1" ht="15.95" hidden="1" customHeight="1" x14ac:dyDescent="0.25">
      <c r="C174" s="7" t="s">
        <v>81</v>
      </c>
      <c r="D174" s="7"/>
      <c r="E174" s="8">
        <f t="shared" si="10"/>
        <v>50</v>
      </c>
      <c r="F174" s="12"/>
      <c r="G174" s="12"/>
      <c r="H174" s="12"/>
      <c r="I174" s="8">
        <v>2</v>
      </c>
      <c r="J174" s="10" t="s">
        <v>166</v>
      </c>
      <c r="K174" s="30">
        <v>25</v>
      </c>
    </row>
    <row r="175" spans="2:11" s="4" customFormat="1" ht="15.95" hidden="1" customHeight="1" x14ac:dyDescent="0.25">
      <c r="C175" s="7" t="s">
        <v>179</v>
      </c>
      <c r="D175" s="7"/>
      <c r="E175" s="8">
        <f t="shared" si="10"/>
        <v>0</v>
      </c>
      <c r="F175" s="12">
        <v>2.4</v>
      </c>
      <c r="G175" s="12">
        <v>0.7</v>
      </c>
      <c r="H175" s="12">
        <v>1</v>
      </c>
      <c r="I175" s="8">
        <v>0</v>
      </c>
      <c r="J175" s="10" t="s">
        <v>166</v>
      </c>
      <c r="K175" s="30">
        <v>385</v>
      </c>
    </row>
    <row r="176" spans="2:11" s="4" customFormat="1" ht="15.95" hidden="1" customHeight="1" x14ac:dyDescent="0.25">
      <c r="C176" s="7" t="s">
        <v>80</v>
      </c>
      <c r="D176" s="7"/>
      <c r="E176" s="8">
        <f t="shared" si="10"/>
        <v>0</v>
      </c>
      <c r="F176" s="12">
        <v>2</v>
      </c>
      <c r="G176" s="12">
        <v>0.4</v>
      </c>
      <c r="H176" s="12">
        <v>0.75</v>
      </c>
      <c r="I176" s="8">
        <v>0</v>
      </c>
      <c r="J176" s="10" t="s">
        <v>166</v>
      </c>
      <c r="K176" s="30">
        <v>130</v>
      </c>
    </row>
    <row r="177" spans="3:11" s="4" customFormat="1" ht="15.95" hidden="1" customHeight="1" x14ac:dyDescent="0.25">
      <c r="C177" s="7" t="s">
        <v>79</v>
      </c>
      <c r="D177" s="7"/>
      <c r="E177" s="8">
        <f t="shared" si="10"/>
        <v>0</v>
      </c>
      <c r="F177" s="12">
        <v>1.5</v>
      </c>
      <c r="G177" s="12">
        <v>0.4</v>
      </c>
      <c r="H177" s="12">
        <v>0.75</v>
      </c>
      <c r="I177" s="8">
        <v>0</v>
      </c>
      <c r="J177" s="10" t="s">
        <v>166</v>
      </c>
      <c r="K177" s="30">
        <v>230</v>
      </c>
    </row>
    <row r="178" spans="3:11" s="4" customFormat="1" ht="15.95" hidden="1" customHeight="1" x14ac:dyDescent="0.25">
      <c r="C178" s="7" t="s">
        <v>11</v>
      </c>
      <c r="D178" s="7"/>
      <c r="E178" s="8">
        <f t="shared" si="10"/>
        <v>0</v>
      </c>
      <c r="F178" s="12"/>
      <c r="G178" s="12"/>
      <c r="H178" s="12"/>
      <c r="I178" s="8">
        <v>0</v>
      </c>
      <c r="J178" s="10" t="s">
        <v>166</v>
      </c>
      <c r="K178" s="30">
        <v>65</v>
      </c>
    </row>
    <row r="179" spans="3:11" s="4" customFormat="1" ht="15.95" hidden="1" customHeight="1" x14ac:dyDescent="0.25">
      <c r="C179" s="7" t="s">
        <v>10</v>
      </c>
      <c r="D179" s="7"/>
      <c r="E179" s="8">
        <f t="shared" si="10"/>
        <v>0</v>
      </c>
      <c r="F179" s="12"/>
      <c r="G179" s="12"/>
      <c r="H179" s="12"/>
      <c r="I179" s="8">
        <v>0</v>
      </c>
      <c r="J179" s="10" t="s">
        <v>166</v>
      </c>
      <c r="K179" s="30">
        <v>85</v>
      </c>
    </row>
    <row r="180" spans="3:11" s="4" customFormat="1" ht="15.95" hidden="1" customHeight="1" x14ac:dyDescent="0.25">
      <c r="C180" s="7" t="s">
        <v>9</v>
      </c>
      <c r="D180" s="7"/>
      <c r="E180" s="8">
        <f t="shared" si="10"/>
        <v>0</v>
      </c>
      <c r="F180" s="12"/>
      <c r="G180" s="12"/>
      <c r="H180" s="12"/>
      <c r="I180" s="8">
        <v>0</v>
      </c>
      <c r="J180" s="10" t="s">
        <v>166</v>
      </c>
      <c r="K180" s="30">
        <v>120</v>
      </c>
    </row>
    <row r="181" spans="3:11" s="4" customFormat="1" ht="15.95" hidden="1" customHeight="1" x14ac:dyDescent="0.25">
      <c r="C181" s="7" t="s">
        <v>8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166</v>
      </c>
      <c r="K181" s="30">
        <v>10</v>
      </c>
    </row>
    <row r="182" spans="3:11" s="4" customFormat="1" ht="15.95" hidden="1" customHeight="1" x14ac:dyDescent="0.25">
      <c r="C182" s="7" t="s">
        <v>7</v>
      </c>
      <c r="D182" s="7"/>
      <c r="E182" s="8">
        <f t="shared" si="10"/>
        <v>40</v>
      </c>
      <c r="F182" s="12"/>
      <c r="G182" s="12"/>
      <c r="H182" s="12"/>
      <c r="I182" s="8">
        <v>5</v>
      </c>
      <c r="J182" s="10" t="s">
        <v>166</v>
      </c>
      <c r="K182" s="30">
        <v>8</v>
      </c>
    </row>
    <row r="183" spans="3:11" s="4" customFormat="1" ht="15.95" hidden="1" customHeight="1" x14ac:dyDescent="0.25">
      <c r="C183" s="7" t="s">
        <v>6</v>
      </c>
      <c r="D183" s="7"/>
      <c r="E183" s="8">
        <f t="shared" si="10"/>
        <v>15</v>
      </c>
      <c r="F183" s="12"/>
      <c r="G183" s="12"/>
      <c r="H183" s="12"/>
      <c r="I183" s="8">
        <v>1</v>
      </c>
      <c r="J183" s="10" t="s">
        <v>166</v>
      </c>
      <c r="K183" s="30">
        <v>15</v>
      </c>
    </row>
    <row r="184" spans="3:11" s="4" customFormat="1" ht="15.95" hidden="1" customHeight="1" x14ac:dyDescent="0.25">
      <c r="C184" s="7" t="s">
        <v>190</v>
      </c>
      <c r="D184" s="7"/>
      <c r="E184" s="8">
        <f t="shared" si="10"/>
        <v>140</v>
      </c>
      <c r="F184" s="12"/>
      <c r="G184" s="12"/>
      <c r="H184" s="12"/>
      <c r="I184" s="8">
        <v>4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61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166</v>
      </c>
      <c r="K185" s="30">
        <v>85</v>
      </c>
    </row>
    <row r="186" spans="3:11" s="4" customFormat="1" ht="15.95" hidden="1" customHeight="1" x14ac:dyDescent="0.25">
      <c r="C186" s="7" t="s">
        <v>58</v>
      </c>
      <c r="D186" s="7"/>
      <c r="E186" s="8">
        <f t="shared" si="10"/>
        <v>70</v>
      </c>
      <c r="F186" s="12"/>
      <c r="G186" s="12"/>
      <c r="H186" s="12"/>
      <c r="I186" s="8">
        <v>2</v>
      </c>
      <c r="J186" s="10" t="s">
        <v>166</v>
      </c>
      <c r="K186" s="30">
        <v>35</v>
      </c>
    </row>
    <row r="187" spans="3:11" s="4" customFormat="1" ht="15.95" hidden="1" customHeight="1" x14ac:dyDescent="0.25">
      <c r="C187" s="7" t="s">
        <v>60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166</v>
      </c>
      <c r="K187" s="30">
        <v>25</v>
      </c>
    </row>
    <row r="188" spans="3:11" s="4" customFormat="1" ht="15.95" hidden="1" customHeight="1" x14ac:dyDescent="0.25">
      <c r="C188" s="7" t="s">
        <v>135</v>
      </c>
      <c r="D188" s="7"/>
      <c r="E188" s="8">
        <f t="shared" si="10"/>
        <v>0</v>
      </c>
      <c r="F188" s="12"/>
      <c r="G188" s="12"/>
      <c r="H188" s="12"/>
      <c r="I188" s="8">
        <v>0</v>
      </c>
      <c r="J188" s="10" t="s">
        <v>166</v>
      </c>
      <c r="K188" s="30">
        <v>35</v>
      </c>
    </row>
    <row r="189" spans="3:11" s="4" customFormat="1" ht="15.95" hidden="1" customHeight="1" x14ac:dyDescent="0.25">
      <c r="C189" s="7" t="s">
        <v>47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166</v>
      </c>
      <c r="K189" s="30">
        <v>12</v>
      </c>
    </row>
    <row r="190" spans="3:11" s="4" customFormat="1" ht="15.95" hidden="1" customHeight="1" x14ac:dyDescent="0.25">
      <c r="C190" s="7" t="s">
        <v>48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166</v>
      </c>
      <c r="K190" s="30">
        <v>25</v>
      </c>
    </row>
    <row r="191" spans="3:11" s="4" customFormat="1" ht="15.95" hidden="1" customHeight="1" x14ac:dyDescent="0.25">
      <c r="C191" s="7" t="s">
        <v>54</v>
      </c>
      <c r="D191" s="7"/>
      <c r="E191" s="8">
        <f t="shared" si="10"/>
        <v>0</v>
      </c>
      <c r="F191" s="12"/>
      <c r="G191" s="12"/>
      <c r="H191" s="12"/>
      <c r="I191" s="8">
        <v>0</v>
      </c>
      <c r="J191" s="10" t="s">
        <v>166</v>
      </c>
      <c r="K191" s="30">
        <v>150</v>
      </c>
    </row>
    <row r="192" spans="3:11" s="4" customFormat="1" ht="15.95" hidden="1" customHeight="1" x14ac:dyDescent="0.25">
      <c r="C192" s="7" t="s">
        <v>207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166</v>
      </c>
      <c r="K192" s="30">
        <v>15</v>
      </c>
    </row>
    <row r="193" spans="2:11" s="4" customFormat="1" ht="15.95" hidden="1" customHeight="1" x14ac:dyDescent="0.25">
      <c r="C193" s="7" t="s">
        <v>159</v>
      </c>
      <c r="D193" s="7"/>
      <c r="E193" s="8">
        <f t="shared" si="10"/>
        <v>0</v>
      </c>
      <c r="F193" s="12"/>
      <c r="G193" s="12"/>
      <c r="H193" s="12"/>
      <c r="I193" s="8">
        <v>0</v>
      </c>
      <c r="J193" s="10" t="s">
        <v>166</v>
      </c>
      <c r="K193" s="30">
        <v>15</v>
      </c>
    </row>
    <row r="194" spans="2:11" s="4" customFormat="1" ht="15.95" hidden="1" customHeight="1" x14ac:dyDescent="0.25">
      <c r="C194" s="7" t="s">
        <v>208</v>
      </c>
      <c r="D194" s="7"/>
      <c r="E194" s="8">
        <f t="shared" si="10"/>
        <v>0</v>
      </c>
      <c r="F194" s="12"/>
      <c r="G194" s="12"/>
      <c r="H194" s="12"/>
      <c r="I194" s="8">
        <v>0</v>
      </c>
      <c r="J194" s="10" t="s">
        <v>166</v>
      </c>
      <c r="K194" s="30">
        <v>600</v>
      </c>
    </row>
    <row r="195" spans="2:11" s="4" customFormat="1" ht="15.95" hidden="1" customHeight="1" x14ac:dyDescent="0.25">
      <c r="C195" s="7" t="s">
        <v>209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166</v>
      </c>
      <c r="K195" s="30">
        <v>85</v>
      </c>
    </row>
    <row r="196" spans="2:11" s="4" customFormat="1" ht="15.95" hidden="1" customHeight="1" x14ac:dyDescent="0.25">
      <c r="C196" s="7" t="s">
        <v>257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166</v>
      </c>
      <c r="K196" s="30">
        <v>210</v>
      </c>
    </row>
    <row r="197" spans="2:11" s="4" customFormat="1" ht="15.95" hidden="1" customHeight="1" x14ac:dyDescent="0.25">
      <c r="C197" s="7" t="s">
        <v>87</v>
      </c>
      <c r="D197" s="7"/>
      <c r="E197" s="8">
        <f t="shared" si="10"/>
        <v>16</v>
      </c>
      <c r="F197" s="8"/>
      <c r="G197" s="8"/>
      <c r="H197" s="8"/>
      <c r="I197" s="8">
        <v>2</v>
      </c>
      <c r="J197" s="10" t="s">
        <v>166</v>
      </c>
      <c r="K197" s="30">
        <v>8</v>
      </c>
    </row>
    <row r="198" spans="2:11" s="4" customFormat="1" ht="15.95" hidden="1" customHeight="1" x14ac:dyDescent="0.25">
      <c r="C198" s="7" t="s">
        <v>73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84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166</v>
      </c>
      <c r="K199" s="30">
        <v>15</v>
      </c>
    </row>
    <row r="200" spans="2:11" s="4" customFormat="1" ht="15.95" hidden="1" customHeight="1" x14ac:dyDescent="0.25">
      <c r="B200" s="29" t="s">
        <v>249</v>
      </c>
      <c r="C200" s="7" t="s">
        <v>85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166</v>
      </c>
      <c r="K200" s="30">
        <v>25</v>
      </c>
    </row>
    <row r="201" spans="2:11" s="4" customFormat="1" ht="15.95" hidden="1" customHeight="1" x14ac:dyDescent="0.25">
      <c r="C201" s="7" t="s">
        <v>88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166</v>
      </c>
      <c r="K201" s="30">
        <v>85</v>
      </c>
    </row>
    <row r="202" spans="2:11" s="4" customFormat="1" ht="15.95" hidden="1" customHeight="1" x14ac:dyDescent="0.25">
      <c r="C202" s="7" t="s">
        <v>89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166</v>
      </c>
      <c r="K202" s="30">
        <v>15</v>
      </c>
    </row>
    <row r="203" spans="2:11" s="4" customFormat="1" ht="15.95" hidden="1" customHeight="1" x14ac:dyDescent="0.25">
      <c r="C203" s="7" t="s">
        <v>90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166</v>
      </c>
      <c r="K203" s="30">
        <v>5</v>
      </c>
    </row>
    <row r="204" spans="2:11" s="4" customFormat="1" ht="15.95" hidden="1" customHeight="1" x14ac:dyDescent="0.25">
      <c r="C204" s="7" t="s">
        <v>92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166</v>
      </c>
      <c r="K204" s="30">
        <v>12</v>
      </c>
    </row>
    <row r="205" spans="2:11" s="4" customFormat="1" ht="15.95" hidden="1" customHeight="1" x14ac:dyDescent="0.25">
      <c r="C205" s="7" t="s">
        <v>93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166</v>
      </c>
      <c r="K205" s="30">
        <v>25</v>
      </c>
    </row>
    <row r="206" spans="2:11" s="4" customFormat="1" ht="15.95" hidden="1" customHeight="1" x14ac:dyDescent="0.25">
      <c r="C206" s="7" t="s">
        <v>94</v>
      </c>
      <c r="D206" s="7"/>
      <c r="E206" s="8">
        <f t="shared" si="10"/>
        <v>0</v>
      </c>
      <c r="F206" s="8"/>
      <c r="G206" s="8"/>
      <c r="H206" s="8"/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121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166</v>
      </c>
      <c r="K207" s="30">
        <v>6</v>
      </c>
    </row>
    <row r="208" spans="2:11" s="4" customFormat="1" ht="15.95" hidden="1" customHeight="1" x14ac:dyDescent="0.25">
      <c r="C208" s="7" t="s">
        <v>123</v>
      </c>
      <c r="D208" s="7"/>
      <c r="E208" s="8">
        <f t="shared" si="10"/>
        <v>0</v>
      </c>
      <c r="F208" s="8"/>
      <c r="G208" s="8"/>
      <c r="H208" s="8"/>
      <c r="I208" s="8">
        <v>0</v>
      </c>
      <c r="J208" s="10" t="s">
        <v>166</v>
      </c>
      <c r="K208" s="30">
        <v>3</v>
      </c>
    </row>
    <row r="209" spans="3:11" s="4" customFormat="1" ht="15.95" hidden="1" customHeight="1" x14ac:dyDescent="0.25">
      <c r="C209" s="7" t="s">
        <v>124</v>
      </c>
      <c r="D209" s="7"/>
      <c r="E209" s="8">
        <f t="shared" si="10"/>
        <v>0</v>
      </c>
      <c r="F209" s="8"/>
      <c r="G209" s="8"/>
      <c r="H209" s="8"/>
      <c r="I209" s="8">
        <v>0</v>
      </c>
      <c r="J209" s="10" t="s">
        <v>166</v>
      </c>
      <c r="K209" s="30">
        <v>35</v>
      </c>
    </row>
    <row r="210" spans="3:11" s="4" customFormat="1" ht="15.95" hidden="1" customHeight="1" x14ac:dyDescent="0.25">
      <c r="C210" s="7" t="s">
        <v>247</v>
      </c>
      <c r="D210" s="7"/>
      <c r="E210" s="8">
        <f t="shared" si="10"/>
        <v>0</v>
      </c>
      <c r="F210" s="8">
        <v>0.5</v>
      </c>
      <c r="G210" s="8">
        <v>0.5</v>
      </c>
      <c r="H210" s="8">
        <v>0.5</v>
      </c>
      <c r="I210" s="8">
        <v>0</v>
      </c>
      <c r="J210" s="10" t="s">
        <v>166</v>
      </c>
      <c r="K210" s="30">
        <v>20</v>
      </c>
    </row>
    <row r="211" spans="3:11" s="4" customFormat="1" ht="15.95" hidden="1" customHeight="1" x14ac:dyDescent="0.25">
      <c r="C211" s="7" t="s">
        <v>246</v>
      </c>
      <c r="D211" s="7"/>
      <c r="E211" s="8">
        <f t="shared" si="10"/>
        <v>0</v>
      </c>
      <c r="F211" s="8"/>
      <c r="G211" s="8"/>
      <c r="H211" s="8"/>
      <c r="I211" s="8">
        <v>0</v>
      </c>
      <c r="J211" s="10" t="s">
        <v>166</v>
      </c>
      <c r="K211" s="30">
        <v>85</v>
      </c>
    </row>
    <row r="212" spans="3:11" s="4" customFormat="1" ht="15.95" customHeight="1" x14ac:dyDescent="0.25">
      <c r="C212" s="26" t="s">
        <v>183</v>
      </c>
      <c r="D212" s="27">
        <f>SUM(E213:E223)</f>
        <v>1971.8799999999999</v>
      </c>
      <c r="E212" s="51"/>
      <c r="F212" s="27"/>
      <c r="G212" s="27"/>
      <c r="H212" s="27"/>
      <c r="I212" s="27"/>
      <c r="J212" s="28"/>
      <c r="K212" s="47"/>
    </row>
    <row r="213" spans="3:11" s="4" customFormat="1" ht="15.95" hidden="1" customHeight="1" x14ac:dyDescent="0.25">
      <c r="C213" s="7" t="s">
        <v>244</v>
      </c>
      <c r="D213" s="7"/>
      <c r="E213" s="8">
        <f t="shared" ref="E213:E223" si="11">I213*K213</f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10.71</v>
      </c>
    </row>
    <row r="214" spans="3:11" s="4" customFormat="1" ht="15.95" hidden="1" customHeight="1" x14ac:dyDescent="0.25">
      <c r="C214" s="7" t="s">
        <v>243</v>
      </c>
      <c r="D214" s="7"/>
      <c r="E214" s="8">
        <f t="shared" si="11"/>
        <v>1548</v>
      </c>
      <c r="F214" s="8">
        <v>1</v>
      </c>
      <c r="G214" s="8">
        <v>1</v>
      </c>
      <c r="H214" s="12"/>
      <c r="I214" s="8">
        <v>100</v>
      </c>
      <c r="J214" s="10" t="s">
        <v>111</v>
      </c>
      <c r="K214" s="30">
        <v>15.48</v>
      </c>
    </row>
    <row r="215" spans="3:11" s="4" customFormat="1" ht="15.95" hidden="1" customHeight="1" x14ac:dyDescent="0.25">
      <c r="C215" s="7" t="s">
        <v>5</v>
      </c>
      <c r="D215" s="7"/>
      <c r="E215" s="8">
        <f t="shared" si="11"/>
        <v>154.80000000000001</v>
      </c>
      <c r="F215" s="8">
        <v>1</v>
      </c>
      <c r="G215" s="8">
        <v>1</v>
      </c>
      <c r="H215" s="12"/>
      <c r="I215" s="8">
        <v>10</v>
      </c>
      <c r="J215" s="10" t="s">
        <v>111</v>
      </c>
      <c r="K215" s="30">
        <v>15.48</v>
      </c>
    </row>
    <row r="216" spans="3:11" s="4" customFormat="1" ht="15.95" hidden="1" customHeight="1" x14ac:dyDescent="0.25">
      <c r="C216" s="7" t="s">
        <v>191</v>
      </c>
      <c r="D216" s="7"/>
      <c r="E216" s="8">
        <f t="shared" si="11"/>
        <v>78.599999999999994</v>
      </c>
      <c r="F216" s="8">
        <v>1</v>
      </c>
      <c r="G216" s="8">
        <v>1</v>
      </c>
      <c r="H216" s="12"/>
      <c r="I216" s="8">
        <v>6</v>
      </c>
      <c r="J216" s="10" t="s">
        <v>111</v>
      </c>
      <c r="K216" s="30">
        <v>13.1</v>
      </c>
    </row>
    <row r="217" spans="3:11" s="4" customFormat="1" ht="15.95" hidden="1" customHeight="1" x14ac:dyDescent="0.25">
      <c r="C217" s="7" t="s">
        <v>258</v>
      </c>
      <c r="D217" s="7"/>
      <c r="E217" s="8">
        <f t="shared" si="11"/>
        <v>190.48</v>
      </c>
      <c r="F217" s="8">
        <v>1</v>
      </c>
      <c r="G217" s="8">
        <v>1</v>
      </c>
      <c r="H217" s="12"/>
      <c r="I217" s="8">
        <v>2</v>
      </c>
      <c r="J217" s="10" t="s">
        <v>111</v>
      </c>
      <c r="K217" s="30">
        <v>95.24</v>
      </c>
    </row>
    <row r="218" spans="3:11" s="4" customFormat="1" ht="15.95" hidden="1" customHeight="1" x14ac:dyDescent="0.25">
      <c r="C218" s="7" t="s">
        <v>259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47.62</v>
      </c>
    </row>
    <row r="219" spans="3:11" s="4" customFormat="1" ht="15.95" hidden="1" customHeight="1" x14ac:dyDescent="0.25">
      <c r="C219" s="7" t="s">
        <v>71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35.71</v>
      </c>
    </row>
    <row r="220" spans="3:11" s="4" customFormat="1" ht="15.95" hidden="1" customHeight="1" x14ac:dyDescent="0.25">
      <c r="C220" s="7" t="s">
        <v>122</v>
      </c>
      <c r="D220" s="7"/>
      <c r="E220" s="8">
        <f t="shared" si="11"/>
        <v>0</v>
      </c>
      <c r="F220" s="8">
        <v>1</v>
      </c>
      <c r="G220" s="8">
        <v>1</v>
      </c>
      <c r="H220" s="12"/>
      <c r="I220" s="8">
        <v>0</v>
      </c>
      <c r="J220" s="10" t="s">
        <v>111</v>
      </c>
      <c r="K220" s="30">
        <v>28.57</v>
      </c>
    </row>
    <row r="221" spans="3:11" s="4" customFormat="1" ht="15.95" hidden="1" customHeight="1" x14ac:dyDescent="0.25">
      <c r="C221" s="7" t="s">
        <v>52</v>
      </c>
      <c r="D221" s="7"/>
      <c r="E221" s="8">
        <f t="shared" si="11"/>
        <v>0</v>
      </c>
      <c r="F221" s="8">
        <v>1</v>
      </c>
      <c r="G221" s="8">
        <v>1</v>
      </c>
      <c r="H221" s="12"/>
      <c r="I221" s="8">
        <v>0</v>
      </c>
      <c r="J221" s="10" t="s">
        <v>111</v>
      </c>
      <c r="K221" s="30">
        <v>13.1</v>
      </c>
    </row>
    <row r="222" spans="3:11" s="4" customFormat="1" ht="15.95" hidden="1" customHeight="1" x14ac:dyDescent="0.25">
      <c r="C222" s="7" t="s">
        <v>245</v>
      </c>
      <c r="D222" s="7"/>
      <c r="E222" s="8">
        <f t="shared" si="11"/>
        <v>0</v>
      </c>
      <c r="F222" s="8">
        <v>1</v>
      </c>
      <c r="G222" s="8">
        <v>1</v>
      </c>
      <c r="H222" s="12"/>
      <c r="I222" s="8">
        <v>0</v>
      </c>
      <c r="J222" s="10" t="s">
        <v>111</v>
      </c>
      <c r="K222" s="30">
        <v>11.9</v>
      </c>
    </row>
    <row r="223" spans="3:11" s="4" customFormat="1" ht="15.95" hidden="1" customHeight="1" x14ac:dyDescent="0.25">
      <c r="C223" s="7" t="s">
        <v>4</v>
      </c>
      <c r="D223" s="7"/>
      <c r="E223" s="8">
        <f t="shared" si="11"/>
        <v>0</v>
      </c>
      <c r="F223" s="8">
        <v>1</v>
      </c>
      <c r="G223" s="8">
        <v>1</v>
      </c>
      <c r="H223" s="12"/>
      <c r="I223" s="8">
        <v>0</v>
      </c>
      <c r="J223" s="10" t="s">
        <v>111</v>
      </c>
      <c r="K223" s="30">
        <v>10.71</v>
      </c>
    </row>
    <row r="224" spans="3:11" s="4" customFormat="1" ht="15.95" customHeight="1" x14ac:dyDescent="0.25">
      <c r="C224" s="26" t="s">
        <v>182</v>
      </c>
      <c r="D224" s="27">
        <f>SUM(E225:E264)</f>
        <v>17112.5</v>
      </c>
      <c r="E224" s="51"/>
      <c r="F224" s="27"/>
      <c r="G224" s="27"/>
      <c r="H224" s="27"/>
      <c r="I224" s="27"/>
      <c r="J224" s="28"/>
      <c r="K224" s="47"/>
    </row>
    <row r="225" spans="3:11" s="4" customFormat="1" ht="15.95" hidden="1" customHeight="1" x14ac:dyDescent="0.25">
      <c r="C225" s="7" t="s">
        <v>21</v>
      </c>
      <c r="D225" s="7"/>
      <c r="E225" s="8">
        <f t="shared" ref="E225:E264" si="12">I225*K225</f>
        <v>0</v>
      </c>
      <c r="F225" s="12">
        <v>1.5</v>
      </c>
      <c r="G225" s="12">
        <v>1</v>
      </c>
      <c r="H225" s="12">
        <v>1</v>
      </c>
      <c r="I225" s="8">
        <v>0</v>
      </c>
      <c r="J225" s="10" t="s">
        <v>166</v>
      </c>
      <c r="K225" s="30">
        <v>320</v>
      </c>
    </row>
    <row r="226" spans="3:11" s="4" customFormat="1" ht="15.95" hidden="1" customHeight="1" x14ac:dyDescent="0.25">
      <c r="C226" s="7" t="s">
        <v>213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166</v>
      </c>
      <c r="K226" s="30">
        <v>210</v>
      </c>
    </row>
    <row r="227" spans="3:11" s="4" customFormat="1" ht="15.95" hidden="1" customHeight="1" x14ac:dyDescent="0.25">
      <c r="C227" s="7" t="s">
        <v>214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166</v>
      </c>
      <c r="K227" s="30">
        <v>180</v>
      </c>
    </row>
    <row r="228" spans="3:11" s="4" customFormat="1" ht="15.95" hidden="1" customHeight="1" x14ac:dyDescent="0.25">
      <c r="C228" s="7" t="s">
        <v>215</v>
      </c>
      <c r="D228" s="7"/>
      <c r="E228" s="8">
        <f t="shared" si="12"/>
        <v>0</v>
      </c>
      <c r="F228" s="8"/>
      <c r="G228" s="8"/>
      <c r="H228" s="8"/>
      <c r="I228" s="8">
        <v>0</v>
      </c>
      <c r="J228" s="10" t="s">
        <v>166</v>
      </c>
      <c r="K228" s="30">
        <v>180</v>
      </c>
    </row>
    <row r="229" spans="3:11" s="4" customFormat="1" ht="15.95" hidden="1" customHeight="1" x14ac:dyDescent="0.25">
      <c r="C229" s="7" t="s">
        <v>216</v>
      </c>
      <c r="D229" s="7"/>
      <c r="E229" s="8">
        <f t="shared" si="12"/>
        <v>0</v>
      </c>
      <c r="F229" s="8"/>
      <c r="G229" s="8"/>
      <c r="H229" s="8"/>
      <c r="I229" s="8">
        <v>0</v>
      </c>
      <c r="J229" s="10" t="s">
        <v>166</v>
      </c>
      <c r="K229" s="30">
        <v>110</v>
      </c>
    </row>
    <row r="230" spans="3:11" s="4" customFormat="1" ht="15.95" hidden="1" customHeight="1" x14ac:dyDescent="0.25">
      <c r="C230" s="7" t="s">
        <v>217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166</v>
      </c>
      <c r="K230" s="30">
        <v>310</v>
      </c>
    </row>
    <row r="231" spans="3:11" s="4" customFormat="1" ht="15.95" hidden="1" customHeight="1" x14ac:dyDescent="0.25">
      <c r="C231" s="7" t="s">
        <v>218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166</v>
      </c>
      <c r="K231" s="30">
        <v>160</v>
      </c>
    </row>
    <row r="232" spans="3:11" s="4" customFormat="1" ht="15.95" hidden="1" customHeight="1" x14ac:dyDescent="0.25">
      <c r="C232" s="7" t="s">
        <v>59</v>
      </c>
      <c r="D232" s="7"/>
      <c r="E232" s="8">
        <f t="shared" si="12"/>
        <v>0</v>
      </c>
      <c r="F232" s="12"/>
      <c r="G232" s="12"/>
      <c r="H232" s="12"/>
      <c r="I232" s="8">
        <v>0</v>
      </c>
      <c r="J232" s="10" t="s">
        <v>166</v>
      </c>
      <c r="K232" s="30">
        <v>10</v>
      </c>
    </row>
    <row r="233" spans="3:11" s="4" customFormat="1" ht="15.95" hidden="1" customHeight="1" x14ac:dyDescent="0.25">
      <c r="C233" s="7" t="s">
        <v>222</v>
      </c>
      <c r="D233" s="7"/>
      <c r="E233" s="8">
        <f t="shared" si="12"/>
        <v>0</v>
      </c>
      <c r="F233" s="12"/>
      <c r="G233" s="12"/>
      <c r="H233" s="12"/>
      <c r="I233" s="8">
        <v>0</v>
      </c>
      <c r="J233" s="10" t="s">
        <v>166</v>
      </c>
      <c r="K233" s="30">
        <v>260</v>
      </c>
    </row>
    <row r="234" spans="3:11" s="4" customFormat="1" ht="15.95" hidden="1" customHeight="1" x14ac:dyDescent="0.25">
      <c r="C234" s="7" t="s">
        <v>3</v>
      </c>
      <c r="D234" s="7"/>
      <c r="E234" s="8">
        <f t="shared" si="12"/>
        <v>0</v>
      </c>
      <c r="F234" s="8"/>
      <c r="G234" s="8"/>
      <c r="H234" s="8"/>
      <c r="I234" s="8">
        <v>0</v>
      </c>
      <c r="J234" s="10" t="s">
        <v>166</v>
      </c>
      <c r="K234" s="30">
        <v>180</v>
      </c>
    </row>
    <row r="235" spans="3:11" s="4" customFormat="1" ht="15.95" hidden="1" customHeight="1" x14ac:dyDescent="0.25">
      <c r="C235" s="7" t="s">
        <v>2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166</v>
      </c>
      <c r="K235" s="30">
        <v>200</v>
      </c>
    </row>
    <row r="236" spans="3:11" s="4" customFormat="1" ht="15.95" hidden="1" customHeight="1" x14ac:dyDescent="0.25">
      <c r="C236" s="7" t="s">
        <v>1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166</v>
      </c>
      <c r="K236" s="30">
        <v>220</v>
      </c>
    </row>
    <row r="237" spans="3:11" s="4" customFormat="1" ht="15.95" hidden="1" customHeight="1" x14ac:dyDescent="0.25">
      <c r="C237" s="7" t="s">
        <v>181</v>
      </c>
      <c r="D237" s="7"/>
      <c r="E237" s="8">
        <f t="shared" si="12"/>
        <v>1100</v>
      </c>
      <c r="F237" s="8"/>
      <c r="G237" s="8"/>
      <c r="H237" s="8"/>
      <c r="I237" s="8">
        <v>5</v>
      </c>
      <c r="J237" s="10" t="s">
        <v>166</v>
      </c>
      <c r="K237" s="30">
        <v>220</v>
      </c>
    </row>
    <row r="238" spans="3:11" s="4" customFormat="1" ht="15.95" hidden="1" customHeight="1" x14ac:dyDescent="0.25">
      <c r="C238" s="7" t="s">
        <v>0</v>
      </c>
      <c r="D238" s="7"/>
      <c r="E238" s="8">
        <f t="shared" si="12"/>
        <v>500</v>
      </c>
      <c r="F238" s="8"/>
      <c r="G238" s="8"/>
      <c r="H238" s="8"/>
      <c r="I238" s="8">
        <v>2</v>
      </c>
      <c r="J238" s="10" t="s">
        <v>166</v>
      </c>
      <c r="K238" s="30">
        <v>250</v>
      </c>
    </row>
    <row r="239" spans="3:11" s="4" customFormat="1" ht="15.95" hidden="1" customHeight="1" x14ac:dyDescent="0.25">
      <c r="C239" s="7" t="s">
        <v>210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166</v>
      </c>
      <c r="K239" s="30">
        <v>390</v>
      </c>
    </row>
    <row r="240" spans="3:11" s="4" customFormat="1" ht="15.95" hidden="1" customHeight="1" x14ac:dyDescent="0.25">
      <c r="C240" s="7" t="s">
        <v>236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166</v>
      </c>
      <c r="K240" s="30">
        <v>460</v>
      </c>
    </row>
    <row r="241" spans="3:11" s="4" customFormat="1" ht="15.95" hidden="1" customHeight="1" x14ac:dyDescent="0.25">
      <c r="C241" s="7" t="s">
        <v>211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166</v>
      </c>
      <c r="K241" s="30">
        <v>850</v>
      </c>
    </row>
    <row r="242" spans="3:11" s="4" customFormat="1" ht="15.95" hidden="1" customHeight="1" x14ac:dyDescent="0.25">
      <c r="C242" s="7" t="s">
        <v>187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166</v>
      </c>
      <c r="K242" s="30">
        <v>1400</v>
      </c>
    </row>
    <row r="243" spans="3:11" s="4" customFormat="1" ht="15.95" hidden="1" customHeight="1" x14ac:dyDescent="0.25">
      <c r="C243" s="7" t="s">
        <v>238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166</v>
      </c>
      <c r="K243" s="30">
        <v>360</v>
      </c>
    </row>
    <row r="244" spans="3:11" s="4" customFormat="1" ht="15.95" hidden="1" customHeight="1" x14ac:dyDescent="0.25">
      <c r="C244" s="7" t="s">
        <v>241</v>
      </c>
      <c r="D244" s="7"/>
      <c r="E244" s="8">
        <f t="shared" si="12"/>
        <v>550</v>
      </c>
      <c r="F244" s="8"/>
      <c r="G244" s="8"/>
      <c r="H244" s="8"/>
      <c r="I244" s="8">
        <v>1</v>
      </c>
      <c r="J244" s="10" t="s">
        <v>166</v>
      </c>
      <c r="K244" s="30">
        <v>550</v>
      </c>
    </row>
    <row r="245" spans="3:11" s="4" customFormat="1" ht="15.95" hidden="1" customHeight="1" x14ac:dyDescent="0.25">
      <c r="C245" s="7" t="s">
        <v>242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166</v>
      </c>
      <c r="K245" s="30">
        <v>580</v>
      </c>
    </row>
    <row r="246" spans="3:11" s="4" customFormat="1" ht="15.95" hidden="1" customHeight="1" x14ac:dyDescent="0.25">
      <c r="C246" s="7" t="s">
        <v>234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166</v>
      </c>
      <c r="K246" s="30">
        <v>680</v>
      </c>
    </row>
    <row r="247" spans="3:11" s="4" customFormat="1" ht="15.95" hidden="1" customHeight="1" x14ac:dyDescent="0.25">
      <c r="C247" s="7" t="s">
        <v>239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166</v>
      </c>
      <c r="K247" s="30">
        <v>750</v>
      </c>
    </row>
    <row r="248" spans="3:11" s="4" customFormat="1" ht="15.95" hidden="1" customHeight="1" x14ac:dyDescent="0.25">
      <c r="C248" s="7" t="s">
        <v>235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166</v>
      </c>
      <c r="K248" s="30">
        <v>340</v>
      </c>
    </row>
    <row r="249" spans="3:11" s="4" customFormat="1" ht="15.95" hidden="1" customHeight="1" x14ac:dyDescent="0.25">
      <c r="C249" s="7" t="s">
        <v>240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166</v>
      </c>
      <c r="K249" s="30">
        <v>160</v>
      </c>
    </row>
    <row r="250" spans="3:11" s="4" customFormat="1" ht="15.95" hidden="1" customHeight="1" x14ac:dyDescent="0.25">
      <c r="C250" s="7" t="s">
        <v>237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166</v>
      </c>
      <c r="K250" s="30">
        <v>130</v>
      </c>
    </row>
    <row r="251" spans="3:11" s="4" customFormat="1" ht="15.95" hidden="1" customHeight="1" x14ac:dyDescent="0.25">
      <c r="C251" s="7" t="s">
        <v>227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166</v>
      </c>
      <c r="K251" s="30">
        <v>130</v>
      </c>
    </row>
    <row r="252" spans="3:11" s="4" customFormat="1" ht="15.95" hidden="1" customHeight="1" x14ac:dyDescent="0.25">
      <c r="C252" s="7" t="s">
        <v>223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166</v>
      </c>
      <c r="K252" s="30">
        <v>400</v>
      </c>
    </row>
    <row r="253" spans="3:11" s="4" customFormat="1" ht="15.95" hidden="1" customHeight="1" x14ac:dyDescent="0.25">
      <c r="C253" s="7" t="s">
        <v>225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166</v>
      </c>
      <c r="K253" s="30">
        <v>260</v>
      </c>
    </row>
    <row r="254" spans="3:11" s="4" customFormat="1" ht="15.95" hidden="1" customHeight="1" x14ac:dyDescent="0.25">
      <c r="C254" s="7" t="s">
        <v>231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166</v>
      </c>
      <c r="K254" s="30">
        <v>180</v>
      </c>
    </row>
    <row r="255" spans="3:11" s="4" customFormat="1" ht="15.95" hidden="1" customHeight="1" x14ac:dyDescent="0.25">
      <c r="C255" s="7" t="s">
        <v>232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166</v>
      </c>
      <c r="K255" s="30">
        <v>120</v>
      </c>
    </row>
    <row r="256" spans="3:11" s="4" customFormat="1" ht="15.95" hidden="1" customHeight="1" x14ac:dyDescent="0.25">
      <c r="C256" s="7" t="s">
        <v>233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166</v>
      </c>
      <c r="K256" s="30">
        <v>220</v>
      </c>
    </row>
    <row r="257" spans="3:11" s="4" customFormat="1" ht="15.95" hidden="1" customHeight="1" x14ac:dyDescent="0.25">
      <c r="C257" s="7" t="s">
        <v>226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166</v>
      </c>
      <c r="K257" s="30">
        <v>230</v>
      </c>
    </row>
    <row r="258" spans="3:11" s="4" customFormat="1" ht="15.95" hidden="1" customHeight="1" x14ac:dyDescent="0.25">
      <c r="C258" s="7" t="s">
        <v>228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229</v>
      </c>
      <c r="K258" s="30">
        <v>500</v>
      </c>
    </row>
    <row r="259" spans="3:11" s="4" customFormat="1" ht="15.95" hidden="1" customHeight="1" x14ac:dyDescent="0.25">
      <c r="C259" s="7" t="s">
        <v>230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166</v>
      </c>
      <c r="K259" s="30">
        <v>180</v>
      </c>
    </row>
    <row r="260" spans="3:11" s="4" customFormat="1" ht="15.95" hidden="1" customHeight="1" x14ac:dyDescent="0.25">
      <c r="C260" s="7" t="s">
        <v>224</v>
      </c>
      <c r="D260" s="7"/>
      <c r="E260" s="8">
        <f t="shared" si="12"/>
        <v>0</v>
      </c>
      <c r="F260" s="8"/>
      <c r="G260" s="8"/>
      <c r="H260" s="8"/>
      <c r="I260" s="8">
        <v>0</v>
      </c>
      <c r="J260" s="10" t="s">
        <v>166</v>
      </c>
      <c r="K260" s="30">
        <v>260</v>
      </c>
    </row>
    <row r="261" spans="3:11" s="4" customFormat="1" ht="15.95" hidden="1" customHeight="1" x14ac:dyDescent="0.25">
      <c r="C261" s="7" t="s">
        <v>219</v>
      </c>
      <c r="D261" s="7"/>
      <c r="E261" s="8">
        <f t="shared" si="12"/>
        <v>0</v>
      </c>
      <c r="F261" s="8"/>
      <c r="G261" s="8"/>
      <c r="H261" s="8"/>
      <c r="I261" s="8">
        <v>0</v>
      </c>
      <c r="J261" s="10" t="s">
        <v>166</v>
      </c>
      <c r="K261" s="30">
        <v>6500</v>
      </c>
    </row>
    <row r="262" spans="3:11" s="4" customFormat="1" ht="15.95" hidden="1" customHeight="1" x14ac:dyDescent="0.25">
      <c r="C262" s="7" t="s">
        <v>221</v>
      </c>
      <c r="D262" s="7"/>
      <c r="E262" s="8">
        <f t="shared" si="12"/>
        <v>0</v>
      </c>
      <c r="F262" s="8"/>
      <c r="G262" s="8"/>
      <c r="H262" s="8"/>
      <c r="I262" s="8">
        <v>0</v>
      </c>
      <c r="J262" s="10" t="s">
        <v>166</v>
      </c>
      <c r="K262" s="30">
        <v>8800</v>
      </c>
    </row>
    <row r="263" spans="3:11" s="4" customFormat="1" ht="15.95" hidden="1" customHeight="1" x14ac:dyDescent="0.25">
      <c r="C263" s="7" t="s">
        <v>220</v>
      </c>
      <c r="D263" s="7"/>
      <c r="E263" s="8">
        <f t="shared" ref="E263" si="13">I263*K263</f>
        <v>11812.5</v>
      </c>
      <c r="F263" s="8">
        <v>4.5</v>
      </c>
      <c r="G263" s="8">
        <v>2.5</v>
      </c>
      <c r="H263" s="8"/>
      <c r="I263" s="8">
        <v>11.25</v>
      </c>
      <c r="J263" s="10" t="s">
        <v>111</v>
      </c>
      <c r="K263" s="30">
        <v>1050</v>
      </c>
    </row>
    <row r="264" spans="3:11" s="4" customFormat="1" ht="15.95" hidden="1" customHeight="1" x14ac:dyDescent="0.25">
      <c r="C264" s="7" t="s">
        <v>220</v>
      </c>
      <c r="D264" s="7"/>
      <c r="E264" s="8">
        <f t="shared" si="12"/>
        <v>3150</v>
      </c>
      <c r="F264" s="8">
        <v>1</v>
      </c>
      <c r="G264" s="8">
        <v>3</v>
      </c>
      <c r="H264" s="8"/>
      <c r="I264" s="8">
        <v>3</v>
      </c>
      <c r="J264" s="10" t="s">
        <v>111</v>
      </c>
      <c r="K264" s="30">
        <v>1050</v>
      </c>
    </row>
    <row r="265" spans="3:11" s="22" customFormat="1" ht="15.95" customHeight="1" x14ac:dyDescent="0.25">
      <c r="C265" s="32" t="s">
        <v>148</v>
      </c>
      <c r="D265" s="33">
        <f>SUM(E266)</f>
        <v>11800</v>
      </c>
      <c r="E265" s="34"/>
      <c r="F265" s="35"/>
      <c r="G265" s="35"/>
      <c r="H265" s="35"/>
      <c r="I265" s="35"/>
      <c r="J265" s="36"/>
      <c r="K265" s="49"/>
    </row>
    <row r="266" spans="3:11" s="22" customFormat="1" ht="15.95" hidden="1" customHeight="1" x14ac:dyDescent="0.25">
      <c r="C266" s="37"/>
      <c r="D266" s="38"/>
      <c r="E266" s="39">
        <f>K266*I266</f>
        <v>11800</v>
      </c>
      <c r="F266" s="24"/>
      <c r="G266" s="24"/>
      <c r="H266" s="24"/>
      <c r="I266" s="24">
        <v>1</v>
      </c>
      <c r="J266" s="25" t="s">
        <v>166</v>
      </c>
      <c r="K266" s="48">
        <v>11800</v>
      </c>
    </row>
    <row r="267" spans="3:11" s="22" customFormat="1" ht="15.95" customHeight="1" x14ac:dyDescent="0.25">
      <c r="C267" s="32" t="s">
        <v>146</v>
      </c>
      <c r="D267" s="33">
        <f>SUM(E268)</f>
        <v>6500</v>
      </c>
      <c r="E267" s="34"/>
      <c r="F267" s="40"/>
      <c r="G267" s="40"/>
      <c r="H267" s="40"/>
      <c r="I267" s="35"/>
      <c r="J267" s="36"/>
      <c r="K267" s="49"/>
    </row>
    <row r="268" spans="3:11" s="22" customFormat="1" ht="15.95" hidden="1" customHeight="1" x14ac:dyDescent="0.25">
      <c r="C268" s="37"/>
      <c r="D268" s="38"/>
      <c r="E268" s="39">
        <f>I268*K268</f>
        <v>6500</v>
      </c>
      <c r="F268" s="41"/>
      <c r="G268" s="41"/>
      <c r="H268" s="41"/>
      <c r="I268" s="24">
        <v>4</v>
      </c>
      <c r="J268" s="25" t="s">
        <v>149</v>
      </c>
      <c r="K268" s="48">
        <v>1625</v>
      </c>
    </row>
    <row r="269" spans="3:11" s="22" customFormat="1" ht="15.95" customHeight="1" x14ac:dyDescent="0.25">
      <c r="C269" s="32" t="s">
        <v>272</v>
      </c>
      <c r="D269" s="33">
        <f>SUM(E270)</f>
        <v>650</v>
      </c>
      <c r="E269" s="34"/>
      <c r="F269" s="40"/>
      <c r="G269" s="40"/>
      <c r="H269" s="40"/>
      <c r="I269" s="35"/>
      <c r="J269" s="36"/>
      <c r="K269" s="49"/>
    </row>
    <row r="270" spans="3:11" s="22" customFormat="1" ht="15.95" hidden="1" customHeight="1" x14ac:dyDescent="0.25">
      <c r="C270" s="37"/>
      <c r="D270" s="38"/>
      <c r="E270" s="39">
        <f>I270*K270</f>
        <v>650</v>
      </c>
      <c r="F270" s="41"/>
      <c r="G270" s="41"/>
      <c r="H270" s="41"/>
      <c r="I270" s="24">
        <v>1</v>
      </c>
      <c r="J270" s="25" t="s">
        <v>166</v>
      </c>
      <c r="K270" s="48">
        <v>650</v>
      </c>
    </row>
    <row r="271" spans="3:11" s="22" customFormat="1" ht="15.95" customHeight="1" x14ac:dyDescent="0.25">
      <c r="C271" s="32" t="s">
        <v>147</v>
      </c>
      <c r="D271" s="33">
        <f>SUM(E272)</f>
        <v>10000</v>
      </c>
      <c r="E271" s="34"/>
      <c r="F271" s="40"/>
      <c r="G271" s="40"/>
      <c r="H271" s="40"/>
      <c r="I271" s="35"/>
      <c r="J271" s="36"/>
      <c r="K271" s="49"/>
    </row>
    <row r="272" spans="3:11" s="22" customFormat="1" ht="15.95" hidden="1" customHeight="1" x14ac:dyDescent="0.25">
      <c r="C272" s="37"/>
      <c r="D272" s="38"/>
      <c r="E272" s="39">
        <f>I272*K272</f>
        <v>10000</v>
      </c>
      <c r="F272" s="41"/>
      <c r="G272" s="41"/>
      <c r="H272" s="41"/>
      <c r="I272" s="24">
        <v>4</v>
      </c>
      <c r="J272" s="25" t="s">
        <v>166</v>
      </c>
      <c r="K272" s="48">
        <v>2500</v>
      </c>
    </row>
    <row r="273" spans="3:11" s="22" customFormat="1" ht="15.95" customHeight="1" x14ac:dyDescent="0.25">
      <c r="C273" s="32" t="s">
        <v>212</v>
      </c>
      <c r="D273" s="33">
        <f>SUM(E274)</f>
        <v>1200</v>
      </c>
      <c r="E273" s="34"/>
      <c r="F273" s="40"/>
      <c r="G273" s="40"/>
      <c r="H273" s="40"/>
      <c r="I273" s="35"/>
      <c r="J273" s="36"/>
      <c r="K273" s="49"/>
    </row>
    <row r="274" spans="3:11" s="22" customFormat="1" ht="15.95" hidden="1" customHeight="1" x14ac:dyDescent="0.25">
      <c r="C274" s="37"/>
      <c r="D274" s="38"/>
      <c r="E274" s="39">
        <f>I274*K274</f>
        <v>1200</v>
      </c>
      <c r="F274" s="41"/>
      <c r="G274" s="41"/>
      <c r="H274" s="41"/>
      <c r="I274" s="24">
        <v>1</v>
      </c>
      <c r="J274" s="25" t="s">
        <v>166</v>
      </c>
      <c r="K274" s="48">
        <v>1200</v>
      </c>
    </row>
    <row r="275" spans="3:11" s="22" customFormat="1" ht="15.95" customHeight="1" x14ac:dyDescent="0.25">
      <c r="C275" s="32" t="s">
        <v>264</v>
      </c>
      <c r="D275" s="33">
        <f>SUM(E276)</f>
        <v>0</v>
      </c>
      <c r="E275" s="34"/>
      <c r="F275" s="40"/>
      <c r="G275" s="40"/>
      <c r="H275" s="40"/>
      <c r="I275" s="35"/>
      <c r="J275" s="36"/>
      <c r="K275" s="49"/>
    </row>
    <row r="276" spans="3:11" s="22" customFormat="1" ht="15.95" hidden="1" customHeight="1" x14ac:dyDescent="0.25">
      <c r="C276" s="37" t="s">
        <v>263</v>
      </c>
      <c r="D276" s="38"/>
      <c r="E276" s="39">
        <f>I276*K276</f>
        <v>0</v>
      </c>
      <c r="F276" s="41"/>
      <c r="G276" s="41"/>
      <c r="H276" s="41"/>
      <c r="I276" s="24">
        <v>0</v>
      </c>
      <c r="J276" s="25" t="s">
        <v>166</v>
      </c>
      <c r="K276" s="48">
        <v>0</v>
      </c>
    </row>
    <row r="277" spans="3:11" ht="15.95" customHeight="1" thickBot="1" x14ac:dyDescent="0.3">
      <c r="C277" s="18" t="s">
        <v>57</v>
      </c>
      <c r="D277" s="14">
        <f>SUM(D2:D276)</f>
        <v>64325.945</v>
      </c>
      <c r="E277" s="15"/>
      <c r="F277" s="53"/>
      <c r="G277" s="53"/>
      <c r="H277" s="53"/>
      <c r="I277" s="53"/>
      <c r="J277" s="53"/>
      <c r="K277" s="53"/>
    </row>
    <row r="278" spans="3:11" ht="15.95" customHeight="1" thickTop="1" x14ac:dyDescent="0.25"/>
  </sheetData>
  <autoFilter ref="C1:K277" xr:uid="{00000000-0009-0000-0000-000000000000}">
    <filterColumn colId="1">
      <customFilters>
        <customFilter operator="notEqual" val=" "/>
      </customFilters>
    </filterColumn>
  </autoFilter>
  <mergeCells count="1">
    <mergeCell ref="F277:K277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2026-03-30T10:19:57Z</dcterms:modified>
</cp:coreProperties>
</file>