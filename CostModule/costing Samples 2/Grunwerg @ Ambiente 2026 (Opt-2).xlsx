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Grunwerg @ Ambiente 2026\Option-2\"/>
    </mc:Choice>
  </mc:AlternateContent>
  <xr:revisionPtr revIDLastSave="0" documentId="13_ncr:1_{C2C5F56B-8C4A-43C8-A416-D892862BBB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112" i="1"/>
  <c r="E136" i="1" l="1"/>
  <c r="E269" i="1" l="1"/>
  <c r="D268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2" i="1" l="1"/>
  <c r="E144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0" i="1" l="1"/>
</calcChain>
</file>

<file path=xl/sharedStrings.xml><?xml version="1.0" encoding="utf-8"?>
<sst xmlns="http://schemas.openxmlformats.org/spreadsheetml/2006/main" count="581" uniqueCount="282">
  <si>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</si>
  <si>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</si>
  <si>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</si>
  <si>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</si>
  <si>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</si>
  <si>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</si>
  <si>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</si>
  <si>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</si>
  <si>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</si>
  <si>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</si>
  <si>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</si>
  <si>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</si>
  <si>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</si>
  <si>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</si>
  <si>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</si>
  <si>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</si>
  <si>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</si>
  <si>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</si>
  <si>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</si>
  <si>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</si>
  <si>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</si>
  <si>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</si>
  <si>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</si>
  <si>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</si>
  <si>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</si>
  <si>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</si>
  <si>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</si>
  <si>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</si>
  <si>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</si>
  <si>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</si>
  <si>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</si>
  <si>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</si>
  <si>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</si>
  <si>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</si>
  <si>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</si>
  <si>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</si>
  <si>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</si>
  <si>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</si>
  <si>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</si>
  <si>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</si>
  <si>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</si>
  <si>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</si>
  <si>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</si>
  <si>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</si>
  <si>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</si>
  <si>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</si>
  <si>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</si>
  <si>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</si>
  <si>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</si>
  <si>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</si>
  <si>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</si>
  <si>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</si>
  <si>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</si>
  <si>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</si>
  <si>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</si>
  <si>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</si>
  <si>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</si>
  <si>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</si>
  <si>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</si>
  <si>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</si>
  <si>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</si>
  <si>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</si>
  <si>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</si>
  <si>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</si>
  <si>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</si>
  <si>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</si>
  <si>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</si>
  <si>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</si>
  <si>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</si>
  <si>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</si>
  <si>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</si>
  <si>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</si>
  <si>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</si>
  <si>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</si>
  <si>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</si>
  <si>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</si>
  <si>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</si>
  <si>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</si>
  <si>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</si>
  <si>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</si>
  <si>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</si>
  <si>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</si>
  <si>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</si>
  <si>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</si>
  <si>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</si>
  <si>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</si>
  <si>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</si>
  <si>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</si>
  <si>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</si>
  <si>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</si>
  <si>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</si>
  <si>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</si>
  <si>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</si>
  <si>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</si>
  <si>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</si>
  <si>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</si>
  <si>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</si>
  <si>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</si>
  <si>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</si>
  <si>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</si>
  <si>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</si>
  <si>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</si>
  <si>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</si>
  <si>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</si>
  <si>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</si>
  <si>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</si>
  <si>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</si>
  <si>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</si>
  <si>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</si>
  <si>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</si>
  <si>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</si>
  <si>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</si>
  <si>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</si>
  <si>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</si>
  <si>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</si>
  <si>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</si>
  <si>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</si>
  <si>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</si>
  <si>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</si>
  <si>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</si>
  <si>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</si>
  <si>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</si>
  <si>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</si>
  <si>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</si>
  <si>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</si>
  <si>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</si>
  <si>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</si>
  <si>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</si>
  <si>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</si>
  <si>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</si>
  <si>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</si>
  <si>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</si>
  <si>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</si>
  <si>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</si>
  <si>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</si>
  <si>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</si>
  <si>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</si>
  <si>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</si>
  <si>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</si>
  <si>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</si>
  <si>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</si>
  <si>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</si>
  <si>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</si>
  <si>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</si>
  <si>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</si>
  <si>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</si>
  <si>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</si>
  <si>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</si>
  <si>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</si>
  <si>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</si>
  <si>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</si>
  <si>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</si>
  <si>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</si>
  <si>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</si>
  <si>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</si>
  <si>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</si>
  <si>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</si>
  <si>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</si>
  <si>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</si>
  <si>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</si>
  <si>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</si>
  <si>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</si>
  <si>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</si>
  <si>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</si>
  <si>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</si>
  <si>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</si>
  <si>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</si>
  <si>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</si>
  <si>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</si>
  <si>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</si>
  <si>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</si>
  <si>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</si>
  <si>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</si>
  <si>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</si>
  <si>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</si>
  <si>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</si>
  <si>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</si>
  <si>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</si>
  <si>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</si>
  <si>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</si>
  <si>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</si>
  <si>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</si>
  <si>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</si>
  <si>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</si>
  <si>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</si>
  <si>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</si>
  <si>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</si>
  <si>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</si>
  <si>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</si>
  <si>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</si>
  <si>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</si>
  <si>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</si>
  <si>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</si>
  <si>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</si>
  <si>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</si>
  <si>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</si>
  <si>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</si>
  <si>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</si>
  <si>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</si>
  <si>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</si>
  <si>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</si>
  <si>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</si>
  <si>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</si>
  <si>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</si>
  <si>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</si>
  <si>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</si>
  <si>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</si>
  <si>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</si>
  <si>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</si>
  <si>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</si>
  <si>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</si>
  <si>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</si>
  <si>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</si>
  <si>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</si>
  <si>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</si>
  <si>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</si>
  <si>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</si>
  <si>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</si>
  <si>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</si>
  <si>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</si>
  <si>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</si>
  <si>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</si>
  <si>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</si>
  <si>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</si>
  <si>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</si>
  <si>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</si>
  <si>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</si>
  <si>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</si>
  <si>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</si>
  <si>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</si>
  <si>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</si>
  <si>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</si>
  <si>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</si>
  <si>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</si>
  <si>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</si>
  <si>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</si>
  <si>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</si>
  <si>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</si>
  <si>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</si>
  <si>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</si>
  <si>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</si>
  <si>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</si>
  <si>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</si>
  <si>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</si>
  <si>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</si>
  <si>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</si>
  <si>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</si>
  <si>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</si>
  <si>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</si>
  <si>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</si>
  <si>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</si>
  <si>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</si>
  <si>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</si>
  <si>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</si>
  <si>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</si>
  <si>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</si>
  <si>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</si>
  <si>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</si>
  <si>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</si>
  <si>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</si>
  <si>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</si>
  <si>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</si>
  <si>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</si>
  <si>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</si>
  <si>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</si>
  <si>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</si>
  <si>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</si>
  <si>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</si>
  <si>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</si>
  <si>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</si>
  <si>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</si>
  <si>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(Laminated)- 2.2 x 1.2 x 1.0</t>
  </si>
  <si>
    <t>Date:- 17-11-2025</t>
  </si>
  <si>
    <t>GRUNWERG</t>
  </si>
  <si>
    <t>Opt Nr:-  2</t>
  </si>
  <si>
    <t>AMBIENTE 2026</t>
  </si>
  <si>
    <t>9M X 8M</t>
  </si>
  <si>
    <t>72 SQM</t>
  </si>
  <si>
    <t>3.5M</t>
  </si>
  <si>
    <t>06-10 FEB, 2026</t>
  </si>
  <si>
    <t>FRANKFURT</t>
  </si>
  <si>
    <t>1 GENIE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</si>
</sst>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1028700</xdr:colOff>
      <xdr:row>264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4DC47-1E66-4B78-89B0-D6589A2C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597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272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273</v>
      </c>
      <c r="C2" s="26" t="s">
        <v>151</v>
      </c>
      <c r="D2" s="27">
        <f>SUM(E3:E11)</f>
        <v>2074.3200000000002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231.66</v>
      </c>
      <c r="F3" s="8"/>
      <c r="G3" s="8"/>
      <c r="H3" s="8"/>
      <c r="I3" s="9">
        <v>81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1737.36</v>
      </c>
      <c r="F8" s="8"/>
      <c r="G8" s="8"/>
      <c r="H8" s="8"/>
      <c r="I8" s="9">
        <v>76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105.3</v>
      </c>
      <c r="F9" s="8"/>
      <c r="G9" s="8"/>
      <c r="H9" s="8"/>
      <c r="I9" s="9">
        <v>26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275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280</v>
      </c>
      <c r="C16" s="26" t="s">
        <v>184</v>
      </c>
      <c r="D16" s="27">
        <f>SUM(E17:E87)</f>
        <v>3977.37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560</v>
      </c>
      <c r="F18" s="8">
        <v>1</v>
      </c>
      <c r="G18" s="8">
        <v>0.1</v>
      </c>
      <c r="H18" s="8">
        <v>2.5</v>
      </c>
      <c r="I18" s="9">
        <v>8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278.83999999999997</v>
      </c>
      <c r="F26" s="8">
        <v>1</v>
      </c>
      <c r="G26" s="8">
        <v>0.1</v>
      </c>
      <c r="H26" s="8">
        <v>3</v>
      </c>
      <c r="I26" s="9">
        <v>4</v>
      </c>
      <c r="J26" s="10" t="s">
        <v>154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69.709999999999994</v>
      </c>
      <c r="F27" s="8">
        <v>1</v>
      </c>
      <c r="G27" s="8">
        <v>0.1</v>
      </c>
      <c r="H27" s="8">
        <v>3</v>
      </c>
      <c r="I27" s="9">
        <v>1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928.59000000000015</v>
      </c>
      <c r="F30" s="8">
        <v>1</v>
      </c>
      <c r="G30" s="8">
        <v>0.1</v>
      </c>
      <c r="H30" s="8">
        <v>3.5</v>
      </c>
      <c r="I30" s="9">
        <v>13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921.91000000000008</v>
      </c>
      <c r="F31" s="8">
        <v>1</v>
      </c>
      <c r="G31" s="8">
        <v>0.1</v>
      </c>
      <c r="H31" s="8">
        <v>3.5</v>
      </c>
      <c r="I31" s="9">
        <v>11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1218.32</v>
      </c>
      <c r="F77" s="8">
        <v>1</v>
      </c>
      <c r="G77" s="8">
        <v>0.2</v>
      </c>
      <c r="H77" s="8">
        <v>6</v>
      </c>
      <c r="I77" s="9">
        <v>8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22" t="s">
        <v>279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276</v>
      </c>
      <c r="C109" s="26" t="s">
        <v>196</v>
      </c>
      <c r="D109" s="27">
        <f>SUM(E110:E131)</f>
        <v>1076.07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6"/>
        <v>1076.07</v>
      </c>
      <c r="F113" s="8">
        <v>2.2000000000000002</v>
      </c>
      <c r="G113" s="8">
        <v>1.2</v>
      </c>
      <c r="H113" s="8">
        <v>1</v>
      </c>
      <c r="I113" s="8">
        <v>3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277</v>
      </c>
      <c r="C132" s="26" t="s">
        <v>204</v>
      </c>
      <c r="D132" s="27">
        <f>SUM(E133:E142)</f>
        <v>154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119</v>
      </c>
      <c r="F137" s="8">
        <v>1</v>
      </c>
      <c r="G137" s="8">
        <v>0</v>
      </c>
      <c r="H137" s="8">
        <v>1</v>
      </c>
      <c r="I137" s="8">
        <v>10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278</v>
      </c>
      <c r="C143" s="26" t="s">
        <v>205</v>
      </c>
      <c r="D143" s="27">
        <f>SUM(E144:E150)</f>
        <v>210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60</v>
      </c>
      <c r="F146" s="8">
        <v>0</v>
      </c>
      <c r="G146" s="8">
        <v>0</v>
      </c>
      <c r="H146" s="8">
        <v>0</v>
      </c>
      <c r="I146" s="8">
        <v>20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150</v>
      </c>
      <c r="F147" s="8">
        <v>0</v>
      </c>
      <c r="G147" s="8">
        <v>0</v>
      </c>
      <c r="H147" s="8">
        <v>0</v>
      </c>
      <c r="I147" s="8">
        <v>3</v>
      </c>
      <c r="J147" s="10" t="s">
        <v>166</v>
      </c>
      <c r="K147" s="30">
        <v>50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2337.2800000000002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142.80000000000001</v>
      </c>
      <c r="F152" s="8"/>
      <c r="G152" s="8"/>
      <c r="H152" s="8"/>
      <c r="I152" s="8">
        <v>12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1100</v>
      </c>
      <c r="F153" s="8"/>
      <c r="G153" s="8"/>
      <c r="H153" s="8"/>
      <c r="I153" s="8">
        <v>22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500</v>
      </c>
      <c r="F158" s="8"/>
      <c r="G158" s="8"/>
      <c r="H158" s="8"/>
      <c r="I158" s="8">
        <v>50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80</v>
      </c>
      <c r="F159" s="12"/>
      <c r="G159" s="12"/>
      <c r="H159" s="12"/>
      <c r="I159" s="8">
        <v>16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324</v>
      </c>
      <c r="F163" s="8"/>
      <c r="G163" s="8"/>
      <c r="H163" s="8"/>
      <c r="I163" s="8">
        <v>80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402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0</v>
      </c>
      <c r="F166" s="12"/>
      <c r="G166" s="12"/>
      <c r="H166" s="12"/>
      <c r="I166" s="8">
        <v>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144</v>
      </c>
      <c r="F167" s="12"/>
      <c r="G167" s="12"/>
      <c r="H167" s="12"/>
      <c r="I167" s="8">
        <v>12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20</v>
      </c>
      <c r="F168" s="12"/>
      <c r="G168" s="12"/>
      <c r="H168" s="12"/>
      <c r="I168" s="8">
        <v>1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50</v>
      </c>
      <c r="F170" s="12"/>
      <c r="G170" s="12"/>
      <c r="H170" s="12"/>
      <c r="I170" s="8">
        <v>2</v>
      </c>
      <c r="J170" s="10" t="s">
        <v>166</v>
      </c>
      <c r="K170" s="30">
        <v>25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105</v>
      </c>
      <c r="F180" s="12"/>
      <c r="G180" s="12"/>
      <c r="H180" s="12"/>
      <c r="I180" s="8">
        <v>3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587.02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417.96000000000004</v>
      </c>
      <c r="F210" s="8">
        <v>1</v>
      </c>
      <c r="G210" s="8">
        <v>1</v>
      </c>
      <c r="H210" s="12"/>
      <c r="I210" s="8">
        <v>27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26.2</v>
      </c>
      <c r="F212" s="8">
        <v>1</v>
      </c>
      <c r="G212" s="8">
        <v>1</v>
      </c>
      <c r="H212" s="12"/>
      <c r="I212" s="8">
        <v>2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142.85999999999999</v>
      </c>
      <c r="F213" s="8">
        <v>1</v>
      </c>
      <c r="G213" s="8">
        <v>1</v>
      </c>
      <c r="H213" s="12"/>
      <c r="I213" s="8">
        <v>1.5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166</v>
      </c>
      <c r="K261" s="48">
        <v>11800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1000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281</v>
      </c>
      <c r="D269" s="38"/>
      <c r="E269" s="39">
        <f>I269*K269</f>
        <v>1000</v>
      </c>
      <c r="F269" s="41"/>
      <c r="G269" s="41"/>
      <c r="H269" s="41"/>
      <c r="I269" s="24">
        <v>1</v>
      </c>
      <c r="J269" s="25" t="s">
        <v>166</v>
      </c>
      <c r="K269" s="48">
        <v>1000</v>
      </c>
    </row>
    <row r="270" spans="3:11" ht="15.95" customHeight="1" thickBot="1" x14ac:dyDescent="0.3">
      <c r="C270" s="18" t="s">
        <v>57</v>
      </c>
      <c r="D270" s="14">
        <f>SUM(D2:D269)</f>
        <v>30318.06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2025-11-17T10:46:43Z</dcterms:modified>
</cp:coreProperties>
</file>