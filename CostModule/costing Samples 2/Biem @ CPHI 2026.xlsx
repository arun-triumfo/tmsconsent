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Biem @ CPHI 2026\Option-3\"/>
    </mc:Choice>
  </mc:AlternateContent>
  <xr:revisionPtr revIDLastSave="0" documentId="13_ncr:1_{8F688227-E309-45E7-9E8B-752C40717D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65" i="1"/>
  <c r="E265" i="1" l="1"/>
  <c r="D264" i="1" s="1"/>
  <c r="E136" i="1" l="1"/>
  <c r="E271" i="1" l="1"/>
  <c r="D270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9" i="1" l="1"/>
  <c r="D268" i="1" s="1"/>
  <c r="E267" i="1"/>
  <c r="D266" i="1" s="1"/>
  <c r="E263" i="1"/>
  <c r="D262" i="1" s="1"/>
  <c r="E261" i="1"/>
  <c r="D260" i="1" s="1"/>
  <c r="E14" i="1" l="1"/>
  <c r="E89" i="1" l="1"/>
  <c r="D88" i="1" s="1"/>
  <c r="E15" i="1" l="1"/>
  <c r="E84" i="1" l="1"/>
  <c r="E85" i="1"/>
  <c r="E86" i="1"/>
  <c r="E209" i="1" l="1"/>
  <c r="E133" i="1"/>
  <c r="E166" i="1"/>
  <c r="D165" i="1" s="1"/>
  <c r="D208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1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6" i="1"/>
  <c r="E67" i="1"/>
  <c r="E76" i="1"/>
  <c r="E77" i="1"/>
  <c r="E78" i="1"/>
  <c r="E110" i="1"/>
  <c r="E221" i="1"/>
  <c r="D220" i="1" s="1"/>
  <c r="D16" i="1" l="1"/>
  <c r="D151" i="1"/>
  <c r="D132" i="1"/>
  <c r="D143" i="1"/>
  <c r="D109" i="1"/>
  <c r="D272" i="1" l="1"/>
</calcChain>
</file>

<file path=xl/sharedStrings.xml><?xml version="1.0" encoding="utf-8"?>
<sst xmlns="http://schemas.openxmlformats.org/spreadsheetml/2006/main" count="584" uniqueCount="284">
  <si>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</si>
  <si>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</si>
  <si>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</si>
  <si>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</si>
  <si>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</si>
  <si>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</si>
  <si>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</si>
  <si>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</si>
  <si>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</si>
  <si>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</si>
  <si>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</si>
  <si>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</si>
  <si>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</si>
  <si>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</si>
  <si>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</si>
  <si>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</si>
  <si>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</si>
  <si>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</si>
  <si>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</si>
  <si>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</si>
  <si>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</si>
  <si>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</si>
  <si>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</si>
  <si>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</si>
  <si>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</si>
  <si>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</si>
  <si>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</si>
  <si>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</si>
  <si>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</si>
  <si>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</si>
  <si>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</si>
  <si>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</si>
  <si>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</si>
  <si>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</si>
  <si>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</si>
  <si>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</si>
  <si>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</si>
  <si>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</si>
  <si>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</si>
  <si>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</si>
  <si>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</si>
  <si>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</si>
  <si>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</si>
  <si>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</si>
  <si>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</si>
  <si>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</si>
  <si>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</si>
  <si>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</si>
  <si>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</si>
  <si>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</si>
  <si>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</si>
  <si>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</si>
  <si>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</si>
  <si>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</si>
  <si>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</si>
  <si>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</si>
  <si>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</si>
  <si>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</si>
  <si>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</si>
  <si>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</si>
  <si>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</si>
  <si>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</si>
  <si>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</si>
  <si>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</si>
  <si>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</si>
  <si>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</si>
  <si>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</si>
  <si>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</si>
  <si>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</si>
  <si>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</si>
  <si>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</si>
  <si>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</si>
  <si>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</si>
  <si>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</si>
  <si>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</si>
  <si>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</si>
  <si>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</si>
  <si>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</si>
  <si>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</si>
  <si>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</si>
  <si>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</si>
  <si>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</si>
  <si>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</si>
  <si>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</si>
  <si>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</si>
  <si>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</si>
  <si>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</si>
  <si>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</si>
  <si>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</si>
  <si>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</si>
  <si>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</si>
  <si>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</si>
  <si>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</si>
  <si>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</si>
  <si>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</si>
  <si>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</si>
  <si>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</si>
  <si>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</si>
  <si>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</si>
  <si>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</si>
  <si>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</si>
  <si>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</si>
  <si>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</si>
  <si>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</si>
  <si>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</si>
  <si>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</si>
  <si>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</si>
  <si>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</si>
  <si>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</si>
  <si>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</si>
  <si>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</si>
  <si>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</si>
  <si>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</si>
  <si>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</si>
  <si>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</si>
  <si>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</si>
  <si>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</si>
  <si>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</si>
  <si>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</si>
  <si>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</si>
  <si>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</si>
  <si>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</si>
  <si>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</si>
  <si>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</si>
  <si>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</si>
  <si>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</si>
  <si>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</si>
  <si>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</si>
  <si>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</si>
  <si>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</si>
  <si>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</si>
  <si>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</si>
  <si>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</si>
  <si>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</si>
  <si>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</si>
  <si>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</si>
  <si>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</si>
  <si>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</si>
  <si>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</si>
  <si>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</si>
  <si>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</si>
  <si>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</si>
  <si>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</si>
  <si>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</si>
  <si>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</si>
  <si>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</si>
  <si>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</si>
  <si>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</si>
  <si>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</si>
  <si>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</si>
  <si>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</si>
  <si>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</si>
  <si>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</si>
  <si>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</si>
  <si>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</si>
  <si>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</si>
  <si>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</si>
  <si>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</si>
  <si>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</si>
  <si>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</si>
  <si>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</si>
  <si>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</si>
  <si>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</si>
  <si>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</si>
  <si>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</si>
  <si>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</si>
  <si>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</si>
  <si>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</si>
  <si>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</si>
  <si>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</si>
  <si>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</si>
  <si>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</si>
  <si>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</si>
  <si>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</si>
  <si>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</si>
  <si>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</si>
  <si>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</si>
  <si>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</si>
  <si>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</si>
  <si>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</si>
  <si>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</si>
  <si>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</si>
  <si>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</si>
  <si>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</si>
  <si>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</si>
  <si>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</si>
  <si>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</si>
  <si>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</si>
  <si>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</si>
  <si>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</si>
  <si>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</si>
  <si>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</si>
  <si>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</si>
  <si>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</si>
  <si>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</si>
  <si>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</si>
  <si>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</si>
  <si>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</si>
  <si>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</si>
  <si>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</si>
  <si>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</si>
  <si>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</si>
  <si>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</si>
  <si>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</si>
  <si>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</si>
  <si>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</si>
  <si>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</si>
  <si>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</si>
  <si>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</si>
  <si>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</si>
  <si>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</si>
  <si>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</si>
  <si>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</si>
  <si>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</si>
  <si>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</si>
  <si>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</si>
  <si>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</si>
  <si>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</si>
  <si>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</si>
  <si>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</si>
  <si>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</si>
  <si>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</si>
  <si>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</si>
  <si>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</si>
  <si>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</si>
  <si>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</si>
  <si>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</si>
  <si>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</si>
  <si>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</si>
  <si>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</si>
  <si>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</si>
  <si>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</si>
  <si>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</si>
  <si>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</si>
  <si>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</si>
  <si>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</si>
  <si>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</si>
  <si>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</si>
  <si>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</si>
  <si>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</si>
  <si>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</si>
  <si>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</si>
  <si>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</si>
  <si>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</si>
  <si>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</si>
  <si>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</si>
  <si>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</si>
  <si>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</si>
  <si>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</si>
  <si>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</si>
  <si>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</si>
  <si>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</si>
  <si>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</si>
  <si>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</si>
  <si>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</si>
  <si>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</si>
  <si>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</si>
  <si>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</si>
  <si>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</si>
  <si>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</si>
  <si>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</si>
  <si>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</si>
  <si>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</si>
  <si>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</si>
  <si>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</si>
  <si>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</si>
  <si>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</si>
  <si>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</si>
  <si>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</si>
  <si>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</si>
  <si>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</si>
  <si>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FABRIC</t>
  </si>
  <si>
    <t>Reception Counter (Laminated)- 2.0 x 0.5 x 1.0</t>
  </si>
  <si>
    <t xml:space="preserve">COFFEE TABLE </t>
  </si>
  <si>
    <t>Opt Nr:-  1</t>
  </si>
  <si>
    <t>Date:- 29-04-2026</t>
  </si>
  <si>
    <t>BEIM</t>
  </si>
  <si>
    <t>CPHI 2026</t>
  </si>
  <si>
    <t>12M X 9M</t>
  </si>
  <si>
    <t>108 SQM</t>
  </si>
  <si>
    <t>4M</t>
  </si>
  <si>
    <t>06-08 October, 2026</t>
  </si>
  <si>
    <t>MILAN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</si>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</sst>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1047750</xdr:colOff>
      <xdr:row>265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04975-FC25-48FE-A4C8-6C871A61B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105025" cy="1457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D274" sqref="D27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276</v>
      </c>
      <c r="C2" s="26" t="s">
        <v>150</v>
      </c>
      <c r="D2" s="27">
        <f>SUM(E3:E11)</f>
        <v>2878.42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1614.77</v>
      </c>
      <c r="F5" s="8"/>
      <c r="G5" s="8"/>
      <c r="H5" s="8"/>
      <c r="I5" s="9">
        <v>113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1130</v>
      </c>
      <c r="F7" s="8"/>
      <c r="G7" s="8"/>
      <c r="H7" s="8"/>
      <c r="I7" s="9">
        <v>113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133.65</v>
      </c>
      <c r="F9" s="8"/>
      <c r="G9" s="8"/>
      <c r="H9" s="8"/>
      <c r="I9" s="9">
        <v>33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277</v>
      </c>
      <c r="C12" s="26" t="s">
        <v>193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282</v>
      </c>
      <c r="C16" s="26" t="s">
        <v>183</v>
      </c>
      <c r="D16" s="27">
        <f>SUM(E17:E87)</f>
        <v>3865.0299999999997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610.74</v>
      </c>
      <c r="F33" s="8">
        <v>1</v>
      </c>
      <c r="G33" s="8">
        <v>0.1</v>
      </c>
      <c r="H33" s="8">
        <v>4</v>
      </c>
      <c r="I33" s="9">
        <v>9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1573.6899999999998</v>
      </c>
      <c r="F34" s="8">
        <v>1</v>
      </c>
      <c r="G34" s="8">
        <v>0.1</v>
      </c>
      <c r="H34" s="8">
        <v>4</v>
      </c>
      <c r="I34" s="9">
        <v>17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231.42000000000002</v>
      </c>
      <c r="F52" s="8">
        <v>1</v>
      </c>
      <c r="G52" s="8">
        <v>0.2</v>
      </c>
      <c r="H52" s="8">
        <v>2.5</v>
      </c>
      <c r="I52" s="9">
        <v>3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2:11" ht="15.95" hidden="1" customHeight="1" x14ac:dyDescent="0.25">
      <c r="B64" s="29" t="s">
        <v>248</v>
      </c>
      <c r="C64" s="7" t="s">
        <v>31</v>
      </c>
      <c r="D64" s="7"/>
      <c r="E64" s="8">
        <f t="shared" si="2"/>
        <v>1008</v>
      </c>
      <c r="F64" s="8">
        <v>1</v>
      </c>
      <c r="G64" s="8">
        <v>0.2</v>
      </c>
      <c r="H64" s="8">
        <v>4</v>
      </c>
      <c r="I64" s="9">
        <v>8</v>
      </c>
      <c r="J64" s="10" t="s">
        <v>155</v>
      </c>
      <c r="K64" s="30">
        <v>126</v>
      </c>
    </row>
    <row r="65" spans="1:11" ht="15.95" hidden="1" customHeight="1" x14ac:dyDescent="0.25">
      <c r="C65" s="7" t="s">
        <v>271</v>
      </c>
      <c r="D65" s="7"/>
      <c r="E65" s="8">
        <f t="shared" ref="E65" si="3">I65*K65</f>
        <v>441.18</v>
      </c>
      <c r="F65" s="8"/>
      <c r="G65" s="8"/>
      <c r="H65" s="8"/>
      <c r="I65" s="9">
        <v>28.5</v>
      </c>
      <c r="J65" s="10" t="s">
        <v>110</v>
      </c>
      <c r="K65" s="30">
        <v>15.48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1:11" ht="15.95" hidden="1" customHeight="1" x14ac:dyDescent="0.25">
      <c r="C68" s="7" t="s">
        <v>68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C69" s="7" t="s">
        <v>69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ht="15.95" hidden="1" customHeight="1" x14ac:dyDescent="0.25">
      <c r="C71" s="7" t="s">
        <v>137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1:11" ht="15.95" hidden="1" customHeight="1" x14ac:dyDescent="0.25">
      <c r="C72" s="7" t="s">
        <v>66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67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94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4" t="s">
        <v>281</v>
      </c>
      <c r="C88" s="26" t="s">
        <v>194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263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264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278</v>
      </c>
      <c r="C109" s="26" t="s">
        <v>195</v>
      </c>
      <c r="D109" s="27">
        <f>SUM(E110:E131)</f>
        <v>285.70999999999998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267</v>
      </c>
      <c r="D110" s="7"/>
      <c r="E110" s="8">
        <f t="shared" ref="E110:E131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268</v>
      </c>
      <c r="D112" s="7"/>
      <c r="E112" s="8">
        <f t="shared" ref="E112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6"/>
        <v>285.70999999999998</v>
      </c>
      <c r="F113" s="8">
        <v>2</v>
      </c>
      <c r="G113" s="8">
        <v>0.5</v>
      </c>
      <c r="H113" s="8">
        <v>1</v>
      </c>
      <c r="I113" s="8">
        <v>1</v>
      </c>
      <c r="J113" s="10" t="s">
        <v>165</v>
      </c>
      <c r="K113" s="30">
        <v>285.70999999999998</v>
      </c>
    </row>
    <row r="114" spans="2:11" s="4" customFormat="1" ht="15.95" hidden="1" customHeight="1" x14ac:dyDescent="0.25">
      <c r="C114" s="7" t="s">
        <v>254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165</v>
      </c>
      <c r="K114" s="30">
        <v>302.29000000000002</v>
      </c>
    </row>
    <row r="115" spans="2:11" s="4" customFormat="1" ht="15.95" hidden="1" customHeight="1" x14ac:dyDescent="0.25">
      <c r="C115" s="7" t="s">
        <v>252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604.02</v>
      </c>
    </row>
    <row r="116" spans="2:11" s="4" customFormat="1" ht="15.95" hidden="1" customHeight="1" x14ac:dyDescent="0.25">
      <c r="C116" s="7" t="s">
        <v>255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423.86</v>
      </c>
    </row>
    <row r="117" spans="2:11" s="4" customFormat="1" ht="15.95" hidden="1" customHeight="1" x14ac:dyDescent="0.25">
      <c r="C117" s="7" t="s">
        <v>156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165</v>
      </c>
      <c r="K117" s="30">
        <v>595.24</v>
      </c>
    </row>
    <row r="118" spans="2:11" s="4" customFormat="1" ht="15.95" hidden="1" customHeight="1" x14ac:dyDescent="0.25">
      <c r="C118" s="7" t="s">
        <v>196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165</v>
      </c>
      <c r="K118" s="30">
        <v>161.9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165</v>
      </c>
      <c r="K119" s="30">
        <v>190.48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165</v>
      </c>
      <c r="K120" s="30">
        <v>216.67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165</v>
      </c>
      <c r="K121" s="30">
        <v>154.76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165</v>
      </c>
      <c r="K122" s="30">
        <v>177.98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260.12</v>
      </c>
    </row>
    <row r="124" spans="2:11" s="4" customFormat="1" ht="15.95" hidden="1" customHeight="1" x14ac:dyDescent="0.25">
      <c r="B124" s="29" t="s">
        <v>248</v>
      </c>
      <c r="C124" s="7" t="s">
        <v>119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165</v>
      </c>
      <c r="K124" s="30">
        <v>210</v>
      </c>
    </row>
    <row r="125" spans="2:11" s="4" customFormat="1" ht="15.95" hidden="1" customHeight="1" x14ac:dyDescent="0.25">
      <c r="C125" s="7" t="s">
        <v>124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165</v>
      </c>
      <c r="K125" s="30">
        <v>223.81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165</v>
      </c>
      <c r="K126" s="30">
        <v>65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165</v>
      </c>
      <c r="K127" s="30">
        <v>35</v>
      </c>
    </row>
    <row r="128" spans="2:11" s="4" customFormat="1" ht="15.95" hidden="1" customHeight="1" x14ac:dyDescent="0.25">
      <c r="B128" s="29" t="s">
        <v>248</v>
      </c>
      <c r="C128" s="7" t="s">
        <v>54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165</v>
      </c>
      <c r="K128" s="30">
        <v>12</v>
      </c>
    </row>
    <row r="129" spans="1:11" s="4" customFormat="1" ht="15.95" hidden="1" customHeight="1" x14ac:dyDescent="0.25">
      <c r="C129" s="7" t="s">
        <v>129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110</v>
      </c>
      <c r="K129" s="30">
        <v>21.9</v>
      </c>
    </row>
    <row r="130" spans="1:11" s="4" customFormat="1" ht="15.95" hidden="1" customHeight="1" x14ac:dyDescent="0.25">
      <c r="C130" s="7" t="s">
        <v>202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165</v>
      </c>
      <c r="K130" s="30">
        <v>177.98</v>
      </c>
    </row>
    <row r="131" spans="1:11" s="4" customFormat="1" ht="15.95" hidden="1" customHeight="1" x14ac:dyDescent="0.25">
      <c r="C131" s="7" t="s">
        <v>177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165</v>
      </c>
      <c r="K131" s="30">
        <v>383.33</v>
      </c>
    </row>
    <row r="132" spans="1:11" s="4" customFormat="1" ht="15.95" customHeight="1" x14ac:dyDescent="0.25">
      <c r="A132" s="21" t="s">
        <v>142</v>
      </c>
      <c r="B132" s="4" t="s">
        <v>279</v>
      </c>
      <c r="C132" s="26" t="s">
        <v>203</v>
      </c>
      <c r="D132" s="27">
        <f>SUM(E133:E142)</f>
        <v>1265.9749999999999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248</v>
      </c>
      <c r="C133" s="7" t="s">
        <v>48</v>
      </c>
      <c r="D133" s="7"/>
      <c r="E133" s="8">
        <f t="shared" ref="E133:E142" si="8">I133*K133</f>
        <v>35</v>
      </c>
      <c r="F133" s="12"/>
      <c r="G133" s="12"/>
      <c r="H133" s="12"/>
      <c r="I133" s="8">
        <v>1</v>
      </c>
      <c r="J133" s="10" t="s">
        <v>165</v>
      </c>
      <c r="K133" s="30">
        <v>35</v>
      </c>
    </row>
    <row r="134" spans="1:11" s="4" customFormat="1" ht="15.95" hidden="1" customHeight="1" x14ac:dyDescent="0.25">
      <c r="B134" s="29" t="s">
        <v>248</v>
      </c>
      <c r="C134" s="7" t="s">
        <v>49</v>
      </c>
      <c r="D134" s="7"/>
      <c r="E134" s="8">
        <f t="shared" si="8"/>
        <v>100</v>
      </c>
      <c r="F134" s="8"/>
      <c r="G134" s="8"/>
      <c r="H134" s="8"/>
      <c r="I134" s="8">
        <v>2</v>
      </c>
      <c r="J134" s="10" t="s">
        <v>165</v>
      </c>
      <c r="K134" s="30">
        <v>50</v>
      </c>
    </row>
    <row r="135" spans="1:11" s="4" customFormat="1" ht="15.95" hidden="1" customHeight="1" x14ac:dyDescent="0.25">
      <c r="B135" s="29" t="s">
        <v>248</v>
      </c>
      <c r="C135" s="7" t="s">
        <v>269</v>
      </c>
      <c r="D135" s="7"/>
      <c r="E135" s="8">
        <f t="shared" si="8"/>
        <v>1130.9749999999999</v>
      </c>
      <c r="F135" s="8">
        <v>1</v>
      </c>
      <c r="G135" s="8">
        <v>0</v>
      </c>
      <c r="H135" s="8">
        <v>2</v>
      </c>
      <c r="I135" s="8">
        <v>9.5</v>
      </c>
      <c r="J135" s="10" t="s">
        <v>165</v>
      </c>
      <c r="K135" s="30">
        <v>119.05</v>
      </c>
    </row>
    <row r="136" spans="1:11" s="4" customFormat="1" ht="15.95" hidden="1" customHeight="1" x14ac:dyDescent="0.25">
      <c r="C136" s="7" t="s">
        <v>121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110</v>
      </c>
      <c r="K136" s="30">
        <v>28.57</v>
      </c>
    </row>
    <row r="137" spans="1:11" s="4" customFormat="1" ht="15.95" hidden="1" customHeight="1" x14ac:dyDescent="0.25">
      <c r="C137" s="7" t="s">
        <v>73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165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165</v>
      </c>
      <c r="K138" s="30">
        <v>136.9</v>
      </c>
    </row>
    <row r="139" spans="1:11" s="4" customFormat="1" ht="15.95" hidden="1" customHeight="1" x14ac:dyDescent="0.25">
      <c r="C139" s="7" t="s">
        <v>170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110</v>
      </c>
      <c r="K139" s="30">
        <v>22.62</v>
      </c>
    </row>
    <row r="140" spans="1:11" s="4" customFormat="1" ht="15.95" hidden="1" customHeight="1" x14ac:dyDescent="0.25">
      <c r="C140" s="7" t="s">
        <v>161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110</v>
      </c>
      <c r="K140" s="30">
        <v>83.33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32.14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38.1</v>
      </c>
    </row>
    <row r="143" spans="1:11" s="4" customFormat="1" ht="15.95" customHeight="1" x14ac:dyDescent="0.25">
      <c r="A143" s="21" t="s">
        <v>141</v>
      </c>
      <c r="B143" s="4" t="s">
        <v>280</v>
      </c>
      <c r="C143" s="26" t="s">
        <v>204</v>
      </c>
      <c r="D143" s="27">
        <f>SUM(E144:E150)</f>
        <v>193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266</v>
      </c>
      <c r="D144" s="7"/>
      <c r="E144" s="8">
        <f t="shared" ref="E144:E150" si="9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165</v>
      </c>
      <c r="K144" s="30">
        <v>109.52</v>
      </c>
    </row>
    <row r="145" spans="2:11" s="4" customFormat="1" ht="15.95" hidden="1" customHeight="1" x14ac:dyDescent="0.25">
      <c r="C145" s="7" t="s">
        <v>85</v>
      </c>
      <c r="D145" s="7"/>
      <c r="E145" s="8">
        <f t="shared" si="9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165</v>
      </c>
      <c r="K145" s="30">
        <v>219.05</v>
      </c>
    </row>
    <row r="146" spans="2:11" s="4" customFormat="1" ht="15.95" hidden="1" customHeight="1" x14ac:dyDescent="0.25">
      <c r="C146" s="7" t="s">
        <v>179</v>
      </c>
      <c r="D146" s="7"/>
      <c r="E146" s="8">
        <f t="shared" si="9"/>
        <v>48</v>
      </c>
      <c r="F146" s="8">
        <v>0</v>
      </c>
      <c r="G146" s="8">
        <v>0</v>
      </c>
      <c r="H146" s="8">
        <v>0</v>
      </c>
      <c r="I146" s="8">
        <v>16</v>
      </c>
      <c r="J146" s="10" t="s">
        <v>165</v>
      </c>
      <c r="K146" s="30">
        <v>3</v>
      </c>
    </row>
    <row r="147" spans="2:11" s="4" customFormat="1" ht="15.95" hidden="1" customHeight="1" x14ac:dyDescent="0.25">
      <c r="C147" s="7" t="s">
        <v>52</v>
      </c>
      <c r="D147" s="7"/>
      <c r="E147" s="8">
        <f t="shared" si="9"/>
        <v>25</v>
      </c>
      <c r="F147" s="8">
        <v>0</v>
      </c>
      <c r="G147" s="8">
        <v>0</v>
      </c>
      <c r="H147" s="8">
        <v>0</v>
      </c>
      <c r="I147" s="8">
        <v>1</v>
      </c>
      <c r="J147" s="10" t="s">
        <v>165</v>
      </c>
      <c r="K147" s="30">
        <v>25</v>
      </c>
    </row>
    <row r="148" spans="2:11" s="4" customFormat="1" ht="15.95" hidden="1" customHeight="1" x14ac:dyDescent="0.25">
      <c r="B148" s="29" t="s">
        <v>248</v>
      </c>
      <c r="C148" s="7" t="s">
        <v>71</v>
      </c>
      <c r="D148" s="7"/>
      <c r="E148" s="8">
        <f t="shared" si="9"/>
        <v>0</v>
      </c>
      <c r="F148" s="8">
        <v>0.5</v>
      </c>
      <c r="G148" s="8">
        <v>0.5</v>
      </c>
      <c r="H148" s="8"/>
      <c r="I148" s="8">
        <v>0</v>
      </c>
      <c r="J148" s="10" t="s">
        <v>110</v>
      </c>
      <c r="K148" s="30">
        <v>25</v>
      </c>
    </row>
    <row r="149" spans="2:11" s="4" customFormat="1" ht="15.95" hidden="1" customHeight="1" x14ac:dyDescent="0.25">
      <c r="C149" s="7" t="s">
        <v>90</v>
      </c>
      <c r="D149" s="7"/>
      <c r="E149" s="8">
        <f t="shared" si="9"/>
        <v>0</v>
      </c>
      <c r="F149" s="8"/>
      <c r="G149" s="8"/>
      <c r="H149" s="8"/>
      <c r="I149" s="8">
        <v>0</v>
      </c>
      <c r="J149" s="10" t="s">
        <v>165</v>
      </c>
      <c r="K149" s="30">
        <v>25</v>
      </c>
    </row>
    <row r="150" spans="2:11" s="4" customFormat="1" ht="15.95" hidden="1" customHeight="1" x14ac:dyDescent="0.25">
      <c r="C150" s="7" t="s">
        <v>247</v>
      </c>
      <c r="D150" s="7"/>
      <c r="E150" s="8">
        <f t="shared" si="9"/>
        <v>120</v>
      </c>
      <c r="F150" s="8"/>
      <c r="G150" s="8"/>
      <c r="H150" s="8"/>
      <c r="I150" s="8">
        <v>6</v>
      </c>
      <c r="J150" s="10" t="s">
        <v>165</v>
      </c>
      <c r="K150" s="30">
        <v>20</v>
      </c>
    </row>
    <row r="151" spans="2:11" s="4" customFormat="1" ht="15.95" customHeight="1" x14ac:dyDescent="0.25">
      <c r="C151" s="26" t="s">
        <v>131</v>
      </c>
      <c r="D151" s="27">
        <f>SUM(E152:E164)</f>
        <v>771.48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248</v>
      </c>
      <c r="C152" s="7" t="s">
        <v>19</v>
      </c>
      <c r="D152" s="7"/>
      <c r="E152" s="8">
        <f t="shared" ref="E152:E164" si="10">I152*K152</f>
        <v>0</v>
      </c>
      <c r="F152" s="8"/>
      <c r="G152" s="8"/>
      <c r="H152" s="8"/>
      <c r="I152" s="8">
        <v>0</v>
      </c>
      <c r="J152" s="10" t="s">
        <v>165</v>
      </c>
      <c r="K152" s="30">
        <v>11.9</v>
      </c>
    </row>
    <row r="153" spans="2:11" s="4" customFormat="1" ht="15.95" hidden="1" customHeight="1" x14ac:dyDescent="0.25">
      <c r="B153" s="29" t="s">
        <v>248</v>
      </c>
      <c r="C153" s="7" t="s">
        <v>61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165</v>
      </c>
      <c r="K153" s="30">
        <v>50</v>
      </c>
    </row>
    <row r="154" spans="2:11" s="4" customFormat="1" ht="15.95" hidden="1" customHeight="1" x14ac:dyDescent="0.25">
      <c r="B154" s="29" t="s">
        <v>248</v>
      </c>
      <c r="C154" s="7" t="s">
        <v>62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165</v>
      </c>
      <c r="K154" s="30">
        <v>65</v>
      </c>
    </row>
    <row r="155" spans="2:11" s="4" customFormat="1" ht="15.95" hidden="1" customHeight="1" x14ac:dyDescent="0.25">
      <c r="C155" s="7" t="s">
        <v>81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23.81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165</v>
      </c>
      <c r="K156" s="30">
        <v>14.29</v>
      </c>
    </row>
    <row r="157" spans="2:11" s="4" customFormat="1" ht="15.95" hidden="1" customHeight="1" x14ac:dyDescent="0.25">
      <c r="B157" s="29" t="s">
        <v>248</v>
      </c>
      <c r="C157" s="7" t="s">
        <v>63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165</v>
      </c>
      <c r="K157" s="30">
        <v>10</v>
      </c>
    </row>
    <row r="158" spans="2:11" s="4" customFormat="1" ht="15.95" hidden="1" customHeight="1" x14ac:dyDescent="0.25">
      <c r="B158" s="29" t="s">
        <v>248</v>
      </c>
      <c r="C158" s="7" t="s">
        <v>18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165</v>
      </c>
      <c r="K158" s="30">
        <v>10</v>
      </c>
    </row>
    <row r="159" spans="2:11" s="4" customFormat="1" ht="15.95" hidden="1" customHeight="1" x14ac:dyDescent="0.25">
      <c r="C159" s="7" t="s">
        <v>50</v>
      </c>
      <c r="D159" s="7"/>
      <c r="E159" s="8">
        <f t="shared" si="10"/>
        <v>100</v>
      </c>
      <c r="F159" s="12"/>
      <c r="G159" s="12"/>
      <c r="H159" s="12"/>
      <c r="I159" s="8">
        <v>20</v>
      </c>
      <c r="J159" s="10" t="s">
        <v>165</v>
      </c>
      <c r="K159" s="30">
        <v>5</v>
      </c>
    </row>
    <row r="160" spans="2:11" s="4" customFormat="1" ht="15.95" hidden="1" customHeight="1" x14ac:dyDescent="0.25">
      <c r="B160" s="29" t="s">
        <v>248</v>
      </c>
      <c r="C160" s="7" t="s">
        <v>17</v>
      </c>
      <c r="D160" s="7"/>
      <c r="E160" s="8">
        <f t="shared" si="10"/>
        <v>238</v>
      </c>
      <c r="F160" s="8"/>
      <c r="G160" s="8"/>
      <c r="H160" s="8"/>
      <c r="I160" s="8">
        <v>20</v>
      </c>
      <c r="J160" s="10" t="s">
        <v>165</v>
      </c>
      <c r="K160" s="30">
        <v>11.9</v>
      </c>
    </row>
    <row r="161" spans="3:11" s="4" customFormat="1" ht="15.95" hidden="1" customHeight="1" x14ac:dyDescent="0.25">
      <c r="C161" s="7" t="s">
        <v>55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165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165</v>
      </c>
      <c r="K162" s="30">
        <v>2.38</v>
      </c>
    </row>
    <row r="163" spans="3:11" ht="15.95" hidden="1" customHeight="1" x14ac:dyDescent="0.25">
      <c r="C163" s="7" t="s">
        <v>187</v>
      </c>
      <c r="D163" s="7"/>
      <c r="E163" s="8">
        <f t="shared" si="10"/>
        <v>243</v>
      </c>
      <c r="F163" s="8"/>
      <c r="G163" s="8"/>
      <c r="H163" s="8"/>
      <c r="I163" s="8">
        <v>60</v>
      </c>
      <c r="J163" s="10" t="s">
        <v>149</v>
      </c>
      <c r="K163" s="30">
        <v>4.05</v>
      </c>
    </row>
    <row r="164" spans="3:11" s="4" customFormat="1" ht="15.95" hidden="1" customHeight="1" x14ac:dyDescent="0.25">
      <c r="C164" s="7" t="s">
        <v>157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165</v>
      </c>
      <c r="K164" s="30">
        <v>190.48</v>
      </c>
    </row>
    <row r="165" spans="3:11" s="4" customFormat="1" ht="15.95" customHeight="1" x14ac:dyDescent="0.25">
      <c r="C165" s="26" t="s">
        <v>205</v>
      </c>
      <c r="D165" s="27">
        <f>SUM(E166:E207)</f>
        <v>1227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150</v>
      </c>
      <c r="F166" s="12"/>
      <c r="G166" s="12"/>
      <c r="H166" s="12"/>
      <c r="I166" s="8">
        <v>10</v>
      </c>
      <c r="J166" s="10" t="s">
        <v>165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336</v>
      </c>
      <c r="F167" s="12"/>
      <c r="G167" s="12"/>
      <c r="H167" s="12"/>
      <c r="I167" s="8">
        <v>28</v>
      </c>
      <c r="J167" s="10" t="s">
        <v>165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80</v>
      </c>
      <c r="F168" s="12"/>
      <c r="G168" s="12"/>
      <c r="H168" s="12"/>
      <c r="I168" s="8">
        <v>4</v>
      </c>
      <c r="J168" s="10" t="s">
        <v>165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30</v>
      </c>
      <c r="F169" s="12"/>
      <c r="G169" s="12"/>
      <c r="H169" s="12"/>
      <c r="I169" s="8">
        <v>2</v>
      </c>
      <c r="J169" s="10" t="s">
        <v>165</v>
      </c>
      <c r="K169" s="30">
        <v>15</v>
      </c>
    </row>
    <row r="170" spans="3:11" s="4" customFormat="1" ht="15.95" hidden="1" customHeight="1" x14ac:dyDescent="0.25">
      <c r="C170" s="7" t="s">
        <v>80</v>
      </c>
      <c r="D170" s="7"/>
      <c r="E170" s="8">
        <f t="shared" si="11"/>
        <v>50</v>
      </c>
      <c r="F170" s="12"/>
      <c r="G170" s="12"/>
      <c r="H170" s="12"/>
      <c r="I170" s="8">
        <v>2</v>
      </c>
      <c r="J170" s="10" t="s">
        <v>165</v>
      </c>
      <c r="K170" s="30">
        <v>25</v>
      </c>
    </row>
    <row r="171" spans="3:11" s="4" customFormat="1" ht="15.95" hidden="1" customHeight="1" x14ac:dyDescent="0.25">
      <c r="C171" s="7" t="s">
        <v>178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165</v>
      </c>
      <c r="K171" s="30">
        <v>385</v>
      </c>
    </row>
    <row r="172" spans="3:11" s="4" customFormat="1" ht="15.95" hidden="1" customHeight="1" x14ac:dyDescent="0.25">
      <c r="C172" s="7" t="s">
        <v>79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165</v>
      </c>
      <c r="K172" s="30">
        <v>130</v>
      </c>
    </row>
    <row r="173" spans="3:11" s="4" customFormat="1" ht="15.95" hidden="1" customHeight="1" x14ac:dyDescent="0.25">
      <c r="C173" s="7" t="s">
        <v>78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165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340</v>
      </c>
      <c r="F175" s="12"/>
      <c r="G175" s="12"/>
      <c r="H175" s="12"/>
      <c r="I175" s="8">
        <v>4</v>
      </c>
      <c r="J175" s="10" t="s">
        <v>165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165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165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40</v>
      </c>
      <c r="F178" s="12"/>
      <c r="G178" s="12"/>
      <c r="H178" s="12"/>
      <c r="I178" s="8">
        <v>5</v>
      </c>
      <c r="J178" s="10" t="s">
        <v>165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30</v>
      </c>
      <c r="F179" s="12"/>
      <c r="G179" s="12"/>
      <c r="H179" s="12"/>
      <c r="I179" s="8">
        <v>2</v>
      </c>
      <c r="J179" s="10" t="s">
        <v>165</v>
      </c>
      <c r="K179" s="30">
        <v>15</v>
      </c>
    </row>
    <row r="180" spans="3:11" s="4" customFormat="1" ht="15.95" hidden="1" customHeight="1" x14ac:dyDescent="0.25">
      <c r="C180" s="7" t="s">
        <v>189</v>
      </c>
      <c r="D180" s="7"/>
      <c r="E180" s="8">
        <f t="shared" si="11"/>
        <v>70</v>
      </c>
      <c r="F180" s="12"/>
      <c r="G180" s="12"/>
      <c r="H180" s="12"/>
      <c r="I180" s="8">
        <v>2</v>
      </c>
      <c r="J180" s="10" t="s">
        <v>165</v>
      </c>
      <c r="K180" s="30">
        <v>35</v>
      </c>
    </row>
    <row r="181" spans="3:11" s="4" customFormat="1" ht="15.95" hidden="1" customHeight="1" x14ac:dyDescent="0.25">
      <c r="C181" s="7" t="s">
        <v>60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165</v>
      </c>
      <c r="K181" s="30">
        <v>85</v>
      </c>
    </row>
    <row r="182" spans="3:11" s="4" customFormat="1" ht="15.95" hidden="1" customHeight="1" x14ac:dyDescent="0.25">
      <c r="C182" s="7" t="s">
        <v>57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165</v>
      </c>
      <c r="K182" s="30">
        <v>35</v>
      </c>
    </row>
    <row r="183" spans="3:11" s="4" customFormat="1" ht="15.95" hidden="1" customHeight="1" x14ac:dyDescent="0.25">
      <c r="C183" s="7" t="s">
        <v>59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165</v>
      </c>
      <c r="K183" s="30">
        <v>25</v>
      </c>
    </row>
    <row r="184" spans="3:11" s="4" customFormat="1" ht="15.95" hidden="1" customHeight="1" x14ac:dyDescent="0.25">
      <c r="C184" s="7" t="s">
        <v>134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165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165</v>
      </c>
      <c r="K185" s="30">
        <v>12</v>
      </c>
    </row>
    <row r="186" spans="3:11" s="4" customFormat="1" ht="15.95" hidden="1" customHeight="1" x14ac:dyDescent="0.25">
      <c r="C186" s="7" t="s">
        <v>273</v>
      </c>
      <c r="D186" s="7"/>
      <c r="E186" s="8">
        <f t="shared" si="11"/>
        <v>50</v>
      </c>
      <c r="F186" s="12"/>
      <c r="G186" s="12"/>
      <c r="H186" s="12"/>
      <c r="I186" s="8">
        <v>2</v>
      </c>
      <c r="J186" s="10" t="s">
        <v>165</v>
      </c>
      <c r="K186" s="30">
        <v>25</v>
      </c>
    </row>
    <row r="187" spans="3:11" s="4" customFormat="1" ht="15.95" hidden="1" customHeight="1" x14ac:dyDescent="0.25">
      <c r="C187" s="7" t="s">
        <v>53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165</v>
      </c>
      <c r="K187" s="30">
        <v>150</v>
      </c>
    </row>
    <row r="188" spans="3:11" s="4" customFormat="1" ht="15.95" hidden="1" customHeight="1" x14ac:dyDescent="0.25">
      <c r="C188" s="7" t="s">
        <v>206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165</v>
      </c>
      <c r="K188" s="30">
        <v>15</v>
      </c>
    </row>
    <row r="189" spans="3:11" s="4" customFormat="1" ht="15.95" hidden="1" customHeight="1" x14ac:dyDescent="0.25">
      <c r="C189" s="7" t="s">
        <v>158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207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165</v>
      </c>
      <c r="K190" s="30">
        <v>600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165</v>
      </c>
      <c r="K191" s="30">
        <v>85</v>
      </c>
    </row>
    <row r="192" spans="3:11" s="4" customFormat="1" ht="15.95" hidden="1" customHeight="1" x14ac:dyDescent="0.25">
      <c r="C192" s="7" t="s">
        <v>256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165</v>
      </c>
      <c r="K192" s="30">
        <v>210</v>
      </c>
    </row>
    <row r="193" spans="2:11" s="4" customFormat="1" ht="15.95" hidden="1" customHeight="1" x14ac:dyDescent="0.25">
      <c r="C193" s="7" t="s">
        <v>86</v>
      </c>
      <c r="D193" s="7"/>
      <c r="E193" s="8">
        <f t="shared" si="11"/>
        <v>16</v>
      </c>
      <c r="F193" s="8"/>
      <c r="G193" s="8"/>
      <c r="H193" s="8"/>
      <c r="I193" s="8">
        <v>2</v>
      </c>
      <c r="J193" s="10" t="s">
        <v>165</v>
      </c>
      <c r="K193" s="30">
        <v>8</v>
      </c>
    </row>
    <row r="194" spans="2:11" s="4" customFormat="1" ht="15.95" hidden="1" customHeight="1" x14ac:dyDescent="0.25">
      <c r="C194" s="7" t="s">
        <v>72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C195" s="7" t="s">
        <v>83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B196" s="29" t="s">
        <v>248</v>
      </c>
      <c r="C196" s="7" t="s">
        <v>84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165</v>
      </c>
      <c r="K196" s="30">
        <v>25</v>
      </c>
    </row>
    <row r="197" spans="2:11" s="4" customFormat="1" ht="15.95" hidden="1" customHeight="1" x14ac:dyDescent="0.25">
      <c r="C197" s="7" t="s">
        <v>87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165</v>
      </c>
      <c r="K197" s="30">
        <v>85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165</v>
      </c>
      <c r="K198" s="30">
        <v>15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165</v>
      </c>
      <c r="K199" s="30">
        <v>5</v>
      </c>
    </row>
    <row r="200" spans="2:11" s="4" customFormat="1" ht="15.95" hidden="1" customHeight="1" x14ac:dyDescent="0.25">
      <c r="C200" s="7" t="s">
        <v>91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165</v>
      </c>
      <c r="K200" s="30">
        <v>12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165</v>
      </c>
      <c r="K201" s="30">
        <v>25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165</v>
      </c>
      <c r="K202" s="30">
        <v>20</v>
      </c>
    </row>
    <row r="203" spans="2:11" s="4" customFormat="1" ht="15.95" hidden="1" customHeight="1" x14ac:dyDescent="0.25">
      <c r="C203" s="7" t="s">
        <v>120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165</v>
      </c>
      <c r="K203" s="30">
        <v>6</v>
      </c>
    </row>
    <row r="204" spans="2:11" s="4" customFormat="1" ht="15.95" hidden="1" customHeight="1" x14ac:dyDescent="0.25">
      <c r="C204" s="7" t="s">
        <v>122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165</v>
      </c>
      <c r="K204" s="30">
        <v>3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165</v>
      </c>
      <c r="K205" s="30">
        <v>35</v>
      </c>
    </row>
    <row r="206" spans="2:11" s="4" customFormat="1" ht="15.95" hidden="1" customHeight="1" x14ac:dyDescent="0.25">
      <c r="C206" s="7" t="s">
        <v>246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165</v>
      </c>
      <c r="K206" s="30">
        <v>20</v>
      </c>
    </row>
    <row r="207" spans="2:11" s="4" customFormat="1" ht="15.95" hidden="1" customHeight="1" x14ac:dyDescent="0.25">
      <c r="C207" s="7" t="s">
        <v>245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165</v>
      </c>
      <c r="K207" s="30">
        <v>85</v>
      </c>
    </row>
    <row r="208" spans="2:11" s="4" customFormat="1" ht="15.95" customHeight="1" x14ac:dyDescent="0.25">
      <c r="C208" s="26" t="s">
        <v>182</v>
      </c>
      <c r="D208" s="27">
        <f>SUM(E209:E219)</f>
        <v>1278.8879999999999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243</v>
      </c>
      <c r="D209" s="7"/>
      <c r="E209" s="8">
        <f t="shared" ref="E209:E219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110</v>
      </c>
      <c r="K209" s="30">
        <v>10.71</v>
      </c>
    </row>
    <row r="210" spans="3:11" s="4" customFormat="1" ht="15.95" hidden="1" customHeight="1" x14ac:dyDescent="0.25">
      <c r="C210" s="7" t="s">
        <v>242</v>
      </c>
      <c r="D210" s="7"/>
      <c r="E210" s="8">
        <f t="shared" si="12"/>
        <v>557.28</v>
      </c>
      <c r="F210" s="8">
        <v>1</v>
      </c>
      <c r="G210" s="8">
        <v>1</v>
      </c>
      <c r="H210" s="12"/>
      <c r="I210" s="8">
        <v>36</v>
      </c>
      <c r="J210" s="10" t="s">
        <v>110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2"/>
        <v>92.88</v>
      </c>
      <c r="F211" s="8">
        <v>1</v>
      </c>
      <c r="G211" s="8">
        <v>1</v>
      </c>
      <c r="H211" s="12"/>
      <c r="I211" s="8">
        <v>6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190</v>
      </c>
      <c r="D212" s="7"/>
      <c r="E212" s="8">
        <f t="shared" si="12"/>
        <v>117.89999999999999</v>
      </c>
      <c r="F212" s="8">
        <v>1</v>
      </c>
      <c r="G212" s="8">
        <v>1</v>
      </c>
      <c r="H212" s="12"/>
      <c r="I212" s="8">
        <v>9</v>
      </c>
      <c r="J212" s="10" t="s">
        <v>110</v>
      </c>
      <c r="K212" s="30">
        <v>13.1</v>
      </c>
    </row>
    <row r="213" spans="3:11" s="4" customFormat="1" ht="15.95" hidden="1" customHeight="1" x14ac:dyDescent="0.25">
      <c r="C213" s="7" t="s">
        <v>257</v>
      </c>
      <c r="D213" s="7"/>
      <c r="E213" s="8">
        <f t="shared" si="12"/>
        <v>209.52799999999999</v>
      </c>
      <c r="F213" s="8">
        <v>1</v>
      </c>
      <c r="G213" s="8">
        <v>1</v>
      </c>
      <c r="H213" s="12"/>
      <c r="I213" s="8">
        <v>2.2000000000000002</v>
      </c>
      <c r="J213" s="10" t="s">
        <v>110</v>
      </c>
      <c r="K213" s="30">
        <v>95.24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110</v>
      </c>
      <c r="K214" s="30">
        <v>47.62</v>
      </c>
    </row>
    <row r="215" spans="3:11" s="4" customFormat="1" ht="15.95" hidden="1" customHeight="1" x14ac:dyDescent="0.25">
      <c r="C215" s="7" t="s">
        <v>70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35.71</v>
      </c>
    </row>
    <row r="216" spans="3:11" s="4" customFormat="1" ht="15.95" hidden="1" customHeight="1" x14ac:dyDescent="0.25">
      <c r="C216" s="7" t="s">
        <v>121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28.57</v>
      </c>
    </row>
    <row r="217" spans="3:11" s="4" customFormat="1" ht="15.95" hidden="1" customHeight="1" x14ac:dyDescent="0.25">
      <c r="C217" s="7" t="s">
        <v>51</v>
      </c>
      <c r="D217" s="7"/>
      <c r="E217" s="8">
        <f t="shared" si="12"/>
        <v>301.3</v>
      </c>
      <c r="F217" s="8">
        <v>1</v>
      </c>
      <c r="G217" s="8">
        <v>1</v>
      </c>
      <c r="H217" s="12"/>
      <c r="I217" s="8">
        <v>23</v>
      </c>
      <c r="J217" s="10" t="s">
        <v>110</v>
      </c>
      <c r="K217" s="30">
        <v>13.1</v>
      </c>
    </row>
    <row r="218" spans="3:11" s="4" customFormat="1" ht="15.95" hidden="1" customHeight="1" x14ac:dyDescent="0.25">
      <c r="C218" s="7" t="s">
        <v>244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10.71</v>
      </c>
    </row>
    <row r="220" spans="3:11" s="4" customFormat="1" ht="15.95" customHeight="1" x14ac:dyDescent="0.25">
      <c r="C220" s="26" t="s">
        <v>181</v>
      </c>
      <c r="D220" s="27">
        <f>SUM(E221:E259)</f>
        <v>1400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3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165</v>
      </c>
      <c r="K221" s="30">
        <v>320</v>
      </c>
    </row>
    <row r="222" spans="3:11" s="4" customFormat="1" ht="15.95" hidden="1" customHeight="1" x14ac:dyDescent="0.25">
      <c r="C222" s="7" t="s">
        <v>212</v>
      </c>
      <c r="D222" s="7"/>
      <c r="E222" s="8">
        <f t="shared" si="13"/>
        <v>0</v>
      </c>
      <c r="F222" s="8"/>
      <c r="G222" s="8"/>
      <c r="H222" s="8"/>
      <c r="I222" s="8">
        <v>0</v>
      </c>
      <c r="J222" s="10" t="s">
        <v>165</v>
      </c>
      <c r="K222" s="30">
        <v>210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165</v>
      </c>
      <c r="K223" s="30">
        <v>180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165</v>
      </c>
      <c r="K225" s="30">
        <v>110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165</v>
      </c>
      <c r="K226" s="30">
        <v>310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165</v>
      </c>
      <c r="K227" s="30">
        <v>160</v>
      </c>
    </row>
    <row r="228" spans="3:11" s="4" customFormat="1" ht="15.95" hidden="1" customHeight="1" x14ac:dyDescent="0.25">
      <c r="C228" s="7" t="s">
        <v>58</v>
      </c>
      <c r="D228" s="7"/>
      <c r="E228" s="8">
        <f t="shared" si="13"/>
        <v>0</v>
      </c>
      <c r="F228" s="12"/>
      <c r="G228" s="12"/>
      <c r="H228" s="12"/>
      <c r="I228" s="8">
        <v>0</v>
      </c>
      <c r="J228" s="10" t="s">
        <v>165</v>
      </c>
      <c r="K228" s="30">
        <v>10</v>
      </c>
    </row>
    <row r="229" spans="3:11" s="4" customFormat="1" ht="15.95" hidden="1" customHeight="1" x14ac:dyDescent="0.25">
      <c r="C229" s="7" t="s">
        <v>221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165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165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165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165</v>
      </c>
      <c r="K232" s="30">
        <v>220</v>
      </c>
    </row>
    <row r="233" spans="3:11" s="4" customFormat="1" ht="15.95" hidden="1" customHeight="1" x14ac:dyDescent="0.25">
      <c r="C233" s="7" t="s">
        <v>180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165</v>
      </c>
      <c r="K234" s="30">
        <v>250</v>
      </c>
    </row>
    <row r="235" spans="3:11" s="4" customFormat="1" ht="15.95" hidden="1" customHeight="1" x14ac:dyDescent="0.25">
      <c r="C235" s="7" t="s">
        <v>209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165</v>
      </c>
      <c r="K235" s="30">
        <v>390</v>
      </c>
    </row>
    <row r="236" spans="3:11" s="4" customFormat="1" ht="15.95" hidden="1" customHeight="1" x14ac:dyDescent="0.25">
      <c r="C236" s="7" t="s">
        <v>235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165</v>
      </c>
      <c r="K236" s="30">
        <v>460</v>
      </c>
    </row>
    <row r="237" spans="3:11" s="4" customFormat="1" ht="15.95" hidden="1" customHeight="1" x14ac:dyDescent="0.25">
      <c r="C237" s="7" t="s">
        <v>210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165</v>
      </c>
      <c r="K237" s="30">
        <v>850</v>
      </c>
    </row>
    <row r="238" spans="3:11" s="4" customFormat="1" ht="15.95" hidden="1" customHeight="1" x14ac:dyDescent="0.25">
      <c r="C238" s="7" t="s">
        <v>186</v>
      </c>
      <c r="D238" s="7"/>
      <c r="E238" s="8">
        <f t="shared" si="13"/>
        <v>1400</v>
      </c>
      <c r="F238" s="8"/>
      <c r="G238" s="8"/>
      <c r="H238" s="8"/>
      <c r="I238" s="8">
        <v>1</v>
      </c>
      <c r="J238" s="10" t="s">
        <v>165</v>
      </c>
      <c r="K238" s="30">
        <v>1400</v>
      </c>
    </row>
    <row r="239" spans="3:11" s="4" customFormat="1" ht="15.95" hidden="1" customHeight="1" x14ac:dyDescent="0.25">
      <c r="C239" s="7" t="s">
        <v>237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165</v>
      </c>
      <c r="K239" s="30">
        <v>360</v>
      </c>
    </row>
    <row r="240" spans="3:11" s="4" customFormat="1" ht="15.95" hidden="1" customHeight="1" x14ac:dyDescent="0.25">
      <c r="C240" s="7" t="s">
        <v>240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165</v>
      </c>
      <c r="K240" s="30">
        <v>550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165</v>
      </c>
      <c r="K241" s="30">
        <v>580</v>
      </c>
    </row>
    <row r="242" spans="3:11" s="4" customFormat="1" ht="15.95" hidden="1" customHeight="1" x14ac:dyDescent="0.25">
      <c r="C242" s="7" t="s">
        <v>233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165</v>
      </c>
      <c r="K242" s="30">
        <v>680</v>
      </c>
    </row>
    <row r="243" spans="3:11" s="4" customFormat="1" ht="15.95" hidden="1" customHeight="1" x14ac:dyDescent="0.25">
      <c r="C243" s="7" t="s">
        <v>238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165</v>
      </c>
      <c r="K243" s="30">
        <v>750</v>
      </c>
    </row>
    <row r="244" spans="3:11" s="4" customFormat="1" ht="15.95" hidden="1" customHeight="1" x14ac:dyDescent="0.25">
      <c r="C244" s="7" t="s">
        <v>234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165</v>
      </c>
      <c r="K244" s="30">
        <v>340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165</v>
      </c>
      <c r="K245" s="30">
        <v>160</v>
      </c>
    </row>
    <row r="246" spans="3:11" s="4" customFormat="1" ht="15.95" hidden="1" customHeight="1" x14ac:dyDescent="0.25">
      <c r="C246" s="7" t="s">
        <v>236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165</v>
      </c>
      <c r="K246" s="30">
        <v>130</v>
      </c>
    </row>
    <row r="247" spans="3:11" s="4" customFormat="1" ht="15.95" hidden="1" customHeight="1" x14ac:dyDescent="0.25">
      <c r="C247" s="7" t="s">
        <v>226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222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165</v>
      </c>
      <c r="K248" s="30">
        <v>400</v>
      </c>
    </row>
    <row r="249" spans="3:11" s="4" customFormat="1" ht="15.95" hidden="1" customHeight="1" x14ac:dyDescent="0.25">
      <c r="C249" s="7" t="s">
        <v>224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165</v>
      </c>
      <c r="K249" s="30">
        <v>260</v>
      </c>
    </row>
    <row r="250" spans="3:11" s="4" customFormat="1" ht="15.95" hidden="1" customHeight="1" x14ac:dyDescent="0.25">
      <c r="C250" s="7" t="s">
        <v>230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165</v>
      </c>
      <c r="K250" s="30">
        <v>180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165</v>
      </c>
      <c r="K251" s="30">
        <v>120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165</v>
      </c>
      <c r="K252" s="30">
        <v>220</v>
      </c>
    </row>
    <row r="253" spans="3:11" s="4" customFormat="1" ht="15.95" hidden="1" customHeight="1" x14ac:dyDescent="0.25">
      <c r="C253" s="7" t="s">
        <v>225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165</v>
      </c>
      <c r="K253" s="30">
        <v>230</v>
      </c>
    </row>
    <row r="254" spans="3:11" s="4" customFormat="1" ht="15.95" hidden="1" customHeight="1" x14ac:dyDescent="0.25">
      <c r="C254" s="7" t="s">
        <v>227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228</v>
      </c>
      <c r="K254" s="30">
        <v>500</v>
      </c>
    </row>
    <row r="255" spans="3:11" s="4" customFormat="1" ht="15.95" hidden="1" customHeight="1" x14ac:dyDescent="0.25">
      <c r="C255" s="7" t="s">
        <v>229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165</v>
      </c>
      <c r="K255" s="30">
        <v>180</v>
      </c>
    </row>
    <row r="256" spans="3:11" s="4" customFormat="1" ht="15.95" hidden="1" customHeight="1" x14ac:dyDescent="0.25">
      <c r="C256" s="7" t="s">
        <v>223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165</v>
      </c>
      <c r="K256" s="30">
        <v>260</v>
      </c>
    </row>
    <row r="257" spans="3:11" s="4" customFormat="1" ht="15.95" hidden="1" customHeight="1" x14ac:dyDescent="0.25">
      <c r="C257" s="7" t="s">
        <v>218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165</v>
      </c>
      <c r="K257" s="30">
        <v>6500</v>
      </c>
    </row>
    <row r="258" spans="3:11" s="4" customFormat="1" ht="15.95" hidden="1" customHeight="1" x14ac:dyDescent="0.25">
      <c r="C258" s="7" t="s">
        <v>220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165</v>
      </c>
      <c r="K258" s="30">
        <v>8800</v>
      </c>
    </row>
    <row r="259" spans="3:11" s="4" customFormat="1" ht="15.95" hidden="1" customHeight="1" x14ac:dyDescent="0.25">
      <c r="C259" s="7" t="s">
        <v>219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165</v>
      </c>
      <c r="K259" s="30">
        <v>1050</v>
      </c>
    </row>
    <row r="260" spans="3:11" s="22" customFormat="1" ht="15.95" customHeight="1" x14ac:dyDescent="0.25">
      <c r="C260" s="32" t="s">
        <v>147</v>
      </c>
      <c r="D260" s="33">
        <f>SUM(E261)</f>
        <v>15000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15000</v>
      </c>
      <c r="F261" s="24"/>
      <c r="G261" s="24"/>
      <c r="H261" s="24"/>
      <c r="I261" s="24">
        <v>1</v>
      </c>
      <c r="J261" s="25" t="s">
        <v>165</v>
      </c>
      <c r="K261" s="48">
        <v>15000</v>
      </c>
    </row>
    <row r="262" spans="3:11" s="22" customFormat="1" ht="15.95" customHeight="1" x14ac:dyDescent="0.25">
      <c r="C262" s="32" t="s">
        <v>145</v>
      </c>
      <c r="D262" s="33">
        <f>SUM(E263)</f>
        <v>7000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7000</v>
      </c>
      <c r="F263" s="41"/>
      <c r="G263" s="41"/>
      <c r="H263" s="41"/>
      <c r="I263" s="24">
        <v>4</v>
      </c>
      <c r="J263" s="25" t="s">
        <v>148</v>
      </c>
      <c r="K263" s="48">
        <v>1750</v>
      </c>
    </row>
    <row r="264" spans="3:11" s="22" customFormat="1" ht="15.95" customHeight="1" x14ac:dyDescent="0.25">
      <c r="C264" s="32" t="s">
        <v>270</v>
      </c>
      <c r="D264" s="33">
        <f>SUM(E265)</f>
        <v>800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800</v>
      </c>
      <c r="F265" s="41"/>
      <c r="G265" s="41"/>
      <c r="H265" s="41"/>
      <c r="I265" s="24">
        <v>1</v>
      </c>
      <c r="J265" s="25" t="s">
        <v>165</v>
      </c>
      <c r="K265" s="48">
        <v>800</v>
      </c>
    </row>
    <row r="266" spans="3:11" s="22" customFormat="1" ht="15.95" customHeight="1" x14ac:dyDescent="0.25">
      <c r="C266" s="32" t="s">
        <v>146</v>
      </c>
      <c r="D266" s="33">
        <f>SUM(E267)</f>
        <v>9000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9000</v>
      </c>
      <c r="F267" s="41"/>
      <c r="G267" s="41"/>
      <c r="H267" s="41"/>
      <c r="I267" s="24">
        <v>2</v>
      </c>
      <c r="J267" s="25" t="s">
        <v>165</v>
      </c>
      <c r="K267" s="48">
        <v>4500</v>
      </c>
    </row>
    <row r="268" spans="3:11" s="22" customFormat="1" ht="15.95" customHeight="1" x14ac:dyDescent="0.25">
      <c r="C268" s="32" t="s">
        <v>211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165</v>
      </c>
      <c r="K269" s="48">
        <v>1200</v>
      </c>
    </row>
    <row r="270" spans="3:11" s="22" customFormat="1" ht="15.95" customHeight="1" x14ac:dyDescent="0.25">
      <c r="C270" s="32" t="s">
        <v>262</v>
      </c>
      <c r="D270" s="33">
        <f>SUM(E271)</f>
        <v>1000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283</v>
      </c>
      <c r="D271" s="38"/>
      <c r="E271" s="39">
        <f>I271*K271</f>
        <v>1000</v>
      </c>
      <c r="F271" s="41"/>
      <c r="G271" s="41"/>
      <c r="H271" s="41"/>
      <c r="I271" s="24">
        <v>1</v>
      </c>
      <c r="J271" s="25" t="s">
        <v>165</v>
      </c>
      <c r="K271" s="48">
        <v>1000</v>
      </c>
    </row>
    <row r="272" spans="3:11" ht="15.95" customHeight="1" thickBot="1" x14ac:dyDescent="0.3">
      <c r="C272" s="18" t="s">
        <v>56</v>
      </c>
      <c r="D272" s="14">
        <f>SUM(D2:D271)</f>
        <v>47165.502999999997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2026-04-29T10:18:59Z</dcterms:modified>
</cp:coreProperties>
</file>