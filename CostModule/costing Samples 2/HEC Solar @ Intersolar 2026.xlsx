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HEC Solar @ Intersolar 2026\"/>
    </mc:Choice>
  </mc:AlternateContent>
  <xr:revisionPtr revIDLastSave="0" documentId="13_ncr:1_{BFAFC927-99F2-4960-A4B7-598FF70B1F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1" l="1"/>
  <c r="E96" i="1"/>
  <c r="E113" i="1"/>
  <c r="E266" i="1" l="1"/>
  <c r="D265" i="1" s="1"/>
  <c r="E137" i="1" l="1"/>
  <c r="E272" i="1" l="1"/>
  <c r="D271" i="1" s="1"/>
  <c r="E80" i="1" l="1"/>
  <c r="E79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1" i="1"/>
  <c r="E222" i="1"/>
  <c r="D221" i="1" s="1"/>
  <c r="D16" i="1" l="1"/>
  <c r="D152" i="1"/>
  <c r="D133" i="1"/>
  <c r="D144" i="1"/>
  <c r="D110" i="1"/>
  <c r="D273" i="1" l="1"/>
</calcChain>
</file>

<file path=xl/sharedStrings.xml><?xml version="1.0" encoding="utf-8"?>
<sst xmlns="http://schemas.openxmlformats.org/spreadsheetml/2006/main" count="585" uniqueCount="285">
  <si>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</si>
  <si>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</si>
  <si>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</si>
  <si>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</si>
  <si>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</si>
  <si>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</si>
  <si>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</si>
  <si>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</si>
  <si>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</si>
  <si>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</si>
  <si>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</si>
  <si>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</si>
  <si>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</si>
  <si>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</si>
  <si>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</si>
  <si>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</si>
  <si>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</si>
  <si>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</si>
  <si>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</si>
  <si>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</si>
  <si>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</si>
  <si>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</si>
  <si>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</si>
  <si>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</si>
  <si>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</si>
  <si>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</si>
  <si>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</si>
  <si>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</si>
  <si>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</si>
  <si>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</si>
  <si>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</si>
  <si>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</si>
  <si>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</si>
  <si>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</si>
  <si>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</si>
  <si>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</si>
  <si>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</si>
  <si>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</si>
  <si>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</si>
  <si>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</si>
  <si>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</si>
  <si>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</si>
  <si>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</si>
  <si>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</si>
  <si>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</si>
  <si>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</si>
  <si>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</si>
  <si>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</si>
  <si>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</si>
  <si>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</si>
  <si>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</si>
  <si>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</si>
  <si>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</si>
  <si>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</si>
  <si>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</si>
  <si>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</si>
  <si>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</si>
  <si>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</si>
  <si>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</si>
  <si>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</si>
  <si>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</si>
  <si>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</si>
  <si>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</si>
  <si>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</si>
  <si>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</si>
  <si>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</si>
  <si>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</si>
  <si>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</si>
  <si>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</si>
  <si>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</si>
  <si>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</si>
  <si>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</si>
  <si>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</si>
  <si>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</si>
  <si>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</si>
  <si>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</si>
  <si>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</si>
  <si>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</si>
  <si>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</si>
  <si>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</si>
  <si>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</si>
  <si>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</si>
  <si>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</si>
  <si>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</si>
  <si>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</si>
  <si>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</si>
  <si>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</si>
  <si>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</si>
  <si>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</si>
  <si>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</si>
  <si>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</si>
  <si>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</si>
  <si>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</si>
  <si>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</si>
  <si>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</si>
  <si>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</si>
  <si>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</si>
  <si>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</si>
  <si>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</si>
  <si>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</si>
  <si>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</si>
  <si>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</si>
  <si>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</si>
  <si>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</si>
  <si>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</si>
  <si>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</si>
  <si>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</si>
  <si>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</si>
  <si>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</si>
  <si>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</si>
  <si>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</si>
  <si>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</si>
  <si>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</si>
  <si>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</si>
  <si>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</si>
  <si>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</si>
  <si>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</si>
  <si>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</si>
  <si>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</si>
  <si>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</si>
  <si>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</si>
  <si>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</si>
  <si>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</si>
  <si>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</si>
  <si>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</si>
  <si>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</si>
  <si>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</si>
  <si>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</si>
  <si>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</si>
  <si>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</si>
  <si>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</si>
  <si>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</si>
  <si>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</si>
  <si>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</si>
  <si>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</si>
  <si>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</si>
  <si>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</si>
  <si>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</si>
  <si>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</si>
  <si>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</si>
  <si>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</si>
  <si>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</si>
  <si>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</si>
  <si>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</si>
  <si>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</si>
  <si>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</si>
  <si>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</si>
  <si>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</si>
  <si>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</si>
  <si>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</si>
  <si>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</si>
  <si>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</si>
  <si>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</si>
  <si>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</si>
  <si>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</si>
  <si>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</si>
  <si>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</si>
  <si>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</si>
  <si>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</si>
  <si>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</si>
  <si>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</si>
  <si>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</si>
  <si>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</si>
  <si>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</si>
  <si>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</si>
  <si>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</si>
  <si>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</si>
  <si>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</si>
  <si>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</si>
  <si>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</si>
  <si>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</si>
  <si>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</si>
  <si>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</si>
  <si>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</si>
  <si>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</si>
  <si>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</si>
  <si>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</si>
  <si>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</si>
  <si>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</si>
  <si>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</si>
  <si>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</si>
  <si>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</si>
  <si>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</si>
  <si>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</si>
  <si>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</si>
  <si>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</si>
  <si>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</si>
  <si>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</si>
  <si>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</si>
  <si>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</si>
  <si>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</si>
  <si>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</si>
  <si>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</si>
  <si>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</si>
  <si>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</si>
  <si>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</si>
  <si>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</si>
  <si>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</si>
  <si>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</si>
  <si>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</si>
  <si>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</si>
  <si>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</si>
  <si>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</si>
  <si>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</si>
  <si>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</si>
  <si>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</si>
  <si>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</si>
  <si>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</si>
  <si>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</si>
  <si>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</si>
  <si>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</si>
  <si>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</si>
  <si>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</si>
  <si>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</si>
  <si>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</si>
  <si>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</si>
  <si>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</si>
  <si>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</si>
  <si>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</si>
  <si>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</si>
  <si>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</si>
  <si>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</si>
  <si>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</si>
  <si>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</si>
  <si>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</si>
  <si>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</si>
  <si>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</si>
  <si>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</si>
  <si>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</si>
  <si>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</si>
  <si>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</si>
  <si>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</si>
  <si>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</si>
  <si>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</si>
  <si>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</si>
  <si>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</si>
  <si>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</si>
  <si>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</si>
  <si>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</si>
  <si>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</si>
  <si>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</si>
  <si>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</si>
  <si>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</si>
  <si>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</si>
  <si>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</si>
  <si>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</si>
  <si>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</si>
  <si>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</si>
  <si>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</si>
  <si>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</si>
  <si>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</si>
  <si>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</si>
  <si>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</si>
  <si>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</si>
  <si>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</si>
  <si>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</si>
  <si>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</si>
  <si>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</si>
  <si>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</si>
  <si>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</si>
  <si>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</si>
  <si>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</si>
  <si>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</si>
  <si>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</si>
  <si>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</si>
  <si>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</si>
  <si>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</si>
  <si>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</si>
  <si>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</si>
  <si>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</si>
  <si>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</si>
  <si>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</si>
  <si>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(Laminated)- 3.7 x 0.5 x 1.0</t>
  </si>
  <si>
    <t>FABRIC Hanging (4m x 2.5m)</t>
  </si>
  <si>
    <t>COFFEE TABLE</t>
  </si>
  <si>
    <t>FABRIC</t>
  </si>
  <si>
    <t>Opt Nr:-  1</t>
  </si>
  <si>
    <t>Date:- 18-04-2026</t>
  </si>
  <si>
    <t>HEC SOLAR</t>
  </si>
  <si>
    <t>INTERSOLAR 2026</t>
  </si>
  <si>
    <t>10M X 8M</t>
  </si>
  <si>
    <t>80 SQM</t>
  </si>
  <si>
    <t>4M</t>
  </si>
  <si>
    <t>23-25 JUN, 2026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</si>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</sst>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1038225</xdr:colOff>
      <xdr:row>266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EB5E7-A344-419B-B410-06665AB7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095500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I274" sqref="I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278</v>
      </c>
      <c r="C2" s="26" t="s">
        <v>150</v>
      </c>
      <c r="D2" s="27">
        <f>SUM(E3:E11)</f>
        <v>1712.58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799.68</v>
      </c>
      <c r="F4" s="8"/>
      <c r="G4" s="8"/>
      <c r="H4" s="8"/>
      <c r="I4" s="9">
        <v>84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840</v>
      </c>
      <c r="F7" s="8"/>
      <c r="G7" s="8"/>
      <c r="H7" s="8"/>
      <c r="I7" s="9">
        <v>84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72.899999999999991</v>
      </c>
      <c r="F9" s="8"/>
      <c r="G9" s="8"/>
      <c r="H9" s="8"/>
      <c r="I9" s="9">
        <v>18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279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284</v>
      </c>
      <c r="C16" s="26" t="s">
        <v>183</v>
      </c>
      <c r="D16" s="27">
        <f>SUM(E17:E87)</f>
        <v>3554.6499999999996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1221.48</v>
      </c>
      <c r="F33" s="8">
        <v>1</v>
      </c>
      <c r="G33" s="8">
        <v>0.1</v>
      </c>
      <c r="H33" s="8">
        <v>4</v>
      </c>
      <c r="I33" s="9">
        <v>18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1203.4099999999999</v>
      </c>
      <c r="F34" s="8">
        <v>1</v>
      </c>
      <c r="G34" s="8">
        <v>0.1</v>
      </c>
      <c r="H34" s="8">
        <v>4</v>
      </c>
      <c r="I34" s="9">
        <v>13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3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3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3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3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3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630</v>
      </c>
      <c r="F64" s="8">
        <v>1</v>
      </c>
      <c r="G64" s="8">
        <v>0.2</v>
      </c>
      <c r="H64" s="8">
        <v>4</v>
      </c>
      <c r="I64" s="9">
        <v>5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314</v>
      </c>
      <c r="F79" s="24">
        <v>1</v>
      </c>
      <c r="G79" s="24"/>
      <c r="H79" s="24">
        <v>1</v>
      </c>
      <c r="I79" s="44">
        <v>40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s="4" customFormat="1" ht="15.95" hidden="1" customHeight="1" x14ac:dyDescent="0.25">
      <c r="C81" s="7" t="s">
        <v>275</v>
      </c>
      <c r="D81" s="7"/>
      <c r="E81" s="8">
        <f t="shared" si="2"/>
        <v>185.76</v>
      </c>
      <c r="F81" s="8">
        <v>1</v>
      </c>
      <c r="G81" s="8">
        <v>1</v>
      </c>
      <c r="H81" s="12"/>
      <c r="I81" s="44">
        <v>12</v>
      </c>
      <c r="J81" s="10" t="s">
        <v>110</v>
      </c>
      <c r="K81" s="30">
        <v>15.48</v>
      </c>
    </row>
    <row r="82" spans="1:11" ht="15.95" hidden="1" customHeight="1" x14ac:dyDescent="0.25">
      <c r="C82" s="7" t="s">
        <v>94</v>
      </c>
      <c r="D82" s="7"/>
      <c r="E82" s="8">
        <f t="shared" ref="E82:E87" si="3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3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3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3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283</v>
      </c>
      <c r="C88" s="26" t="s">
        <v>194</v>
      </c>
      <c r="D88" s="27">
        <f>SUM(E89:E109)</f>
        <v>1284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9" si="4">I89*K89</f>
        <v>400</v>
      </c>
      <c r="F89" s="24"/>
      <c r="G89" s="24"/>
      <c r="H89" s="24"/>
      <c r="I89" s="24">
        <v>16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4"/>
        <v>60</v>
      </c>
      <c r="F90" s="24"/>
      <c r="G90" s="24"/>
      <c r="H90" s="24"/>
      <c r="I90" s="24">
        <v>6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4"/>
        <v>24</v>
      </c>
      <c r="F91" s="24"/>
      <c r="G91" s="24"/>
      <c r="H91" s="24"/>
      <c r="I91" s="24">
        <v>12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264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265</v>
      </c>
      <c r="D95" s="7"/>
      <c r="E95" s="24">
        <f t="shared" si="4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5">I96*K96</f>
        <v>800</v>
      </c>
      <c r="F96" s="8"/>
      <c r="G96" s="8"/>
      <c r="H96" s="8"/>
      <c r="I96" s="8">
        <v>1</v>
      </c>
      <c r="J96" s="10" t="s">
        <v>165</v>
      </c>
      <c r="K96" s="48">
        <v>800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1000</v>
      </c>
    </row>
    <row r="99" spans="1:11" s="4" customFormat="1" ht="15.95" hidden="1" customHeight="1" x14ac:dyDescent="0.25">
      <c r="B99" s="42"/>
      <c r="C99" s="7" t="s">
        <v>176</v>
      </c>
      <c r="D99" s="7"/>
      <c r="E99" s="24">
        <f t="shared" si="4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165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4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165</v>
      </c>
      <c r="K100" s="48">
        <v>1166.67</v>
      </c>
    </row>
    <row r="101" spans="1:11" s="4" customFormat="1" ht="15.95" hidden="1" customHeight="1" x14ac:dyDescent="0.25">
      <c r="B101" s="42"/>
      <c r="C101" s="7" t="s">
        <v>132</v>
      </c>
      <c r="D101" s="7"/>
      <c r="E101" s="24">
        <f t="shared" si="4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165</v>
      </c>
      <c r="K101" s="48">
        <v>35.71</v>
      </c>
    </row>
    <row r="102" spans="1:11" s="4" customFormat="1" ht="15.95" hidden="1" customHeight="1" x14ac:dyDescent="0.25">
      <c r="B102" s="29" t="s">
        <v>248</v>
      </c>
      <c r="C102" s="7" t="s">
        <v>113</v>
      </c>
      <c r="D102" s="7"/>
      <c r="E102" s="24">
        <f t="shared" si="4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110</v>
      </c>
      <c r="K102" s="48">
        <v>23.33</v>
      </c>
    </row>
    <row r="103" spans="1:11" s="4" customFormat="1" ht="15.95" hidden="1" customHeight="1" x14ac:dyDescent="0.25">
      <c r="B103" s="29" t="s">
        <v>248</v>
      </c>
      <c r="C103" s="7" t="s">
        <v>115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12.86</v>
      </c>
    </row>
    <row r="104" spans="1:11" s="4" customFormat="1" ht="15.95" hidden="1" customHeight="1" x14ac:dyDescent="0.25">
      <c r="B104" s="29" t="s">
        <v>248</v>
      </c>
      <c r="C104" s="7" t="s">
        <v>116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11.9</v>
      </c>
    </row>
    <row r="105" spans="1:11" s="4" customFormat="1" ht="15.95" hidden="1" customHeight="1" x14ac:dyDescent="0.25">
      <c r="B105" s="29" t="s">
        <v>248</v>
      </c>
      <c r="C105" s="7" t="s">
        <v>117</v>
      </c>
      <c r="D105" s="7"/>
      <c r="E105" s="24">
        <f t="shared" si="4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9.52</v>
      </c>
    </row>
    <row r="106" spans="1:11" s="4" customFormat="1" ht="15.95" hidden="1" customHeight="1" x14ac:dyDescent="0.25">
      <c r="C106" s="7" t="s">
        <v>251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110</v>
      </c>
      <c r="K106" s="48">
        <v>15.48</v>
      </c>
    </row>
    <row r="107" spans="1:11" s="4" customFormat="1" ht="15.95" hidden="1" customHeight="1" x14ac:dyDescent="0.25">
      <c r="C107" s="7" t="s">
        <v>114</v>
      </c>
      <c r="D107" s="7"/>
      <c r="E107" s="24">
        <f t="shared" si="4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110</v>
      </c>
      <c r="K107" s="48">
        <v>16.07</v>
      </c>
    </row>
    <row r="108" spans="1:11" s="4" customFormat="1" ht="15.95" hidden="1" customHeight="1" x14ac:dyDescent="0.25">
      <c r="C108" s="7" t="s">
        <v>118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165</v>
      </c>
      <c r="K108" s="48">
        <v>2142.86</v>
      </c>
    </row>
    <row r="109" spans="1:11" s="4" customFormat="1" ht="15.95" hidden="1" customHeight="1" x14ac:dyDescent="0.25">
      <c r="C109" s="7" t="s">
        <v>133</v>
      </c>
      <c r="D109" s="7"/>
      <c r="E109" s="24">
        <f t="shared" si="4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165</v>
      </c>
      <c r="K109" s="48">
        <v>11.9</v>
      </c>
    </row>
    <row r="110" spans="1:11" s="4" customFormat="1" ht="15.95" customHeight="1" x14ac:dyDescent="0.25">
      <c r="A110" s="21" t="s">
        <v>140</v>
      </c>
      <c r="B110" s="4" t="s">
        <v>280</v>
      </c>
      <c r="C110" s="26" t="s">
        <v>195</v>
      </c>
      <c r="D110" s="27">
        <f>SUM(E111:E132)</f>
        <v>423.86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2" si="6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262.86</v>
      </c>
    </row>
    <row r="112" spans="1:11" s="4" customFormat="1" ht="15.95" hidden="1" customHeight="1" x14ac:dyDescent="0.25">
      <c r="C112" s="7" t="s">
        <v>253</v>
      </c>
      <c r="D112" s="7"/>
      <c r="E112" s="8">
        <f t="shared" si="6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564.6</v>
      </c>
    </row>
    <row r="113" spans="2:11" s="4" customFormat="1" ht="15.95" hidden="1" customHeight="1" x14ac:dyDescent="0.25">
      <c r="C113" s="7" t="s">
        <v>269</v>
      </c>
      <c r="D113" s="7"/>
      <c r="E113" s="8">
        <f t="shared" ref="E113" si="7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165</v>
      </c>
      <c r="K113" s="30">
        <v>358.69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6"/>
        <v>423.86</v>
      </c>
      <c r="F114" s="8">
        <v>3.7</v>
      </c>
      <c r="G114" s="8">
        <v>0.5</v>
      </c>
      <c r="H114" s="8">
        <v>1</v>
      </c>
      <c r="I114" s="8">
        <v>1</v>
      </c>
      <c r="J114" s="10" t="s">
        <v>165</v>
      </c>
      <c r="K114" s="30">
        <v>423.86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281</v>
      </c>
      <c r="C133" s="26" t="s">
        <v>203</v>
      </c>
      <c r="D133" s="27">
        <f>SUM(E134:E143)</f>
        <v>85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8"/>
        <v>50</v>
      </c>
      <c r="F135" s="8"/>
      <c r="G135" s="8"/>
      <c r="H135" s="8"/>
      <c r="I135" s="8">
        <v>1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270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282</v>
      </c>
      <c r="C144" s="26" t="s">
        <v>204</v>
      </c>
      <c r="D144" s="27">
        <f>SUM(E145:E151)</f>
        <v>261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200</v>
      </c>
      <c r="F145" s="8">
        <v>3</v>
      </c>
      <c r="G145" s="8">
        <v>0.2</v>
      </c>
      <c r="H145" s="8">
        <v>0.5</v>
      </c>
      <c r="I145" s="8">
        <v>1</v>
      </c>
      <c r="J145" s="10" t="s">
        <v>165</v>
      </c>
      <c r="K145" s="30">
        <v>200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36</v>
      </c>
      <c r="F147" s="8">
        <v>0</v>
      </c>
      <c r="G147" s="8">
        <v>0</v>
      </c>
      <c r="H147" s="8">
        <v>0</v>
      </c>
      <c r="I147" s="8">
        <v>12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25</v>
      </c>
      <c r="F148" s="8">
        <v>0</v>
      </c>
      <c r="G148" s="8">
        <v>0</v>
      </c>
      <c r="H148" s="8">
        <v>0</v>
      </c>
      <c r="I148" s="8">
        <v>1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1124.8800000000001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95.2</v>
      </c>
      <c r="F153" s="8"/>
      <c r="G153" s="8"/>
      <c r="H153" s="8"/>
      <c r="I153" s="8">
        <v>8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200</v>
      </c>
      <c r="F154" s="8"/>
      <c r="G154" s="8"/>
      <c r="H154" s="8"/>
      <c r="I154" s="8">
        <v>4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140</v>
      </c>
      <c r="F159" s="8"/>
      <c r="G159" s="8"/>
      <c r="H159" s="8"/>
      <c r="I159" s="8">
        <v>14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80</v>
      </c>
      <c r="F160" s="12"/>
      <c r="G160" s="12"/>
      <c r="H160" s="12"/>
      <c r="I160" s="8">
        <v>16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95.2</v>
      </c>
      <c r="F161" s="8"/>
      <c r="G161" s="8"/>
      <c r="H161" s="8"/>
      <c r="I161" s="8">
        <v>8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324</v>
      </c>
      <c r="F164" s="8"/>
      <c r="G164" s="8"/>
      <c r="H164" s="8"/>
      <c r="I164" s="8">
        <v>80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664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15</v>
      </c>
      <c r="F167" s="12"/>
      <c r="G167" s="12"/>
      <c r="H167" s="12"/>
      <c r="I167" s="8">
        <v>1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216</v>
      </c>
      <c r="F168" s="12"/>
      <c r="G168" s="12"/>
      <c r="H168" s="12"/>
      <c r="I168" s="8">
        <v>18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60</v>
      </c>
      <c r="F169" s="12"/>
      <c r="G169" s="12"/>
      <c r="H169" s="12"/>
      <c r="I169" s="8">
        <v>3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25</v>
      </c>
      <c r="F171" s="12"/>
      <c r="G171" s="12"/>
      <c r="H171" s="12"/>
      <c r="I171" s="8">
        <v>1</v>
      </c>
      <c r="J171" s="10" t="s">
        <v>165</v>
      </c>
      <c r="K171" s="30">
        <v>25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170</v>
      </c>
      <c r="F176" s="12"/>
      <c r="G176" s="12"/>
      <c r="H176" s="12"/>
      <c r="I176" s="8">
        <v>2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274</v>
      </c>
      <c r="D187" s="7"/>
      <c r="E187" s="8">
        <f t="shared" si="11"/>
        <v>25</v>
      </c>
      <c r="F187" s="12"/>
      <c r="G187" s="12"/>
      <c r="H187" s="12"/>
      <c r="I187" s="8">
        <v>1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894.24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356.04</v>
      </c>
      <c r="F211" s="8">
        <v>1</v>
      </c>
      <c r="G211" s="8">
        <v>1</v>
      </c>
      <c r="H211" s="12"/>
      <c r="I211" s="8">
        <v>23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216.72</v>
      </c>
      <c r="F212" s="8">
        <v>1</v>
      </c>
      <c r="G212" s="8">
        <v>1</v>
      </c>
      <c r="H212" s="12"/>
      <c r="I212" s="8">
        <v>14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104.8</v>
      </c>
      <c r="F213" s="8">
        <v>1</v>
      </c>
      <c r="G213" s="8">
        <v>1</v>
      </c>
      <c r="H213" s="12"/>
      <c r="I213" s="8">
        <v>8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190.48</v>
      </c>
      <c r="F214" s="8">
        <v>1</v>
      </c>
      <c r="G214" s="8">
        <v>1</v>
      </c>
      <c r="H214" s="12"/>
      <c r="I214" s="8">
        <v>2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26.2</v>
      </c>
      <c r="F218" s="8">
        <v>1</v>
      </c>
      <c r="G218" s="8">
        <v>1</v>
      </c>
      <c r="H218" s="12"/>
      <c r="I218" s="8">
        <v>2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11800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11800</v>
      </c>
      <c r="F262" s="24"/>
      <c r="G262" s="24"/>
      <c r="H262" s="24"/>
      <c r="I262" s="24">
        <v>1</v>
      </c>
      <c r="J262" s="25" t="s">
        <v>165</v>
      </c>
      <c r="K262" s="48">
        <v>11800</v>
      </c>
    </row>
    <row r="263" spans="3:11" s="22" customFormat="1" ht="15.95" customHeight="1" x14ac:dyDescent="0.25">
      <c r="C263" s="32" t="s">
        <v>145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148</v>
      </c>
      <c r="K264" s="48">
        <v>1250</v>
      </c>
    </row>
    <row r="265" spans="3:11" s="22" customFormat="1" ht="15.95" customHeight="1" x14ac:dyDescent="0.25">
      <c r="C265" s="32" t="s">
        <v>271</v>
      </c>
      <c r="D265" s="33">
        <f>SUM(E266)</f>
        <v>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</v>
      </c>
      <c r="F266" s="41"/>
      <c r="G266" s="41"/>
      <c r="H266" s="41"/>
      <c r="I266" s="24">
        <v>1</v>
      </c>
      <c r="J266" s="25" t="s">
        <v>165</v>
      </c>
      <c r="K266" s="48">
        <v>500</v>
      </c>
    </row>
    <row r="267" spans="3:11" s="22" customFormat="1" ht="15.95" customHeight="1" x14ac:dyDescent="0.25">
      <c r="C267" s="32" t="s">
        <v>146</v>
      </c>
      <c r="D267" s="33">
        <f>SUM(E268)</f>
        <v>3000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3000</v>
      </c>
      <c r="F268" s="41"/>
      <c r="G268" s="41"/>
      <c r="H268" s="41"/>
      <c r="I268" s="24">
        <v>2</v>
      </c>
      <c r="J268" s="25" t="s">
        <v>165</v>
      </c>
      <c r="K268" s="48">
        <v>1500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263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262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165</v>
      </c>
      <c r="K272" s="48">
        <v>0</v>
      </c>
    </row>
    <row r="273" spans="3:11" ht="15.95" customHeight="1" thickBot="1" x14ac:dyDescent="0.3">
      <c r="C273" s="18" t="s">
        <v>56</v>
      </c>
      <c r="D273" s="14">
        <f>SUM(D2:D272)</f>
        <v>29519.21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2026-04-18T11:13:18Z</dcterms:modified>
</cp:coreProperties>
</file>