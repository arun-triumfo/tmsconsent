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JCB Tools @ Eisenwarenmesse 2026\Option-2\"/>
    </mc:Choice>
  </mc:AlternateContent>
  <xr:revisionPtr revIDLastSave="0" documentId="13_ncr:1_{FF6A3260-B9E6-4377-AB3E-0A72275C43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7" i="1" l="1"/>
  <c r="E116" i="1"/>
  <c r="E118" i="1"/>
  <c r="E64" i="1"/>
  <c r="E138" i="1" l="1"/>
  <c r="E271" i="1" l="1"/>
  <c r="D270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5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9" i="1" l="1"/>
  <c r="D88" i="1" s="1"/>
  <c r="E15" i="1" l="1"/>
  <c r="E84" i="1" l="1"/>
  <c r="E85" i="1"/>
  <c r="E86" i="1"/>
  <c r="E211" i="1" l="1"/>
  <c r="E135" i="1"/>
  <c r="E168" i="1"/>
  <c r="D167" i="1" s="1"/>
  <c r="D210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4" i="1" l="1"/>
  <c r="E146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6" i="1"/>
  <c r="E77" i="1"/>
  <c r="E78" i="1"/>
  <c r="E110" i="1"/>
  <c r="E223" i="1"/>
  <c r="D222" i="1" s="1"/>
  <c r="D16" i="1" l="1"/>
  <c r="D153" i="1"/>
  <c r="D134" i="1"/>
  <c r="D145" i="1"/>
  <c r="D109" i="1"/>
  <c r="D272" i="1" l="1"/>
</calcChain>
</file>

<file path=xl/sharedStrings.xml><?xml version="1.0" encoding="utf-8"?>
<sst xmlns="http://schemas.openxmlformats.org/spreadsheetml/2006/main" count="586" uniqueCount="286">
  <si>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</si>
  <si>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</si>
  <si>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</si>
  <si>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</si>
  <si>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</si>
  <si>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</si>
  <si>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</si>
  <si>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</si>
  <si>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</si>
  <si>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</si>
  <si>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</si>
  <si>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</si>
  <si>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</si>
  <si>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</si>
  <si>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</si>
  <si>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</si>
  <si>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</si>
  <si>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</si>
  <si>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</si>
  <si>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</si>
  <si>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</si>
  <si>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</si>
  <si>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</si>
  <si>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</si>
  <si>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</si>
  <si>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</si>
  <si>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</si>
  <si>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</si>
  <si>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</si>
  <si>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</si>
  <si>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</si>
  <si>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</si>
  <si>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</si>
  <si>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</si>
  <si>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</si>
  <si>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</si>
  <si>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</si>
  <si>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</si>
  <si>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</si>
  <si>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</si>
  <si>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</si>
  <si>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</si>
  <si>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</si>
  <si>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</si>
  <si>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</si>
  <si>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</si>
  <si>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</si>
  <si>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</si>
  <si>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</si>
  <si>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</si>
  <si>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</si>
  <si>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</si>
  <si>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</si>
  <si>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</si>
  <si>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</si>
  <si>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</si>
  <si>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</si>
  <si>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</si>
  <si>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</si>
  <si>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</si>
  <si>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</si>
  <si>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</si>
  <si>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</si>
  <si>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</si>
  <si>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</si>
  <si>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</si>
  <si>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</si>
  <si>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</si>
  <si>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</si>
  <si>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</si>
  <si>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</si>
  <si>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</si>
  <si>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</si>
  <si>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</si>
  <si>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</si>
  <si>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</si>
  <si>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</si>
  <si>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</si>
  <si>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</si>
  <si>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</si>
  <si>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</si>
  <si>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</si>
  <si>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</si>
  <si>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</si>
  <si>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</si>
  <si>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</si>
  <si>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</si>
  <si>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</si>
  <si>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</si>
  <si>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</si>
  <si>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</si>
  <si>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</si>
  <si>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</si>
  <si>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</si>
  <si>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</si>
  <si>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</si>
  <si>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</si>
  <si>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</si>
  <si>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</si>
  <si>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</si>
  <si>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</si>
  <si>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</si>
  <si>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</si>
  <si>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</si>
  <si>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</si>
  <si>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</si>
  <si>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</si>
  <si>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</si>
  <si>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</si>
  <si>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</si>
  <si>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</si>
  <si>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</si>
  <si>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</si>
  <si>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</si>
  <si>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</si>
  <si>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</si>
  <si>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</si>
  <si>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</si>
  <si>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</si>
  <si>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</si>
  <si>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</si>
  <si>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</si>
  <si>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</si>
  <si>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</si>
  <si>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</si>
  <si>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</si>
  <si>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</si>
  <si>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</si>
  <si>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</si>
  <si>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</si>
  <si>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</si>
  <si>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</si>
  <si>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</si>
  <si>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</si>
  <si>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</si>
  <si>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</si>
  <si>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</si>
  <si>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</si>
  <si>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</si>
  <si>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</si>
  <si>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</si>
  <si>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</si>
  <si>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</si>
  <si>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</si>
  <si>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</si>
  <si>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</si>
  <si>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</si>
  <si>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</si>
  <si>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</si>
  <si>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</si>
  <si>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</si>
  <si>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</si>
  <si>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</si>
  <si>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</si>
  <si>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</si>
  <si>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</si>
  <si>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</si>
  <si>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</si>
  <si>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</si>
  <si>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</si>
  <si>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</si>
  <si>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</si>
  <si>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</si>
  <si>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</si>
  <si>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</si>
  <si>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</si>
  <si>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</si>
  <si>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</si>
  <si>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</si>
  <si>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</si>
  <si>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</si>
  <si>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</si>
  <si>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</si>
  <si>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</si>
  <si>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</si>
  <si>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</si>
  <si>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</si>
  <si>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</si>
  <si>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</si>
  <si>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</si>
  <si>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</si>
  <si>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</si>
  <si>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</si>
  <si>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</si>
  <si>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</si>
  <si>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</si>
  <si>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</si>
  <si>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</si>
  <si>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</si>
  <si>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</si>
  <si>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</si>
  <si>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</si>
  <si>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</si>
  <si>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</si>
  <si>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</si>
  <si>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</si>
  <si>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</si>
  <si>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</si>
  <si>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</si>
  <si>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</si>
  <si>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</si>
  <si>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</si>
  <si>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</si>
  <si>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</si>
  <si>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</si>
  <si>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</si>
  <si>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</si>
  <si>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</si>
  <si>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</si>
  <si>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</si>
  <si>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</si>
  <si>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</si>
  <si>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</si>
  <si>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</si>
  <si>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</si>
  <si>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</si>
  <si>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</si>
  <si>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</si>
  <si>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</si>
  <si>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</si>
  <si>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</si>
  <si>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</si>
  <si>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</si>
  <si>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</si>
  <si>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</si>
  <si>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</si>
  <si>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</si>
  <si>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</si>
  <si>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</si>
  <si>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</si>
  <si>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</si>
  <si>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</si>
  <si>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</si>
  <si>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</si>
  <si>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</si>
  <si>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</si>
  <si>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</si>
  <si>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</si>
  <si>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</si>
  <si>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</si>
  <si>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</si>
  <si>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</si>
  <si>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</si>
  <si>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</si>
  <si>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</si>
  <si>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</si>
  <si>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</si>
  <si>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</si>
  <si>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</si>
  <si>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</si>
  <si>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</si>
  <si>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</si>
  <si>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</si>
  <si>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</si>
  <si>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</si>
  <si>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</si>
  <si>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</si>
  <si>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</si>
  <si>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</si>
  <si>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</si>
  <si>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</si>
  <si>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</si>
  <si>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</si>
  <si>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</si>
  <si>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</si>
  <si>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</si>
  <si>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</si>
  <si>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</si>
  <si>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</si>
  <si>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300mm Thick</t>
  </si>
  <si>
    <t>Walls 3m( Single Side) (Ceiling)</t>
  </si>
  <si>
    <t>Reception Counter (Laminated) 4.5 x 0.5 x 1.0</t>
  </si>
  <si>
    <t>Podium (Laminated)- 2.5 x 0.5 x 1.0</t>
  </si>
  <si>
    <t>Cabinate (Laminated)- 3.0 x 0.5 x 1.0</t>
  </si>
  <si>
    <t>Cabinate (Laminated)- 2.0 x 0.5 x 1.0</t>
  </si>
  <si>
    <t>COFFEE TABLE</t>
  </si>
  <si>
    <t>Opt Nr:-  2</t>
  </si>
  <si>
    <t>Date:- 10-11-2025</t>
  </si>
  <si>
    <t>JCB TOOLS</t>
  </si>
  <si>
    <t>Eisenwarenmesse 2026</t>
  </si>
  <si>
    <t>03-06 MAR, 2026</t>
  </si>
  <si>
    <t>COLOGNE</t>
  </si>
  <si>
    <t>13M X 8.5M</t>
  </si>
  <si>
    <t>110.5 SQM</t>
  </si>
  <si>
    <t>4M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</si>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</sst>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1047750</xdr:colOff>
      <xdr:row>267</xdr:row>
      <xdr:rowOff>75910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7F8E1B-27BF-4695-96B0-F6B3A41E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476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C263" sqref="C26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130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264</v>
      </c>
    </row>
    <row r="2" spans="1:11" s="4" customFormat="1" ht="15.95" customHeight="1" x14ac:dyDescent="0.25">
      <c r="A2" s="21" t="s">
        <v>139</v>
      </c>
      <c r="B2" s="4" t="s">
        <v>278</v>
      </c>
      <c r="C2" s="26" t="s">
        <v>150</v>
      </c>
      <c r="D2" s="27">
        <f>SUM(E3:E11)</f>
        <v>4483.5499999999993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1657.6399999999999</v>
      </c>
      <c r="F5" s="8"/>
      <c r="G5" s="8"/>
      <c r="H5" s="8"/>
      <c r="I5" s="9">
        <v>116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2651.7599999999998</v>
      </c>
      <c r="F8" s="8"/>
      <c r="G8" s="8"/>
      <c r="H8" s="8"/>
      <c r="I8" s="9">
        <v>116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174.15</v>
      </c>
      <c r="F9" s="8"/>
      <c r="G9" s="8"/>
      <c r="H9" s="8"/>
      <c r="I9" s="9">
        <v>43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22" t="s">
        <v>279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281</v>
      </c>
      <c r="C16" s="26" t="s">
        <v>183</v>
      </c>
      <c r="D16" s="27">
        <f>SUM(E17:E87)</f>
        <v>4933.04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271.44</v>
      </c>
      <c r="F33" s="8">
        <v>1</v>
      </c>
      <c r="G33" s="8">
        <v>0.1</v>
      </c>
      <c r="H33" s="8">
        <v>4</v>
      </c>
      <c r="I33" s="9">
        <v>4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925.69999999999993</v>
      </c>
      <c r="F34" s="8">
        <v>1</v>
      </c>
      <c r="G34" s="8">
        <v>0.1</v>
      </c>
      <c r="H34" s="8">
        <v>4</v>
      </c>
      <c r="I34" s="9">
        <v>10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270</v>
      </c>
      <c r="D55" s="7"/>
      <c r="E55" s="8">
        <f t="shared" si="2"/>
        <v>1289.1199999999999</v>
      </c>
      <c r="F55" s="8">
        <v>1</v>
      </c>
      <c r="G55" s="8">
        <v>0.2</v>
      </c>
      <c r="H55" s="8">
        <v>3</v>
      </c>
      <c r="I55" s="9">
        <v>16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B64" s="29" t="s">
        <v>248</v>
      </c>
      <c r="C64" s="7" t="s">
        <v>31</v>
      </c>
      <c r="D64" s="7"/>
      <c r="E64" s="8">
        <f t="shared" ref="E64" si="3">I64*K64</f>
        <v>1008</v>
      </c>
      <c r="F64" s="8">
        <v>1</v>
      </c>
      <c r="G64" s="8">
        <v>0.2</v>
      </c>
      <c r="H64" s="8">
        <v>4</v>
      </c>
      <c r="I64" s="9">
        <v>8</v>
      </c>
      <c r="J64" s="10" t="s">
        <v>155</v>
      </c>
      <c r="K64" s="30">
        <v>126</v>
      </c>
    </row>
    <row r="65" spans="1:11" ht="15.95" hidden="1" customHeight="1" x14ac:dyDescent="0.25">
      <c r="B65" s="29"/>
      <c r="C65" s="7" t="s">
        <v>31</v>
      </c>
      <c r="D65" s="7"/>
      <c r="E65" s="8">
        <f t="shared" si="2"/>
        <v>1218.98</v>
      </c>
      <c r="F65" s="8">
        <v>1</v>
      </c>
      <c r="G65" s="8">
        <v>0.3</v>
      </c>
      <c r="H65" s="8">
        <v>4</v>
      </c>
      <c r="I65" s="9">
        <v>7</v>
      </c>
      <c r="J65" s="10" t="s">
        <v>269</v>
      </c>
      <c r="K65" s="30">
        <v>174.14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258</v>
      </c>
      <c r="D80" s="23"/>
      <c r="E80" s="24">
        <f t="shared" si="2"/>
        <v>94.199999999999989</v>
      </c>
      <c r="F80" s="24">
        <v>1</v>
      </c>
      <c r="G80" s="24"/>
      <c r="H80" s="24">
        <v>1</v>
      </c>
      <c r="I80" s="44">
        <v>12</v>
      </c>
      <c r="J80" s="25" t="s">
        <v>259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260</v>
      </c>
      <c r="D81" s="23"/>
      <c r="E81" s="24">
        <f t="shared" si="2"/>
        <v>125.6</v>
      </c>
      <c r="F81" s="24">
        <v>1</v>
      </c>
      <c r="G81" s="24"/>
      <c r="H81" s="24">
        <v>1</v>
      </c>
      <c r="I81" s="44">
        <v>8</v>
      </c>
      <c r="J81" s="25" t="s">
        <v>259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22" t="s">
        <v>280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262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263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282</v>
      </c>
      <c r="C109" s="26" t="s">
        <v>195</v>
      </c>
      <c r="D109" s="27">
        <f>SUM(E110:E133)</f>
        <v>1426.95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266</v>
      </c>
      <c r="D110" s="7"/>
      <c r="E110" s="8">
        <f t="shared" ref="E110:E133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267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254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165</v>
      </c>
      <c r="K113" s="30">
        <v>302.29000000000002</v>
      </c>
    </row>
    <row r="114" spans="2:11" s="4" customFormat="1" ht="15.95" hidden="1" customHeight="1" x14ac:dyDescent="0.25">
      <c r="C114" s="7" t="s">
        <v>252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604.02</v>
      </c>
    </row>
    <row r="115" spans="2:11" s="4" customFormat="1" ht="15.95" hidden="1" customHeight="1" x14ac:dyDescent="0.25">
      <c r="C115" s="7" t="s">
        <v>271</v>
      </c>
      <c r="D115" s="7"/>
      <c r="E115" s="8">
        <f t="shared" si="6"/>
        <v>423.86</v>
      </c>
      <c r="F115" s="8">
        <v>4.5</v>
      </c>
      <c r="G115" s="8">
        <v>0.5</v>
      </c>
      <c r="H115" s="8">
        <v>1</v>
      </c>
      <c r="I115" s="8">
        <v>1</v>
      </c>
      <c r="J115" s="10" t="s">
        <v>165</v>
      </c>
      <c r="K115" s="30">
        <v>423.86</v>
      </c>
    </row>
    <row r="116" spans="2:11" s="4" customFormat="1" ht="15.95" hidden="1" customHeight="1" x14ac:dyDescent="0.25">
      <c r="C116" s="7" t="s">
        <v>272</v>
      </c>
      <c r="D116" s="7"/>
      <c r="E116" s="8">
        <f t="shared" si="6"/>
        <v>358.69</v>
      </c>
      <c r="F116" s="8">
        <v>2.5</v>
      </c>
      <c r="G116" s="8">
        <v>0.5</v>
      </c>
      <c r="H116" s="8">
        <v>1</v>
      </c>
      <c r="I116" s="8">
        <v>1</v>
      </c>
      <c r="J116" s="10" t="s">
        <v>165</v>
      </c>
      <c r="K116" s="30">
        <v>358.69</v>
      </c>
    </row>
    <row r="117" spans="2:11" s="4" customFormat="1" ht="15.95" hidden="1" customHeight="1" x14ac:dyDescent="0.25">
      <c r="C117" s="7" t="s">
        <v>273</v>
      </c>
      <c r="D117" s="7"/>
      <c r="E117" s="8">
        <f t="shared" si="6"/>
        <v>358.69</v>
      </c>
      <c r="F117" s="8">
        <v>3</v>
      </c>
      <c r="G117" s="8">
        <v>0.5</v>
      </c>
      <c r="H117" s="8">
        <v>1</v>
      </c>
      <c r="I117" s="8">
        <v>1</v>
      </c>
      <c r="J117" s="10" t="s">
        <v>165</v>
      </c>
      <c r="K117" s="30">
        <v>358.69</v>
      </c>
    </row>
    <row r="118" spans="2:11" s="4" customFormat="1" ht="15.95" hidden="1" customHeight="1" x14ac:dyDescent="0.25">
      <c r="C118" s="7" t="s">
        <v>274</v>
      </c>
      <c r="D118" s="7"/>
      <c r="E118" s="8">
        <f t="shared" ref="E118" si="7">I118*K118</f>
        <v>285.70999999999998</v>
      </c>
      <c r="F118" s="8">
        <v>2</v>
      </c>
      <c r="G118" s="8">
        <v>0.5</v>
      </c>
      <c r="H118" s="8">
        <v>1</v>
      </c>
      <c r="I118" s="8">
        <v>1</v>
      </c>
      <c r="J118" s="10" t="s">
        <v>165</v>
      </c>
      <c r="K118" s="30">
        <v>285.70999999999998</v>
      </c>
    </row>
    <row r="119" spans="2:11" s="4" customFormat="1" ht="15.95" hidden="1" customHeight="1" x14ac:dyDescent="0.25">
      <c r="C119" s="7" t="s">
        <v>156</v>
      </c>
      <c r="D119" s="7"/>
      <c r="E119" s="8">
        <f t="shared" si="6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165</v>
      </c>
      <c r="K119" s="30">
        <v>595.24</v>
      </c>
    </row>
    <row r="120" spans="2:11" s="4" customFormat="1" ht="15.95" hidden="1" customHeight="1" x14ac:dyDescent="0.25">
      <c r="C120" s="7" t="s">
        <v>196</v>
      </c>
      <c r="D120" s="7"/>
      <c r="E120" s="8">
        <f t="shared" si="6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165</v>
      </c>
      <c r="K120" s="30">
        <v>161.9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6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165</v>
      </c>
      <c r="K121" s="30">
        <v>190.48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6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165</v>
      </c>
      <c r="K122" s="30">
        <v>216.67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6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165</v>
      </c>
      <c r="K123" s="30">
        <v>154.76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177.98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165</v>
      </c>
      <c r="K125" s="30">
        <v>260.12</v>
      </c>
    </row>
    <row r="126" spans="2:11" s="4" customFormat="1" ht="15.95" hidden="1" customHeight="1" x14ac:dyDescent="0.25">
      <c r="B126" s="29" t="s">
        <v>248</v>
      </c>
      <c r="C126" s="7" t="s">
        <v>119</v>
      </c>
      <c r="D126" s="7"/>
      <c r="E126" s="8">
        <f t="shared" si="6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165</v>
      </c>
      <c r="K126" s="30">
        <v>210</v>
      </c>
    </row>
    <row r="127" spans="2:11" s="4" customFormat="1" ht="15.95" hidden="1" customHeight="1" x14ac:dyDescent="0.25">
      <c r="C127" s="7" t="s">
        <v>124</v>
      </c>
      <c r="D127" s="7"/>
      <c r="E127" s="8">
        <f t="shared" si="6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165</v>
      </c>
      <c r="K127" s="30">
        <v>223.81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6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165</v>
      </c>
      <c r="K128" s="30">
        <v>65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6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165</v>
      </c>
      <c r="K129" s="30">
        <v>35</v>
      </c>
    </row>
    <row r="130" spans="1:11" s="4" customFormat="1" ht="15.95" hidden="1" customHeight="1" x14ac:dyDescent="0.25">
      <c r="B130" s="29" t="s">
        <v>248</v>
      </c>
      <c r="C130" s="7" t="s">
        <v>54</v>
      </c>
      <c r="D130" s="7"/>
      <c r="E130" s="8">
        <f t="shared" si="6"/>
        <v>0</v>
      </c>
      <c r="F130" s="8"/>
      <c r="G130" s="8"/>
      <c r="H130" s="8"/>
      <c r="I130" s="8">
        <v>0</v>
      </c>
      <c r="J130" s="10" t="s">
        <v>165</v>
      </c>
      <c r="K130" s="30">
        <v>12</v>
      </c>
    </row>
    <row r="131" spans="1:11" s="4" customFormat="1" ht="15.95" hidden="1" customHeight="1" x14ac:dyDescent="0.25">
      <c r="C131" s="7" t="s">
        <v>129</v>
      </c>
      <c r="D131" s="7"/>
      <c r="E131" s="8">
        <f t="shared" si="6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110</v>
      </c>
      <c r="K131" s="30">
        <v>21.9</v>
      </c>
    </row>
    <row r="132" spans="1:11" s="4" customFormat="1" ht="15.95" hidden="1" customHeight="1" x14ac:dyDescent="0.25">
      <c r="C132" s="7" t="s">
        <v>202</v>
      </c>
      <c r="D132" s="7"/>
      <c r="E132" s="8">
        <f t="shared" si="6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165</v>
      </c>
      <c r="K132" s="30">
        <v>177.98</v>
      </c>
    </row>
    <row r="133" spans="1:11" s="4" customFormat="1" ht="15.95" hidden="1" customHeight="1" x14ac:dyDescent="0.25">
      <c r="C133" s="7" t="s">
        <v>177</v>
      </c>
      <c r="D133" s="7"/>
      <c r="E133" s="8">
        <f t="shared" si="6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165</v>
      </c>
      <c r="K133" s="30">
        <v>383.33</v>
      </c>
    </row>
    <row r="134" spans="1:11" s="4" customFormat="1" ht="15.95" customHeight="1" x14ac:dyDescent="0.25">
      <c r="A134" s="21" t="s">
        <v>142</v>
      </c>
      <c r="B134" s="4" t="s">
        <v>283</v>
      </c>
      <c r="C134" s="26" t="s">
        <v>203</v>
      </c>
      <c r="D134" s="27">
        <f>SUM(E135:E144)</f>
        <v>35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248</v>
      </c>
      <c r="C135" s="7" t="s">
        <v>48</v>
      </c>
      <c r="D135" s="7"/>
      <c r="E135" s="8">
        <f t="shared" ref="E135:E144" si="8">I135*K135</f>
        <v>35</v>
      </c>
      <c r="F135" s="12"/>
      <c r="G135" s="12"/>
      <c r="H135" s="12"/>
      <c r="I135" s="8">
        <v>1</v>
      </c>
      <c r="J135" s="10" t="s">
        <v>165</v>
      </c>
      <c r="K135" s="30">
        <v>35</v>
      </c>
    </row>
    <row r="136" spans="1:11" s="4" customFormat="1" ht="15.95" hidden="1" customHeight="1" x14ac:dyDescent="0.25">
      <c r="B136" s="29" t="s">
        <v>248</v>
      </c>
      <c r="C136" s="7" t="s">
        <v>49</v>
      </c>
      <c r="D136" s="7"/>
      <c r="E136" s="8">
        <f t="shared" si="8"/>
        <v>0</v>
      </c>
      <c r="F136" s="8"/>
      <c r="G136" s="8"/>
      <c r="H136" s="8"/>
      <c r="I136" s="8">
        <v>0</v>
      </c>
      <c r="J136" s="10" t="s">
        <v>165</v>
      </c>
      <c r="K136" s="30">
        <v>50</v>
      </c>
    </row>
    <row r="137" spans="1:11" s="4" customFormat="1" ht="15.95" hidden="1" customHeight="1" x14ac:dyDescent="0.25">
      <c r="B137" s="29" t="s">
        <v>248</v>
      </c>
      <c r="C137" s="7" t="s">
        <v>268</v>
      </c>
      <c r="D137" s="7"/>
      <c r="E137" s="8">
        <f t="shared" si="8"/>
        <v>0</v>
      </c>
      <c r="F137" s="8">
        <v>1</v>
      </c>
      <c r="G137" s="8">
        <v>0</v>
      </c>
      <c r="H137" s="8">
        <v>2</v>
      </c>
      <c r="I137" s="8">
        <v>0</v>
      </c>
      <c r="J137" s="10" t="s">
        <v>165</v>
      </c>
      <c r="K137" s="30">
        <v>119.05</v>
      </c>
    </row>
    <row r="138" spans="1:11" s="4" customFormat="1" ht="15.95" hidden="1" customHeight="1" x14ac:dyDescent="0.25">
      <c r="C138" s="7" t="s">
        <v>121</v>
      </c>
      <c r="D138" s="7"/>
      <c r="E138" s="8">
        <f t="shared" si="8"/>
        <v>0</v>
      </c>
      <c r="F138" s="8">
        <v>1</v>
      </c>
      <c r="G138" s="8">
        <v>1</v>
      </c>
      <c r="H138" s="8"/>
      <c r="I138" s="8">
        <v>0</v>
      </c>
      <c r="J138" s="10" t="s">
        <v>110</v>
      </c>
      <c r="K138" s="30">
        <v>28.57</v>
      </c>
    </row>
    <row r="139" spans="1:11" s="4" customFormat="1" ht="15.95" hidden="1" customHeight="1" x14ac:dyDescent="0.25">
      <c r="C139" s="7" t="s">
        <v>73</v>
      </c>
      <c r="D139" s="7"/>
      <c r="E139" s="8">
        <f t="shared" si="8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165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8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165</v>
      </c>
      <c r="K140" s="30">
        <v>136.9</v>
      </c>
    </row>
    <row r="141" spans="1:11" s="4" customFormat="1" ht="15.95" hidden="1" customHeight="1" x14ac:dyDescent="0.25">
      <c r="C141" s="7" t="s">
        <v>170</v>
      </c>
      <c r="D141" s="7"/>
      <c r="E141" s="8">
        <f t="shared" si="8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110</v>
      </c>
      <c r="K141" s="30">
        <v>22.62</v>
      </c>
    </row>
    <row r="142" spans="1:11" s="4" customFormat="1" ht="15.95" hidden="1" customHeight="1" x14ac:dyDescent="0.25">
      <c r="C142" s="7" t="s">
        <v>161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83.33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32.14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38.1</v>
      </c>
    </row>
    <row r="145" spans="1:11" s="4" customFormat="1" ht="15.95" customHeight="1" x14ac:dyDescent="0.25">
      <c r="A145" s="21" t="s">
        <v>141</v>
      </c>
      <c r="B145" s="4" t="s">
        <v>284</v>
      </c>
      <c r="C145" s="26" t="s">
        <v>204</v>
      </c>
      <c r="D145" s="27">
        <f>SUM(E146:E152)</f>
        <v>390.76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265</v>
      </c>
      <c r="D146" s="7"/>
      <c r="E146" s="8">
        <f t="shared" ref="E146:E152" si="9">I146*K146</f>
        <v>154.76</v>
      </c>
      <c r="F146" s="8">
        <v>3</v>
      </c>
      <c r="G146" s="8">
        <v>0.2</v>
      </c>
      <c r="H146" s="8">
        <v>0.2</v>
      </c>
      <c r="I146" s="8">
        <v>1</v>
      </c>
      <c r="J146" s="10" t="s">
        <v>165</v>
      </c>
      <c r="K146" s="30">
        <v>154.76</v>
      </c>
    </row>
    <row r="147" spans="1:11" s="4" customFormat="1" ht="15.95" hidden="1" customHeight="1" x14ac:dyDescent="0.25">
      <c r="C147" s="7" t="s">
        <v>85</v>
      </c>
      <c r="D147" s="7"/>
      <c r="E147" s="8">
        <f t="shared" si="9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165</v>
      </c>
      <c r="K147" s="30">
        <v>219.05</v>
      </c>
    </row>
    <row r="148" spans="1:11" s="4" customFormat="1" ht="15.95" hidden="1" customHeight="1" x14ac:dyDescent="0.25">
      <c r="C148" s="7" t="s">
        <v>179</v>
      </c>
      <c r="D148" s="7"/>
      <c r="E148" s="8">
        <f t="shared" si="9"/>
        <v>66</v>
      </c>
      <c r="F148" s="8">
        <v>0</v>
      </c>
      <c r="G148" s="8">
        <v>0</v>
      </c>
      <c r="H148" s="8">
        <v>0</v>
      </c>
      <c r="I148" s="8">
        <v>22</v>
      </c>
      <c r="J148" s="10" t="s">
        <v>165</v>
      </c>
      <c r="K148" s="30">
        <v>3</v>
      </c>
    </row>
    <row r="149" spans="1:11" s="4" customFormat="1" ht="15.95" hidden="1" customHeight="1" x14ac:dyDescent="0.25">
      <c r="C149" s="7" t="s">
        <v>52</v>
      </c>
      <c r="D149" s="7"/>
      <c r="E149" s="8">
        <f t="shared" si="9"/>
        <v>150</v>
      </c>
      <c r="F149" s="8">
        <v>0</v>
      </c>
      <c r="G149" s="8">
        <v>0</v>
      </c>
      <c r="H149" s="8">
        <v>0</v>
      </c>
      <c r="I149" s="8">
        <v>3</v>
      </c>
      <c r="J149" s="10" t="s">
        <v>165</v>
      </c>
      <c r="K149" s="30">
        <v>50</v>
      </c>
    </row>
    <row r="150" spans="1:11" s="4" customFormat="1" ht="15.95" hidden="1" customHeight="1" x14ac:dyDescent="0.25">
      <c r="B150" s="29" t="s">
        <v>248</v>
      </c>
      <c r="C150" s="7" t="s">
        <v>71</v>
      </c>
      <c r="D150" s="7"/>
      <c r="E150" s="8">
        <f t="shared" si="9"/>
        <v>0</v>
      </c>
      <c r="F150" s="8">
        <v>0.5</v>
      </c>
      <c r="G150" s="8">
        <v>0.5</v>
      </c>
      <c r="H150" s="8"/>
      <c r="I150" s="8">
        <v>0</v>
      </c>
      <c r="J150" s="10" t="s">
        <v>110</v>
      </c>
      <c r="K150" s="30">
        <v>25</v>
      </c>
    </row>
    <row r="151" spans="1:11" s="4" customFormat="1" ht="15.95" hidden="1" customHeight="1" x14ac:dyDescent="0.25">
      <c r="C151" s="7" t="s">
        <v>90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165</v>
      </c>
      <c r="K151" s="30">
        <v>25</v>
      </c>
    </row>
    <row r="152" spans="1:11" s="4" customFormat="1" ht="15.95" hidden="1" customHeight="1" x14ac:dyDescent="0.25">
      <c r="C152" s="7" t="s">
        <v>247</v>
      </c>
      <c r="D152" s="7"/>
      <c r="E152" s="8">
        <f t="shared" si="9"/>
        <v>20</v>
      </c>
      <c r="F152" s="8"/>
      <c r="G152" s="8"/>
      <c r="H152" s="8"/>
      <c r="I152" s="8">
        <v>1</v>
      </c>
      <c r="J152" s="10" t="s">
        <v>165</v>
      </c>
      <c r="K152" s="30">
        <v>20</v>
      </c>
    </row>
    <row r="153" spans="1:11" s="4" customFormat="1" ht="15.95" customHeight="1" x14ac:dyDescent="0.25">
      <c r="C153" s="26" t="s">
        <v>131</v>
      </c>
      <c r="D153" s="27">
        <f>SUM(E154:E166)</f>
        <v>977.78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248</v>
      </c>
      <c r="C154" s="7" t="s">
        <v>19</v>
      </c>
      <c r="D154" s="7"/>
      <c r="E154" s="8">
        <f t="shared" ref="E154:E166" si="10">I154*K154</f>
        <v>0</v>
      </c>
      <c r="F154" s="8"/>
      <c r="G154" s="8"/>
      <c r="H154" s="8"/>
      <c r="I154" s="8">
        <v>0</v>
      </c>
      <c r="J154" s="10" t="s">
        <v>165</v>
      </c>
      <c r="K154" s="30">
        <v>11.9</v>
      </c>
    </row>
    <row r="155" spans="1:11" s="4" customFormat="1" ht="15.95" hidden="1" customHeight="1" x14ac:dyDescent="0.25">
      <c r="B155" s="29" t="s">
        <v>248</v>
      </c>
      <c r="C155" s="7" t="s">
        <v>61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50</v>
      </c>
    </row>
    <row r="156" spans="1:11" s="4" customFormat="1" ht="15.95" hidden="1" customHeight="1" x14ac:dyDescent="0.25">
      <c r="B156" s="29" t="s">
        <v>248</v>
      </c>
      <c r="C156" s="7" t="s">
        <v>62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65</v>
      </c>
    </row>
    <row r="157" spans="1:11" s="4" customFormat="1" ht="15.95" hidden="1" customHeight="1" x14ac:dyDescent="0.25">
      <c r="C157" s="7" t="s">
        <v>81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23.81</v>
      </c>
    </row>
    <row r="158" spans="1:11" s="4" customFormat="1" ht="15.95" hidden="1" customHeight="1" x14ac:dyDescent="0.25">
      <c r="C158" s="7" t="s">
        <v>82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14.29</v>
      </c>
    </row>
    <row r="159" spans="1:11" s="4" customFormat="1" ht="15.95" hidden="1" customHeight="1" x14ac:dyDescent="0.25">
      <c r="B159" s="29" t="s">
        <v>248</v>
      </c>
      <c r="C159" s="7" t="s">
        <v>63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165</v>
      </c>
      <c r="K159" s="30">
        <v>10</v>
      </c>
    </row>
    <row r="160" spans="1:11" s="4" customFormat="1" ht="15.95" hidden="1" customHeight="1" x14ac:dyDescent="0.25">
      <c r="B160" s="29" t="s">
        <v>248</v>
      </c>
      <c r="C160" s="7" t="s">
        <v>18</v>
      </c>
      <c r="D160" s="7"/>
      <c r="E160" s="8">
        <f t="shared" si="10"/>
        <v>200</v>
      </c>
      <c r="F160" s="8"/>
      <c r="G160" s="8"/>
      <c r="H160" s="8"/>
      <c r="I160" s="8">
        <v>20</v>
      </c>
      <c r="J160" s="10" t="s">
        <v>165</v>
      </c>
      <c r="K160" s="30">
        <v>10</v>
      </c>
    </row>
    <row r="161" spans="2:11" s="4" customFormat="1" ht="15.95" hidden="1" customHeight="1" x14ac:dyDescent="0.25">
      <c r="C161" s="7" t="s">
        <v>50</v>
      </c>
      <c r="D161" s="7"/>
      <c r="E161" s="8">
        <f t="shared" si="10"/>
        <v>80</v>
      </c>
      <c r="F161" s="12"/>
      <c r="G161" s="12"/>
      <c r="H161" s="12"/>
      <c r="I161" s="8">
        <v>16</v>
      </c>
      <c r="J161" s="10" t="s">
        <v>165</v>
      </c>
      <c r="K161" s="30">
        <v>5</v>
      </c>
    </row>
    <row r="162" spans="2:11" s="4" customFormat="1" ht="15.95" hidden="1" customHeight="1" x14ac:dyDescent="0.25">
      <c r="B162" s="29" t="s">
        <v>248</v>
      </c>
      <c r="C162" s="7" t="s">
        <v>17</v>
      </c>
      <c r="D162" s="7"/>
      <c r="E162" s="8">
        <f t="shared" si="10"/>
        <v>142.80000000000001</v>
      </c>
      <c r="F162" s="8"/>
      <c r="G162" s="8"/>
      <c r="H162" s="8"/>
      <c r="I162" s="8">
        <v>12</v>
      </c>
      <c r="J162" s="10" t="s">
        <v>165</v>
      </c>
      <c r="K162" s="30">
        <v>11.9</v>
      </c>
    </row>
    <row r="163" spans="2:11" s="4" customFormat="1" ht="15.95" hidden="1" customHeight="1" x14ac:dyDescent="0.25">
      <c r="C163" s="7" t="s">
        <v>55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0"/>
        <v>0</v>
      </c>
      <c r="F164" s="8"/>
      <c r="G164" s="8"/>
      <c r="H164" s="8"/>
      <c r="I164" s="8">
        <v>0</v>
      </c>
      <c r="J164" s="10" t="s">
        <v>165</v>
      </c>
      <c r="K164" s="30">
        <v>2.38</v>
      </c>
    </row>
    <row r="165" spans="2:11" ht="15.95" hidden="1" customHeight="1" x14ac:dyDescent="0.25">
      <c r="C165" s="7" t="s">
        <v>187</v>
      </c>
      <c r="D165" s="7"/>
      <c r="E165" s="8">
        <f t="shared" si="10"/>
        <v>364.5</v>
      </c>
      <c r="F165" s="8"/>
      <c r="G165" s="8"/>
      <c r="H165" s="8"/>
      <c r="I165" s="8">
        <v>90</v>
      </c>
      <c r="J165" s="10" t="s">
        <v>149</v>
      </c>
      <c r="K165" s="30">
        <v>4.05</v>
      </c>
    </row>
    <row r="166" spans="2:11" s="4" customFormat="1" ht="15.95" hidden="1" customHeight="1" x14ac:dyDescent="0.25">
      <c r="C166" s="7" t="s">
        <v>157</v>
      </c>
      <c r="D166" s="7"/>
      <c r="E166" s="8">
        <f t="shared" si="10"/>
        <v>190.48</v>
      </c>
      <c r="F166" s="8"/>
      <c r="G166" s="8"/>
      <c r="H166" s="8"/>
      <c r="I166" s="8">
        <v>1</v>
      </c>
      <c r="J166" s="10" t="s">
        <v>165</v>
      </c>
      <c r="K166" s="30">
        <v>190.48</v>
      </c>
    </row>
    <row r="167" spans="2:11" s="4" customFormat="1" ht="15.95" customHeight="1" x14ac:dyDescent="0.25">
      <c r="C167" s="26" t="s">
        <v>205</v>
      </c>
      <c r="D167" s="27">
        <f>SUM(E168:E209)</f>
        <v>758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1">I168*K168</f>
        <v>30</v>
      </c>
      <c r="F168" s="12"/>
      <c r="G168" s="12"/>
      <c r="H168" s="12"/>
      <c r="I168" s="8">
        <v>2</v>
      </c>
      <c r="J168" s="10" t="s">
        <v>165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1"/>
        <v>240</v>
      </c>
      <c r="F169" s="12"/>
      <c r="G169" s="12"/>
      <c r="H169" s="12"/>
      <c r="I169" s="8">
        <v>20</v>
      </c>
      <c r="J169" s="10" t="s">
        <v>165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1"/>
        <v>100</v>
      </c>
      <c r="F170" s="12"/>
      <c r="G170" s="12"/>
      <c r="H170" s="12"/>
      <c r="I170" s="8">
        <v>5</v>
      </c>
      <c r="J170" s="10" t="s">
        <v>165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/>
      <c r="G172" s="12"/>
      <c r="H172" s="12"/>
      <c r="I172" s="8">
        <v>0</v>
      </c>
      <c r="J172" s="10" t="s">
        <v>165</v>
      </c>
      <c r="K172" s="30">
        <v>15</v>
      </c>
    </row>
    <row r="173" spans="2:11" s="4" customFormat="1" ht="15.95" hidden="1" customHeight="1" x14ac:dyDescent="0.25">
      <c r="C173" s="7" t="s">
        <v>178</v>
      </c>
      <c r="D173" s="7"/>
      <c r="E173" s="8">
        <f t="shared" si="11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165</v>
      </c>
      <c r="K173" s="30">
        <v>385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1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130</v>
      </c>
    </row>
    <row r="175" spans="2:11" s="4" customFormat="1" ht="15.95" hidden="1" customHeight="1" x14ac:dyDescent="0.25">
      <c r="C175" s="7" t="s">
        <v>78</v>
      </c>
      <c r="D175" s="7"/>
      <c r="E175" s="8">
        <f t="shared" si="11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165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1"/>
        <v>65</v>
      </c>
      <c r="F176" s="12"/>
      <c r="G176" s="12"/>
      <c r="H176" s="12"/>
      <c r="I176" s="8">
        <v>1</v>
      </c>
      <c r="J176" s="10" t="s">
        <v>165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1"/>
        <v>85</v>
      </c>
      <c r="F177" s="12"/>
      <c r="G177" s="12"/>
      <c r="H177" s="12"/>
      <c r="I177" s="8">
        <v>1</v>
      </c>
      <c r="J177" s="10" t="s">
        <v>165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165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165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1"/>
        <v>40</v>
      </c>
      <c r="F180" s="12"/>
      <c r="G180" s="12"/>
      <c r="H180" s="12"/>
      <c r="I180" s="8">
        <v>5</v>
      </c>
      <c r="J180" s="10" t="s">
        <v>165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165</v>
      </c>
      <c r="K181" s="30">
        <v>15</v>
      </c>
    </row>
    <row r="182" spans="3:11" s="4" customFormat="1" ht="15.95" hidden="1" customHeight="1" x14ac:dyDescent="0.25">
      <c r="C182" s="7" t="s">
        <v>189</v>
      </c>
      <c r="D182" s="7"/>
      <c r="E182" s="8">
        <f t="shared" si="11"/>
        <v>70</v>
      </c>
      <c r="F182" s="12"/>
      <c r="G182" s="12"/>
      <c r="H182" s="12"/>
      <c r="I182" s="8">
        <v>2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165</v>
      </c>
      <c r="K183" s="30">
        <v>85</v>
      </c>
    </row>
    <row r="184" spans="3:11" s="4" customFormat="1" ht="15.95" hidden="1" customHeight="1" x14ac:dyDescent="0.25">
      <c r="C184" s="7" t="s">
        <v>57</v>
      </c>
      <c r="D184" s="7"/>
      <c r="E184" s="8">
        <f t="shared" si="11"/>
        <v>35</v>
      </c>
      <c r="F184" s="12"/>
      <c r="G184" s="12"/>
      <c r="H184" s="12"/>
      <c r="I184" s="8">
        <v>1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59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25</v>
      </c>
    </row>
    <row r="186" spans="3:11" s="4" customFormat="1" ht="15.95" hidden="1" customHeight="1" x14ac:dyDescent="0.25">
      <c r="C186" s="7" t="s">
        <v>134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165</v>
      </c>
      <c r="K187" s="30">
        <v>12</v>
      </c>
    </row>
    <row r="188" spans="3:11" s="4" customFormat="1" ht="15.95" hidden="1" customHeight="1" x14ac:dyDescent="0.25">
      <c r="C188" s="7" t="s">
        <v>275</v>
      </c>
      <c r="D188" s="7"/>
      <c r="E188" s="8">
        <f t="shared" si="11"/>
        <v>25</v>
      </c>
      <c r="F188" s="12"/>
      <c r="G188" s="12"/>
      <c r="H188" s="12"/>
      <c r="I188" s="8">
        <v>1</v>
      </c>
      <c r="J188" s="10" t="s">
        <v>165</v>
      </c>
      <c r="K188" s="30">
        <v>25</v>
      </c>
    </row>
    <row r="189" spans="3:11" s="4" customFormat="1" ht="15.95" hidden="1" customHeight="1" x14ac:dyDescent="0.25">
      <c r="C189" s="7" t="s">
        <v>53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165</v>
      </c>
      <c r="K189" s="30">
        <v>150</v>
      </c>
    </row>
    <row r="190" spans="3:11" s="4" customFormat="1" ht="15.95" hidden="1" customHeight="1" x14ac:dyDescent="0.25">
      <c r="C190" s="7" t="s">
        <v>206</v>
      </c>
      <c r="D190" s="7"/>
      <c r="E190" s="8">
        <f t="shared" si="11"/>
        <v>0</v>
      </c>
      <c r="F190" s="8"/>
      <c r="G190" s="8"/>
      <c r="H190" s="8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158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15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1"/>
        <v>0</v>
      </c>
      <c r="F192" s="12"/>
      <c r="G192" s="12"/>
      <c r="H192" s="12"/>
      <c r="I192" s="8">
        <v>0</v>
      </c>
      <c r="J192" s="10" t="s">
        <v>165</v>
      </c>
      <c r="K192" s="30">
        <v>600</v>
      </c>
    </row>
    <row r="193" spans="2:11" s="4" customFormat="1" ht="15.95" hidden="1" customHeight="1" x14ac:dyDescent="0.25">
      <c r="C193" s="7" t="s">
        <v>208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85</v>
      </c>
    </row>
    <row r="194" spans="2:11" s="4" customFormat="1" ht="15.95" hidden="1" customHeight="1" x14ac:dyDescent="0.25">
      <c r="C194" s="7" t="s">
        <v>255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165</v>
      </c>
      <c r="K194" s="30">
        <v>210</v>
      </c>
    </row>
    <row r="195" spans="2:11" s="4" customFormat="1" ht="15.95" hidden="1" customHeight="1" x14ac:dyDescent="0.25">
      <c r="C195" s="7" t="s">
        <v>86</v>
      </c>
      <c r="D195" s="7"/>
      <c r="E195" s="8">
        <f t="shared" si="11"/>
        <v>8</v>
      </c>
      <c r="F195" s="8"/>
      <c r="G195" s="8"/>
      <c r="H195" s="8"/>
      <c r="I195" s="8">
        <v>1</v>
      </c>
      <c r="J195" s="10" t="s">
        <v>165</v>
      </c>
      <c r="K195" s="30">
        <v>8</v>
      </c>
    </row>
    <row r="196" spans="2:11" s="4" customFormat="1" ht="15.95" hidden="1" customHeight="1" x14ac:dyDescent="0.25">
      <c r="C196" s="7" t="s">
        <v>72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C197" s="7" t="s">
        <v>83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15</v>
      </c>
    </row>
    <row r="198" spans="2:11" s="4" customFormat="1" ht="15.95" hidden="1" customHeight="1" x14ac:dyDescent="0.25">
      <c r="B198" s="29" t="s">
        <v>248</v>
      </c>
      <c r="C198" s="7" t="s">
        <v>84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25</v>
      </c>
    </row>
    <row r="199" spans="2:11" s="4" customFormat="1" ht="15.95" hidden="1" customHeight="1" x14ac:dyDescent="0.25">
      <c r="C199" s="7" t="s">
        <v>87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85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C201" s="7" t="s">
        <v>89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5</v>
      </c>
    </row>
    <row r="202" spans="2:11" s="4" customFormat="1" ht="15.95" hidden="1" customHeight="1" x14ac:dyDescent="0.25">
      <c r="C202" s="7" t="s">
        <v>91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12</v>
      </c>
    </row>
    <row r="203" spans="2:11" s="4" customFormat="1" ht="15.95" hidden="1" customHeight="1" x14ac:dyDescent="0.25">
      <c r="C203" s="7" t="s">
        <v>92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25</v>
      </c>
    </row>
    <row r="204" spans="2:11" s="4" customFormat="1" ht="15.95" hidden="1" customHeight="1" x14ac:dyDescent="0.25">
      <c r="C204" s="7" t="s">
        <v>93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20</v>
      </c>
    </row>
    <row r="205" spans="2:11" s="4" customFormat="1" ht="15.95" hidden="1" customHeight="1" x14ac:dyDescent="0.25">
      <c r="C205" s="7" t="s">
        <v>120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6</v>
      </c>
    </row>
    <row r="206" spans="2:11" s="4" customFormat="1" ht="15.95" hidden="1" customHeight="1" x14ac:dyDescent="0.25">
      <c r="C206" s="7" t="s">
        <v>122</v>
      </c>
      <c r="D206" s="7"/>
      <c r="E206" s="8">
        <f t="shared" si="11"/>
        <v>60</v>
      </c>
      <c r="F206" s="8"/>
      <c r="G206" s="8"/>
      <c r="H206" s="8"/>
      <c r="I206" s="8">
        <v>20</v>
      </c>
      <c r="J206" s="10" t="s">
        <v>165</v>
      </c>
      <c r="K206" s="30">
        <v>3</v>
      </c>
    </row>
    <row r="207" spans="2:11" s="4" customFormat="1" ht="15.95" hidden="1" customHeight="1" x14ac:dyDescent="0.25">
      <c r="C207" s="7" t="s">
        <v>123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165</v>
      </c>
      <c r="K207" s="30">
        <v>35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1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165</v>
      </c>
      <c r="K208" s="30">
        <v>20</v>
      </c>
    </row>
    <row r="209" spans="3:11" s="4" customFormat="1" ht="15.95" hidden="1" customHeight="1" x14ac:dyDescent="0.25">
      <c r="C209" s="7" t="s">
        <v>245</v>
      </c>
      <c r="D209" s="7"/>
      <c r="E209" s="8">
        <f t="shared" si="11"/>
        <v>0</v>
      </c>
      <c r="F209" s="8"/>
      <c r="G209" s="8"/>
      <c r="H209" s="8"/>
      <c r="I209" s="8">
        <v>0</v>
      </c>
      <c r="J209" s="10" t="s">
        <v>165</v>
      </c>
      <c r="K209" s="30">
        <v>85</v>
      </c>
    </row>
    <row r="210" spans="3:11" s="4" customFormat="1" ht="15.95" customHeight="1" x14ac:dyDescent="0.25">
      <c r="C210" s="26" t="s">
        <v>182</v>
      </c>
      <c r="D210" s="27">
        <f>SUM(E211:E221)</f>
        <v>1245.44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243</v>
      </c>
      <c r="D211" s="7"/>
      <c r="E211" s="8">
        <f t="shared" ref="E211:E221" si="12">I211*K211</f>
        <v>0</v>
      </c>
      <c r="F211" s="8">
        <v>1</v>
      </c>
      <c r="G211" s="8">
        <v>1</v>
      </c>
      <c r="H211" s="12"/>
      <c r="I211" s="8">
        <v>0</v>
      </c>
      <c r="J211" s="10" t="s">
        <v>110</v>
      </c>
      <c r="K211" s="30">
        <v>10.71</v>
      </c>
    </row>
    <row r="212" spans="3:11" s="4" customFormat="1" ht="15.95" hidden="1" customHeight="1" x14ac:dyDescent="0.25">
      <c r="C212" s="7" t="s">
        <v>242</v>
      </c>
      <c r="D212" s="7"/>
      <c r="E212" s="8">
        <f t="shared" si="12"/>
        <v>541.80000000000007</v>
      </c>
      <c r="F212" s="8">
        <v>1</v>
      </c>
      <c r="G212" s="8">
        <v>1</v>
      </c>
      <c r="H212" s="12"/>
      <c r="I212" s="8">
        <v>35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2"/>
        <v>201.24</v>
      </c>
      <c r="F213" s="8">
        <v>1</v>
      </c>
      <c r="G213" s="8">
        <v>1</v>
      </c>
      <c r="H213" s="12"/>
      <c r="I213" s="8">
        <v>13</v>
      </c>
      <c r="J213" s="10" t="s">
        <v>110</v>
      </c>
      <c r="K213" s="30">
        <v>15.48</v>
      </c>
    </row>
    <row r="214" spans="3:11" s="4" customFormat="1" ht="15.95" hidden="1" customHeight="1" x14ac:dyDescent="0.25">
      <c r="C214" s="7" t="s">
        <v>190</v>
      </c>
      <c r="D214" s="7"/>
      <c r="E214" s="8">
        <f t="shared" si="12"/>
        <v>26.2</v>
      </c>
      <c r="F214" s="8">
        <v>1</v>
      </c>
      <c r="G214" s="8">
        <v>1</v>
      </c>
      <c r="H214" s="12"/>
      <c r="I214" s="8">
        <v>2</v>
      </c>
      <c r="J214" s="10" t="s">
        <v>110</v>
      </c>
      <c r="K214" s="30">
        <v>13.1</v>
      </c>
    </row>
    <row r="215" spans="3:11" s="4" customFormat="1" ht="15.95" hidden="1" customHeight="1" x14ac:dyDescent="0.25">
      <c r="C215" s="7" t="s">
        <v>256</v>
      </c>
      <c r="D215" s="7"/>
      <c r="E215" s="8">
        <f t="shared" si="12"/>
        <v>476.2</v>
      </c>
      <c r="F215" s="8">
        <v>1</v>
      </c>
      <c r="G215" s="8">
        <v>1</v>
      </c>
      <c r="H215" s="12"/>
      <c r="I215" s="8">
        <v>5</v>
      </c>
      <c r="J215" s="10" t="s">
        <v>110</v>
      </c>
      <c r="K215" s="30">
        <v>95.24</v>
      </c>
    </row>
    <row r="216" spans="3:11" s="4" customFormat="1" ht="15.95" hidden="1" customHeight="1" x14ac:dyDescent="0.25">
      <c r="C216" s="7" t="s">
        <v>257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47.62</v>
      </c>
    </row>
    <row r="217" spans="3:11" s="4" customFormat="1" ht="15.95" hidden="1" customHeight="1" x14ac:dyDescent="0.25">
      <c r="C217" s="7" t="s">
        <v>70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35.71</v>
      </c>
    </row>
    <row r="218" spans="3:11" s="4" customFormat="1" ht="15.95" hidden="1" customHeight="1" x14ac:dyDescent="0.25">
      <c r="C218" s="7" t="s">
        <v>121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28.57</v>
      </c>
    </row>
    <row r="219" spans="3:11" s="4" customFormat="1" ht="15.95" hidden="1" customHeight="1" x14ac:dyDescent="0.25">
      <c r="C219" s="7" t="s">
        <v>51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13.1</v>
      </c>
    </row>
    <row r="220" spans="3:11" s="4" customFormat="1" ht="15.95" hidden="1" customHeight="1" x14ac:dyDescent="0.25">
      <c r="C220" s="7" t="s">
        <v>244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2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10.71</v>
      </c>
    </row>
    <row r="222" spans="3:11" s="4" customFormat="1" ht="15.95" customHeight="1" x14ac:dyDescent="0.25">
      <c r="C222" s="26" t="s">
        <v>181</v>
      </c>
      <c r="D222" s="27">
        <f>SUM(E223:E261)</f>
        <v>390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3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165</v>
      </c>
      <c r="K223" s="30">
        <v>320</v>
      </c>
    </row>
    <row r="224" spans="3:11" s="4" customFormat="1" ht="15.95" hidden="1" customHeight="1" x14ac:dyDescent="0.25">
      <c r="C224" s="7" t="s">
        <v>212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210</v>
      </c>
    </row>
    <row r="225" spans="3:11" s="4" customFormat="1" ht="15.95" hidden="1" customHeight="1" x14ac:dyDescent="0.25">
      <c r="C225" s="7" t="s">
        <v>213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214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180</v>
      </c>
    </row>
    <row r="227" spans="3:11" s="4" customFormat="1" ht="15.95" hidden="1" customHeight="1" x14ac:dyDescent="0.25">
      <c r="C227" s="7" t="s">
        <v>215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110</v>
      </c>
    </row>
    <row r="228" spans="3:11" s="4" customFormat="1" ht="15.95" hidden="1" customHeight="1" x14ac:dyDescent="0.25">
      <c r="C228" s="7" t="s">
        <v>216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310</v>
      </c>
    </row>
    <row r="229" spans="3:11" s="4" customFormat="1" ht="15.95" hidden="1" customHeight="1" x14ac:dyDescent="0.25">
      <c r="C229" s="7" t="s">
        <v>217</v>
      </c>
      <c r="D229" s="7"/>
      <c r="E229" s="8">
        <f t="shared" si="13"/>
        <v>0</v>
      </c>
      <c r="F229" s="8"/>
      <c r="G229" s="8"/>
      <c r="H229" s="8"/>
      <c r="I229" s="8">
        <v>0</v>
      </c>
      <c r="J229" s="10" t="s">
        <v>165</v>
      </c>
      <c r="K229" s="30">
        <v>160</v>
      </c>
    </row>
    <row r="230" spans="3:11" s="4" customFormat="1" ht="15.95" hidden="1" customHeight="1" x14ac:dyDescent="0.25">
      <c r="C230" s="7" t="s">
        <v>58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10</v>
      </c>
    </row>
    <row r="231" spans="3:11" s="4" customFormat="1" ht="15.95" hidden="1" customHeight="1" x14ac:dyDescent="0.25">
      <c r="C231" s="7" t="s">
        <v>221</v>
      </c>
      <c r="D231" s="7"/>
      <c r="E231" s="8">
        <f t="shared" si="13"/>
        <v>0</v>
      </c>
      <c r="F231" s="12"/>
      <c r="G231" s="12"/>
      <c r="H231" s="12"/>
      <c r="I231" s="8">
        <v>0</v>
      </c>
      <c r="J231" s="10" t="s">
        <v>165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180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250</v>
      </c>
    </row>
    <row r="237" spans="3:11" s="4" customFormat="1" ht="15.95" hidden="1" customHeight="1" x14ac:dyDescent="0.25">
      <c r="C237" s="7" t="s">
        <v>209</v>
      </c>
      <c r="D237" s="7"/>
      <c r="E237" s="8">
        <f t="shared" si="13"/>
        <v>390</v>
      </c>
      <c r="F237" s="8"/>
      <c r="G237" s="8"/>
      <c r="H237" s="8"/>
      <c r="I237" s="8">
        <v>1</v>
      </c>
      <c r="J237" s="10" t="s">
        <v>165</v>
      </c>
      <c r="K237" s="30">
        <v>390</v>
      </c>
    </row>
    <row r="238" spans="3:11" s="4" customFormat="1" ht="15.95" hidden="1" customHeight="1" x14ac:dyDescent="0.25">
      <c r="C238" s="7" t="s">
        <v>235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460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850</v>
      </c>
    </row>
    <row r="240" spans="3:11" s="4" customFormat="1" ht="15.95" hidden="1" customHeight="1" x14ac:dyDescent="0.25">
      <c r="C240" s="7" t="s">
        <v>186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1400</v>
      </c>
    </row>
    <row r="241" spans="3:11" s="4" customFormat="1" ht="15.95" hidden="1" customHeight="1" x14ac:dyDescent="0.25">
      <c r="C241" s="7" t="s">
        <v>237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360</v>
      </c>
    </row>
    <row r="242" spans="3:11" s="4" customFormat="1" ht="15.95" hidden="1" customHeight="1" x14ac:dyDescent="0.25">
      <c r="C242" s="7" t="s">
        <v>240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550</v>
      </c>
    </row>
    <row r="243" spans="3:11" s="4" customFormat="1" ht="15.95" hidden="1" customHeight="1" x14ac:dyDescent="0.25">
      <c r="C243" s="7" t="s">
        <v>241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580</v>
      </c>
    </row>
    <row r="244" spans="3:11" s="4" customFormat="1" ht="15.95" hidden="1" customHeight="1" x14ac:dyDescent="0.25">
      <c r="C244" s="7" t="s">
        <v>233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680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750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340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160</v>
      </c>
    </row>
    <row r="248" spans="3:11" s="4" customFormat="1" ht="15.95" hidden="1" customHeight="1" x14ac:dyDescent="0.25">
      <c r="C248" s="7" t="s">
        <v>236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226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130</v>
      </c>
    </row>
    <row r="250" spans="3:11" s="4" customFormat="1" ht="15.95" hidden="1" customHeight="1" x14ac:dyDescent="0.25">
      <c r="C250" s="7" t="s">
        <v>222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400</v>
      </c>
    </row>
    <row r="251" spans="3:11" s="4" customFormat="1" ht="15.95" hidden="1" customHeight="1" x14ac:dyDescent="0.25">
      <c r="C251" s="7" t="s">
        <v>224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260</v>
      </c>
    </row>
    <row r="252" spans="3:11" s="4" customFormat="1" ht="15.95" hidden="1" customHeight="1" x14ac:dyDescent="0.25">
      <c r="C252" s="7" t="s">
        <v>230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180</v>
      </c>
    </row>
    <row r="253" spans="3:11" s="4" customFormat="1" ht="15.95" hidden="1" customHeight="1" x14ac:dyDescent="0.25">
      <c r="C253" s="7" t="s">
        <v>231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120</v>
      </c>
    </row>
    <row r="254" spans="3:11" s="4" customFormat="1" ht="15.95" hidden="1" customHeight="1" x14ac:dyDescent="0.25">
      <c r="C254" s="7" t="s">
        <v>232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220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165</v>
      </c>
      <c r="K255" s="30">
        <v>230</v>
      </c>
    </row>
    <row r="256" spans="3:11" s="4" customFormat="1" ht="15.95" hidden="1" customHeight="1" x14ac:dyDescent="0.25">
      <c r="C256" s="7" t="s">
        <v>227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228</v>
      </c>
      <c r="K256" s="30">
        <v>500</v>
      </c>
    </row>
    <row r="257" spans="3:11" s="4" customFormat="1" ht="15.95" hidden="1" customHeight="1" x14ac:dyDescent="0.25">
      <c r="C257" s="7" t="s">
        <v>229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180</v>
      </c>
    </row>
    <row r="258" spans="3:11" s="4" customFormat="1" ht="15.95" hidden="1" customHeight="1" x14ac:dyDescent="0.25">
      <c r="C258" s="7" t="s">
        <v>223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260</v>
      </c>
    </row>
    <row r="259" spans="3:11" s="4" customFormat="1" ht="15.95" hidden="1" customHeight="1" x14ac:dyDescent="0.25">
      <c r="C259" s="7" t="s">
        <v>218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6500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165</v>
      </c>
      <c r="K260" s="30">
        <v>8800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3"/>
        <v>0</v>
      </c>
      <c r="F261" s="8"/>
      <c r="G261" s="8"/>
      <c r="H261" s="8"/>
      <c r="I261" s="8">
        <v>0</v>
      </c>
      <c r="J261" s="10" t="s">
        <v>165</v>
      </c>
      <c r="K261" s="30">
        <v>1050</v>
      </c>
    </row>
    <row r="262" spans="3:11" s="22" customFormat="1" ht="15.95" customHeight="1" x14ac:dyDescent="0.25">
      <c r="C262" s="32" t="s">
        <v>147</v>
      </c>
      <c r="D262" s="33">
        <f>SUM(E263)</f>
        <v>11800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11800</v>
      </c>
      <c r="F263" s="24"/>
      <c r="G263" s="24"/>
      <c r="H263" s="24"/>
      <c r="I263" s="24">
        <v>1</v>
      </c>
      <c r="J263" s="25" t="s">
        <v>165</v>
      </c>
      <c r="K263" s="48">
        <v>11800</v>
      </c>
    </row>
    <row r="264" spans="3:11" s="22" customFormat="1" ht="15.95" customHeight="1" x14ac:dyDescent="0.25">
      <c r="C264" s="32" t="s">
        <v>145</v>
      </c>
      <c r="D264" s="33">
        <f>SUM(E265)</f>
        <v>5000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5000</v>
      </c>
      <c r="F265" s="41"/>
      <c r="G265" s="41"/>
      <c r="H265" s="41"/>
      <c r="I265" s="24">
        <v>4</v>
      </c>
      <c r="J265" s="25" t="s">
        <v>148</v>
      </c>
      <c r="K265" s="48">
        <v>1250</v>
      </c>
    </row>
    <row r="266" spans="3:11" s="22" customFormat="1" ht="15.95" customHeight="1" x14ac:dyDescent="0.25">
      <c r="C266" s="32" t="s">
        <v>146</v>
      </c>
      <c r="D266" s="33">
        <f>SUM(E267)</f>
        <v>6000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6000</v>
      </c>
      <c r="F267" s="41"/>
      <c r="G267" s="41"/>
      <c r="H267" s="41"/>
      <c r="I267" s="24">
        <v>4</v>
      </c>
      <c r="J267" s="25" t="s">
        <v>165</v>
      </c>
      <c r="K267" s="48">
        <v>1500</v>
      </c>
    </row>
    <row r="268" spans="3:11" s="22" customFormat="1" ht="15.95" customHeight="1" x14ac:dyDescent="0.25">
      <c r="C268" s="32" t="s">
        <v>211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165</v>
      </c>
      <c r="K269" s="48">
        <v>1200</v>
      </c>
    </row>
    <row r="270" spans="3:11" s="22" customFormat="1" ht="15.95" customHeight="1" x14ac:dyDescent="0.25">
      <c r="C270" s="32" t="s">
        <v>261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285</v>
      </c>
      <c r="D271" s="38"/>
      <c r="E271" s="39">
        <f>I271*K271</f>
        <v>1000</v>
      </c>
      <c r="F271" s="41"/>
      <c r="G271" s="41"/>
      <c r="H271" s="41"/>
      <c r="I271" s="24">
        <v>1</v>
      </c>
      <c r="J271" s="25" t="s">
        <v>165</v>
      </c>
      <c r="K271" s="48">
        <v>1000</v>
      </c>
    </row>
    <row r="272" spans="3:11" ht="15.95" customHeight="1" thickBot="1" x14ac:dyDescent="0.3">
      <c r="C272" s="18" t="s">
        <v>56</v>
      </c>
      <c r="D272" s="14">
        <f>SUM(D2:D271)</f>
        <v>39640.520000000004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2025-11-10T13:55:04Z</dcterms:modified>
</cp:coreProperties>
</file>