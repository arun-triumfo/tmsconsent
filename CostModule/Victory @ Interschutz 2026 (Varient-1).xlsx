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Victory @ Interschutz 2026\Option-2\"/>
    </mc:Choice>
  </mc:AlternateContent>
  <xr:revisionPtr revIDLastSave="0" documentId="13_ncr:1_{39527989-618B-447A-A779-A23A9D0873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97" i="1"/>
  <c r="E116" i="1"/>
  <c r="E115" i="1"/>
  <c r="E114" i="1"/>
  <c r="E52" i="1"/>
  <c r="E80" i="1"/>
  <c r="E141" i="1" l="1"/>
  <c r="E274" i="1" l="1"/>
  <c r="D273" i="1" s="1"/>
  <c r="E82" i="1" l="1"/>
  <c r="E81" i="1"/>
  <c r="E91" i="1" l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3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72" i="1" l="1"/>
  <c r="D271" i="1" s="1"/>
  <c r="E270" i="1"/>
  <c r="D269" i="1" s="1"/>
  <c r="E268" i="1"/>
  <c r="D267" i="1" s="1"/>
  <c r="E266" i="1"/>
  <c r="D265" i="1" s="1"/>
  <c r="E14" i="1" l="1"/>
  <c r="E90" i="1" l="1"/>
  <c r="D89" i="1" s="1"/>
  <c r="E15" i="1" l="1"/>
  <c r="E85" i="1" l="1"/>
  <c r="E86" i="1"/>
  <c r="E87" i="1"/>
  <c r="E214" i="1" l="1"/>
  <c r="E138" i="1"/>
  <c r="E171" i="1"/>
  <c r="D170" i="1" s="1"/>
  <c r="D213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4" i="1" l="1"/>
  <c r="E83" i="1"/>
  <c r="E79" i="1"/>
  <c r="E50" i="1"/>
  <c r="E49" i="1"/>
  <c r="E48" i="1"/>
  <c r="E61" i="1" l="1"/>
  <c r="E63" i="1" l="1"/>
  <c r="E60" i="1"/>
  <c r="E44" i="1" l="1"/>
  <c r="E40" i="1"/>
  <c r="E41" i="1"/>
  <c r="E157" i="1" l="1"/>
  <c r="E149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2" i="1"/>
  <c r="E226" i="1"/>
  <c r="D225" i="1" s="1"/>
  <c r="D16" i="1" l="1"/>
  <c r="D156" i="1"/>
  <c r="D137" i="1"/>
  <c r="D148" i="1"/>
  <c r="D111" i="1"/>
  <c r="D275" i="1" l="1"/>
</calcChain>
</file>

<file path=xl/sharedStrings.xml><?xml version="1.0" encoding="utf-8"?>
<sst xmlns="http://schemas.openxmlformats.org/spreadsheetml/2006/main" count="593" uniqueCount="288">
  <si>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</si>
  <si>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</si>
  <si>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</si>
  <si>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</si>
  <si>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</si>
  <si>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</si>
  <si>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</si>
  <si>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</si>
  <si>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</si>
  <si>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</si>
  <si>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</si>
  <si>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</si>
  <si>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</si>
  <si>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</si>
  <si>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</si>
  <si>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</si>
  <si>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</si>
  <si>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</si>
  <si>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</si>
  <si>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</si>
  <si>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</si>
  <si>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</si>
  <si>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</si>
  <si>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</si>
  <si>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</si>
  <si>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</si>
  <si>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</si>
  <si>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</si>
  <si>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</si>
  <si>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</si>
  <si>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</si>
  <si>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</si>
  <si>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</si>
  <si>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</si>
  <si>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</si>
  <si>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</si>
  <si>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</si>
  <si>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</si>
  <si>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</si>
  <si>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</si>
  <si>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</si>
  <si>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</si>
  <si>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</si>
  <si>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</si>
  <si>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</si>
  <si>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</si>
  <si>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</si>
  <si>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</si>
  <si>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</si>
  <si>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</si>
  <si>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</si>
  <si>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</si>
  <si>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</si>
  <si>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</si>
  <si>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</si>
  <si>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</si>
  <si>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</si>
  <si>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</si>
  <si>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</si>
  <si>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</si>
  <si>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</si>
  <si>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</si>
  <si>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</si>
  <si>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</si>
  <si>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</si>
  <si>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</si>
  <si>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</si>
  <si>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</si>
  <si>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</si>
  <si>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</si>
  <si>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</si>
  <si>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</si>
  <si>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</si>
  <si>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</si>
  <si>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</si>
  <si>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</si>
  <si>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</si>
  <si>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</si>
  <si>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</si>
  <si>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</si>
  <si>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</si>
  <si>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</si>
  <si>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</si>
  <si>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</si>
  <si>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</si>
  <si>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</si>
  <si>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</si>
  <si>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</si>
  <si>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</si>
  <si>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</si>
  <si>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</si>
  <si>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</si>
  <si>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</si>
  <si>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</si>
  <si>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</si>
  <si>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</si>
  <si>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</si>
  <si>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</si>
  <si>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</si>
  <si>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</si>
  <si>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</si>
  <si>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</si>
  <si>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</si>
  <si>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</si>
  <si>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</si>
  <si>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</si>
  <si>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</si>
  <si>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</si>
  <si>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</si>
  <si>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</si>
  <si>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</si>
  <si>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</si>
  <si>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</si>
  <si>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</si>
  <si>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</si>
  <si>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</si>
  <si>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</si>
  <si>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</si>
  <si>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</si>
  <si>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</si>
  <si>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</si>
  <si>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</si>
  <si>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</si>
  <si>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</si>
  <si>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</si>
  <si>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</si>
  <si>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</si>
  <si>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</si>
  <si>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</si>
  <si>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</si>
  <si>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</si>
  <si>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</si>
  <si>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</si>
  <si>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</si>
  <si>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</si>
  <si>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</si>
  <si>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</si>
  <si>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</si>
  <si>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</si>
  <si>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</si>
  <si>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</si>
  <si>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</si>
  <si>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</si>
  <si>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</si>
  <si>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</si>
  <si>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</si>
  <si>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</si>
  <si>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</si>
  <si>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</si>
  <si>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</si>
  <si>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</si>
  <si>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</si>
  <si>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</si>
  <si>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</si>
  <si>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</si>
  <si>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</si>
  <si>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</si>
  <si>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</si>
  <si>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</si>
  <si>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</si>
  <si>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</si>
  <si>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</si>
  <si>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</si>
  <si>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</si>
  <si>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</si>
  <si>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</si>
  <si>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</si>
  <si>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</si>
  <si>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</si>
  <si>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</si>
  <si>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</si>
  <si>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</si>
  <si>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</si>
  <si>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</si>
  <si>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</si>
  <si>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</si>
  <si>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</si>
  <si>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</si>
  <si>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</si>
  <si>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</si>
  <si>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</si>
  <si>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</si>
  <si>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</si>
  <si>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</si>
  <si>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</si>
  <si>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</si>
  <si>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</si>
  <si>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</si>
  <si>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</si>
  <si>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</si>
  <si>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</si>
  <si>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</si>
  <si>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</si>
  <si>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</si>
  <si>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</si>
  <si>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</si>
  <si>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</si>
  <si>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</si>
  <si>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</si>
  <si>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</si>
  <si>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</si>
  <si>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</si>
  <si>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</si>
  <si>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</si>
  <si>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</si>
  <si>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</si>
  <si>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</si>
  <si>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</si>
  <si>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</si>
  <si>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</si>
  <si>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</si>
  <si>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</si>
  <si>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</si>
  <si>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</si>
  <si>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</si>
  <si>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</si>
  <si>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</si>
  <si>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</si>
  <si>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</si>
  <si>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</si>
  <si>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</si>
  <si>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</si>
  <si>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</si>
  <si>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</si>
  <si>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</si>
  <si>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</si>
  <si>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</si>
  <si>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</si>
  <si>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</si>
  <si>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</si>
  <si>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</si>
  <si>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</si>
  <si>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</si>
  <si>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</si>
  <si>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</si>
  <si>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</si>
  <si>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</si>
  <si>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</si>
  <si>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</si>
  <si>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</si>
  <si>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</si>
  <si>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</si>
  <si>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</si>
  <si>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</si>
  <si>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</si>
  <si>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</si>
  <si>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</si>
  <si>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</si>
  <si>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</si>
  <si>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</si>
  <si>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</si>
  <si>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</si>
  <si>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</si>
  <si>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</si>
  <si>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</si>
  <si>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</si>
  <si>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</si>
  <si>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</si>
  <si>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</si>
  <si>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</si>
  <si>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</si>
  <si>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</si>
  <si>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</si>
  <si>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</si>
  <si>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</si>
  <si>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</si>
  <si>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</si>
  <si>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</si>
  <si>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</si>
  <si>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</si>
  <si>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</si>
  <si>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MDF- 16mm (Single side Laminated)</t>
  </si>
  <si>
    <t>Reception Counter (Laminated)- 2.0 x 0.5 x 1.0</t>
  </si>
  <si>
    <t>Bar Counter (Laminated)- 3.0 x 0.5 x 1.0</t>
  </si>
  <si>
    <t>Podium (Laminated)- 2.0 x 0.6 x 1.0</t>
  </si>
  <si>
    <t>6m DIA</t>
  </si>
  <si>
    <t>Podium (Laminated)- 1.5 x 1.0 x 1.0</t>
  </si>
  <si>
    <t>Opt Nr:-  2</t>
  </si>
  <si>
    <t>Date:- 11-02-2026</t>
  </si>
  <si>
    <t>VICTORY</t>
  </si>
  <si>
    <t>INTERSCUTZ 2026</t>
  </si>
  <si>
    <t>13M X 9M</t>
  </si>
  <si>
    <t>117 SQM</t>
  </si>
  <si>
    <t>4M</t>
  </si>
  <si>
    <t>01-06 JUNE, 2026</t>
  </si>
  <si>
    <t>HANNOVER</t>
  </si>
  <si>
    <t xml:space="preserve">1 GENIE LIFT </t>
  </si>
  <si>
    <t>Round Fabric Hanging from inside &amp; LED screen from outside (6m 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</si>
</sst>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148</xdr:row>
      <xdr:rowOff>0</xdr:rowOff>
    </xdr:from>
    <xdr:to>
      <xdr:col>1</xdr:col>
      <xdr:colOff>1038226</xdr:colOff>
      <xdr:row>270</xdr:row>
      <xdr:rowOff>185728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6BEC5-848B-46FC-9BD8-01BC61934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095500" cy="1585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E148" sqref="E14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279</v>
      </c>
      <c r="C2" s="26" t="s">
        <v>151</v>
      </c>
      <c r="D2" s="27">
        <f>SUM(E3:E11)</f>
        <v>334.62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334.62</v>
      </c>
      <c r="F3" s="8"/>
      <c r="G3" s="8"/>
      <c r="H3" s="8"/>
      <c r="I3" s="9">
        <v>117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280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285</v>
      </c>
      <c r="C16" s="26" t="s">
        <v>184</v>
      </c>
      <c r="D16" s="27">
        <f>SUM(E17:E88)</f>
        <v>4036.9599999999996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610.74</v>
      </c>
      <c r="F33" s="8">
        <v>1</v>
      </c>
      <c r="G33" s="8">
        <v>0.1</v>
      </c>
      <c r="H33" s="8">
        <v>4</v>
      </c>
      <c r="I33" s="9">
        <v>9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1851.3999999999999</v>
      </c>
      <c r="F34" s="8">
        <v>1</v>
      </c>
      <c r="G34" s="8">
        <v>0.1</v>
      </c>
      <c r="H34" s="8">
        <v>4</v>
      </c>
      <c r="I34" s="9">
        <v>20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2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B52" s="29" t="s">
        <v>249</v>
      </c>
      <c r="C52" s="7" t="s">
        <v>39</v>
      </c>
      <c r="D52" s="7"/>
      <c r="E52" s="8">
        <f t="shared" ref="E52" si="3">I52*K52</f>
        <v>694.26</v>
      </c>
      <c r="F52" s="8">
        <v>1</v>
      </c>
      <c r="G52" s="8">
        <v>0.2</v>
      </c>
      <c r="H52" s="8">
        <v>2.5</v>
      </c>
      <c r="I52" s="9">
        <v>9</v>
      </c>
      <c r="J52" s="10" t="s">
        <v>156</v>
      </c>
      <c r="K52" s="30">
        <v>77.14</v>
      </c>
    </row>
    <row r="53" spans="2:11" ht="15.95" hidden="1" customHeight="1" x14ac:dyDescent="0.25">
      <c r="B53" s="29"/>
      <c r="C53" s="7" t="s">
        <v>39</v>
      </c>
      <c r="D53" s="7"/>
      <c r="E53" s="8">
        <f t="shared" si="2"/>
        <v>308.56</v>
      </c>
      <c r="F53" s="8">
        <v>1</v>
      </c>
      <c r="G53" s="8">
        <v>0.2</v>
      </c>
      <c r="H53" s="8">
        <v>2.5</v>
      </c>
      <c r="I53" s="9">
        <v>4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ref="E80" si="4">I80*K80</f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271</v>
      </c>
      <c r="D81" s="23"/>
      <c r="E81" s="24">
        <f t="shared" si="2"/>
        <v>572</v>
      </c>
      <c r="F81" s="24">
        <v>1</v>
      </c>
      <c r="G81" s="24"/>
      <c r="H81" s="24">
        <v>1</v>
      </c>
      <c r="I81" s="44">
        <v>26</v>
      </c>
      <c r="J81" s="25" t="s">
        <v>261</v>
      </c>
      <c r="K81" s="30">
        <v>22</v>
      </c>
    </row>
    <row r="82" spans="1:11" customFormat="1" ht="15.95" hidden="1" customHeight="1" x14ac:dyDescent="0.25">
      <c r="A82" s="43"/>
      <c r="B82" s="45"/>
      <c r="C82" s="23" t="s">
        <v>262</v>
      </c>
      <c r="D82" s="23"/>
      <c r="E82" s="24">
        <f t="shared" si="2"/>
        <v>0</v>
      </c>
      <c r="F82" s="24">
        <v>1</v>
      </c>
      <c r="G82" s="24"/>
      <c r="H82" s="24">
        <v>1</v>
      </c>
      <c r="I82" s="44">
        <v>0</v>
      </c>
      <c r="J82" s="25" t="s">
        <v>261</v>
      </c>
      <c r="K82" s="30">
        <v>15.7</v>
      </c>
    </row>
    <row r="83" spans="1:11" ht="15.95" hidden="1" customHeight="1" x14ac:dyDescent="0.25">
      <c r="C83" s="7" t="s">
        <v>95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4" t="s">
        <v>284</v>
      </c>
      <c r="C89" s="26" t="s">
        <v>195</v>
      </c>
      <c r="D89" s="27">
        <f>SUM(E90:E110)</f>
        <v>2712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10" si="6">I90*K90</f>
        <v>1100</v>
      </c>
      <c r="F90" s="24"/>
      <c r="G90" s="24"/>
      <c r="H90" s="24"/>
      <c r="I90" s="24">
        <v>44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6"/>
        <v>80</v>
      </c>
      <c r="F91" s="24"/>
      <c r="G91" s="24"/>
      <c r="H91" s="24"/>
      <c r="I91" s="24">
        <v>8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6"/>
        <v>32</v>
      </c>
      <c r="F92" s="24"/>
      <c r="G92" s="24"/>
      <c r="H92" s="24"/>
      <c r="I92" s="24">
        <v>16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264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265</v>
      </c>
      <c r="D96" s="7"/>
      <c r="E96" s="24">
        <f t="shared" si="6"/>
        <v>0</v>
      </c>
      <c r="F96" s="8"/>
      <c r="G96" s="8"/>
      <c r="H96" s="8"/>
      <c r="I96" s="8">
        <v>0</v>
      </c>
      <c r="J96" s="10" t="s">
        <v>166</v>
      </c>
      <c r="K96" s="48">
        <v>830</v>
      </c>
    </row>
    <row r="97" spans="1:11" s="4" customFormat="1" ht="15.95" hidden="1" customHeight="1" x14ac:dyDescent="0.25">
      <c r="B97" s="42"/>
      <c r="C97" s="7" t="s">
        <v>287</v>
      </c>
      <c r="D97" s="7"/>
      <c r="E97" s="24">
        <f t="shared" ref="E97" si="7">I97*K97</f>
        <v>1500</v>
      </c>
      <c r="F97" s="8"/>
      <c r="G97" s="8"/>
      <c r="H97" s="8"/>
      <c r="I97" s="8">
        <v>1</v>
      </c>
      <c r="J97" s="10" t="s">
        <v>166</v>
      </c>
      <c r="K97" s="48">
        <v>1500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6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166</v>
      </c>
      <c r="K99" s="48">
        <v>1000</v>
      </c>
    </row>
    <row r="100" spans="1:11" s="4" customFormat="1" ht="15.95" hidden="1" customHeight="1" x14ac:dyDescent="0.25">
      <c r="B100" s="42"/>
      <c r="C100" s="7" t="s">
        <v>177</v>
      </c>
      <c r="D100" s="7"/>
      <c r="E100" s="24">
        <f t="shared" si="6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166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6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166</v>
      </c>
      <c r="K101" s="48">
        <v>1166.67</v>
      </c>
    </row>
    <row r="102" spans="1:11" s="4" customFormat="1" ht="15.95" hidden="1" customHeight="1" x14ac:dyDescent="0.25">
      <c r="B102" s="42"/>
      <c r="C102" s="7" t="s">
        <v>133</v>
      </c>
      <c r="D102" s="7"/>
      <c r="E102" s="24">
        <f t="shared" si="6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166</v>
      </c>
      <c r="K102" s="48">
        <v>35.71</v>
      </c>
    </row>
    <row r="103" spans="1:11" s="4" customFormat="1" ht="15.95" hidden="1" customHeight="1" x14ac:dyDescent="0.25">
      <c r="B103" s="29" t="s">
        <v>249</v>
      </c>
      <c r="C103" s="7" t="s">
        <v>114</v>
      </c>
      <c r="D103" s="7"/>
      <c r="E103" s="24">
        <f t="shared" si="6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111</v>
      </c>
      <c r="K103" s="48">
        <v>23.33</v>
      </c>
    </row>
    <row r="104" spans="1:11" s="4" customFormat="1" ht="15.95" hidden="1" customHeight="1" x14ac:dyDescent="0.25">
      <c r="B104" s="29" t="s">
        <v>249</v>
      </c>
      <c r="C104" s="7" t="s">
        <v>116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12.86</v>
      </c>
    </row>
    <row r="105" spans="1:11" s="4" customFormat="1" ht="15.95" hidden="1" customHeight="1" x14ac:dyDescent="0.25">
      <c r="B105" s="29" t="s">
        <v>249</v>
      </c>
      <c r="C105" s="7" t="s">
        <v>117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11.9</v>
      </c>
    </row>
    <row r="106" spans="1:11" s="4" customFormat="1" ht="15.95" hidden="1" customHeight="1" x14ac:dyDescent="0.25">
      <c r="B106" s="29" t="s">
        <v>249</v>
      </c>
      <c r="C106" s="7" t="s">
        <v>118</v>
      </c>
      <c r="D106" s="7"/>
      <c r="E106" s="24">
        <f t="shared" si="6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9.52</v>
      </c>
    </row>
    <row r="107" spans="1:11" s="4" customFormat="1" ht="15.95" hidden="1" customHeight="1" x14ac:dyDescent="0.25">
      <c r="C107" s="7" t="s">
        <v>252</v>
      </c>
      <c r="D107" s="7"/>
      <c r="E107" s="24">
        <f t="shared" si="6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111</v>
      </c>
      <c r="K107" s="48">
        <v>15.48</v>
      </c>
    </row>
    <row r="108" spans="1:11" s="4" customFormat="1" ht="15.95" hidden="1" customHeight="1" x14ac:dyDescent="0.25">
      <c r="C108" s="7" t="s">
        <v>115</v>
      </c>
      <c r="D108" s="7"/>
      <c r="E108" s="24">
        <f t="shared" si="6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111</v>
      </c>
      <c r="K108" s="48">
        <v>16.07</v>
      </c>
    </row>
    <row r="109" spans="1:11" s="4" customFormat="1" ht="15.95" hidden="1" customHeight="1" x14ac:dyDescent="0.25">
      <c r="C109" s="7" t="s">
        <v>119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166</v>
      </c>
      <c r="K109" s="48">
        <v>2142.86</v>
      </c>
    </row>
    <row r="110" spans="1:11" s="4" customFormat="1" ht="15.95" hidden="1" customHeight="1" x14ac:dyDescent="0.25">
      <c r="C110" s="7" t="s">
        <v>134</v>
      </c>
      <c r="D110" s="7"/>
      <c r="E110" s="24">
        <f t="shared" si="6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166</v>
      </c>
      <c r="K110" s="48">
        <v>11.9</v>
      </c>
    </row>
    <row r="111" spans="1:11" s="4" customFormat="1" ht="15.95" customHeight="1" x14ac:dyDescent="0.25">
      <c r="A111" s="21" t="s">
        <v>141</v>
      </c>
      <c r="B111" s="4" t="s">
        <v>281</v>
      </c>
      <c r="C111" s="26" t="s">
        <v>196</v>
      </c>
      <c r="D111" s="27">
        <f>SUM(E112:E136)</f>
        <v>1447.6100000000001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268</v>
      </c>
      <c r="D112" s="7"/>
      <c r="E112" s="8">
        <f t="shared" ref="E112:E136" si="8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262.86</v>
      </c>
    </row>
    <row r="113" spans="3:11" s="4" customFormat="1" ht="15.95" hidden="1" customHeight="1" x14ac:dyDescent="0.25">
      <c r="C113" s="7" t="s">
        <v>254</v>
      </c>
      <c r="D113" s="7"/>
      <c r="E113" s="8">
        <f t="shared" si="8"/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166</v>
      </c>
      <c r="K113" s="30">
        <v>564.6</v>
      </c>
    </row>
    <row r="114" spans="3:11" s="4" customFormat="1" ht="15.95" hidden="1" customHeight="1" x14ac:dyDescent="0.25">
      <c r="C114" s="7" t="s">
        <v>269</v>
      </c>
      <c r="D114" s="7"/>
      <c r="E114" s="8">
        <f t="shared" ref="E114:E117" si="9">I114*K114</f>
        <v>0</v>
      </c>
      <c r="F114" s="8">
        <v>2.5</v>
      </c>
      <c r="G114" s="8">
        <v>0.5</v>
      </c>
      <c r="H114" s="8">
        <v>1</v>
      </c>
      <c r="I114" s="8">
        <v>0</v>
      </c>
      <c r="J114" s="10" t="s">
        <v>166</v>
      </c>
      <c r="K114" s="30">
        <v>358.69</v>
      </c>
    </row>
    <row r="115" spans="3:11" s="4" customFormat="1" ht="15.95" hidden="1" customHeight="1" x14ac:dyDescent="0.25">
      <c r="C115" s="7" t="s">
        <v>272</v>
      </c>
      <c r="D115" s="7"/>
      <c r="E115" s="8">
        <f t="shared" si="9"/>
        <v>285.70999999999998</v>
      </c>
      <c r="F115" s="8">
        <v>2</v>
      </c>
      <c r="G115" s="8">
        <v>0.5</v>
      </c>
      <c r="H115" s="8">
        <v>1</v>
      </c>
      <c r="I115" s="8">
        <v>1</v>
      </c>
      <c r="J115" s="10" t="s">
        <v>166</v>
      </c>
      <c r="K115" s="30">
        <v>285.70999999999998</v>
      </c>
    </row>
    <row r="116" spans="3:11" s="4" customFormat="1" ht="15.95" hidden="1" customHeight="1" x14ac:dyDescent="0.25">
      <c r="C116" s="7" t="s">
        <v>273</v>
      </c>
      <c r="D116" s="7"/>
      <c r="E116" s="8">
        <f t="shared" si="9"/>
        <v>400</v>
      </c>
      <c r="F116" s="8">
        <v>3</v>
      </c>
      <c r="G116" s="8">
        <v>0.5</v>
      </c>
      <c r="H116" s="8">
        <v>1</v>
      </c>
      <c r="I116" s="8">
        <v>1</v>
      </c>
      <c r="J116" s="10" t="s">
        <v>166</v>
      </c>
      <c r="K116" s="30">
        <v>400</v>
      </c>
    </row>
    <row r="117" spans="3:11" s="4" customFormat="1" ht="15.95" hidden="1" customHeight="1" x14ac:dyDescent="0.25">
      <c r="C117" s="7" t="s">
        <v>274</v>
      </c>
      <c r="D117" s="7"/>
      <c r="E117" s="8">
        <f t="shared" si="9"/>
        <v>571.41999999999996</v>
      </c>
      <c r="F117" s="8">
        <v>2</v>
      </c>
      <c r="G117" s="8">
        <v>0.6</v>
      </c>
      <c r="H117" s="8">
        <v>1</v>
      </c>
      <c r="I117" s="8">
        <v>2</v>
      </c>
      <c r="J117" s="10" t="s">
        <v>166</v>
      </c>
      <c r="K117" s="30">
        <v>285.70999999999998</v>
      </c>
    </row>
    <row r="118" spans="3:11" s="4" customFormat="1" ht="15.95" hidden="1" customHeight="1" x14ac:dyDescent="0.25">
      <c r="C118" s="7" t="s">
        <v>276</v>
      </c>
      <c r="D118" s="7"/>
      <c r="E118" s="8">
        <f t="shared" si="8"/>
        <v>190.48</v>
      </c>
      <c r="F118" s="8">
        <v>1.5</v>
      </c>
      <c r="G118" s="8">
        <v>1</v>
      </c>
      <c r="H118" s="8">
        <v>1</v>
      </c>
      <c r="I118" s="8">
        <v>1</v>
      </c>
      <c r="J118" s="10" t="s">
        <v>166</v>
      </c>
      <c r="K118" s="30">
        <v>190.48</v>
      </c>
    </row>
    <row r="119" spans="3:11" s="4" customFormat="1" ht="15.95" hidden="1" customHeight="1" x14ac:dyDescent="0.25">
      <c r="C119" s="7" t="s">
        <v>255</v>
      </c>
      <c r="D119" s="7"/>
      <c r="E119" s="8">
        <f t="shared" si="8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302.29000000000002</v>
      </c>
    </row>
    <row r="120" spans="3:11" s="4" customFormat="1" ht="15.95" hidden="1" customHeight="1" x14ac:dyDescent="0.25">
      <c r="C120" s="7" t="s">
        <v>253</v>
      </c>
      <c r="D120" s="7"/>
      <c r="E120" s="8">
        <f t="shared" si="8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604.02</v>
      </c>
    </row>
    <row r="121" spans="3:11" s="4" customFormat="1" ht="15.95" hidden="1" customHeight="1" x14ac:dyDescent="0.25">
      <c r="C121" s="7" t="s">
        <v>256</v>
      </c>
      <c r="D121" s="7"/>
      <c r="E121" s="8">
        <f t="shared" si="8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166</v>
      </c>
      <c r="K121" s="30">
        <v>423.86</v>
      </c>
    </row>
    <row r="122" spans="3:11" s="4" customFormat="1" ht="15.95" hidden="1" customHeight="1" x14ac:dyDescent="0.25">
      <c r="C122" s="7" t="s">
        <v>157</v>
      </c>
      <c r="D122" s="7"/>
      <c r="E122" s="8">
        <f t="shared" si="8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166</v>
      </c>
      <c r="K122" s="30">
        <v>595.24</v>
      </c>
    </row>
    <row r="123" spans="3:11" s="4" customFormat="1" ht="15.95" hidden="1" customHeight="1" x14ac:dyDescent="0.25">
      <c r="C123" s="7" t="s">
        <v>197</v>
      </c>
      <c r="D123" s="7"/>
      <c r="E123" s="8">
        <f t="shared" si="8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166</v>
      </c>
      <c r="K123" s="30">
        <v>161.9</v>
      </c>
    </row>
    <row r="124" spans="3:11" s="4" customFormat="1" ht="15.95" hidden="1" customHeight="1" x14ac:dyDescent="0.25">
      <c r="C124" s="7" t="s">
        <v>198</v>
      </c>
      <c r="D124" s="7"/>
      <c r="E124" s="8">
        <f t="shared" si="8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166</v>
      </c>
      <c r="K124" s="30">
        <v>190.48</v>
      </c>
    </row>
    <row r="125" spans="3:11" s="4" customFormat="1" ht="15.95" hidden="1" customHeight="1" x14ac:dyDescent="0.25">
      <c r="C125" s="7" t="s">
        <v>199</v>
      </c>
      <c r="D125" s="7"/>
      <c r="E125" s="8">
        <f t="shared" si="8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166</v>
      </c>
      <c r="K125" s="30">
        <v>216.67</v>
      </c>
    </row>
    <row r="126" spans="3:11" s="4" customFormat="1" ht="15.95" hidden="1" customHeight="1" x14ac:dyDescent="0.25">
      <c r="C126" s="7" t="s">
        <v>200</v>
      </c>
      <c r="D126" s="7"/>
      <c r="E126" s="8">
        <f t="shared" si="8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166</v>
      </c>
      <c r="K126" s="30">
        <v>154.76</v>
      </c>
    </row>
    <row r="127" spans="3:11" s="4" customFormat="1" ht="15.95" hidden="1" customHeight="1" x14ac:dyDescent="0.25">
      <c r="C127" s="7" t="s">
        <v>201</v>
      </c>
      <c r="D127" s="7"/>
      <c r="E127" s="8">
        <f t="shared" si="8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177.98</v>
      </c>
    </row>
    <row r="128" spans="3:11" s="4" customFormat="1" ht="15.95" hidden="1" customHeight="1" x14ac:dyDescent="0.25">
      <c r="C128" s="7" t="s">
        <v>202</v>
      </c>
      <c r="D128" s="7"/>
      <c r="E128" s="8">
        <f t="shared" si="8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166</v>
      </c>
      <c r="K128" s="30">
        <v>260.12</v>
      </c>
    </row>
    <row r="129" spans="1:11" s="4" customFormat="1" ht="15.95" hidden="1" customHeight="1" x14ac:dyDescent="0.25">
      <c r="B129" s="29" t="s">
        <v>249</v>
      </c>
      <c r="C129" s="7" t="s">
        <v>120</v>
      </c>
      <c r="D129" s="7"/>
      <c r="E129" s="8">
        <f t="shared" si="8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166</v>
      </c>
      <c r="K129" s="30">
        <v>210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8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166</v>
      </c>
      <c r="K130" s="30">
        <v>223.81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8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166</v>
      </c>
      <c r="K131" s="30">
        <v>65</v>
      </c>
    </row>
    <row r="132" spans="1:11" s="4" customFormat="1" ht="15.95" hidden="1" customHeight="1" x14ac:dyDescent="0.25">
      <c r="C132" s="7" t="s">
        <v>127</v>
      </c>
      <c r="D132" s="7"/>
      <c r="E132" s="8">
        <f t="shared" si="8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166</v>
      </c>
      <c r="K132" s="30">
        <v>35</v>
      </c>
    </row>
    <row r="133" spans="1:11" s="4" customFormat="1" ht="15.95" hidden="1" customHeight="1" x14ac:dyDescent="0.25">
      <c r="B133" s="29" t="s">
        <v>249</v>
      </c>
      <c r="C133" s="7" t="s">
        <v>55</v>
      </c>
      <c r="D133" s="7"/>
      <c r="E133" s="8">
        <f t="shared" si="8"/>
        <v>0</v>
      </c>
      <c r="F133" s="8"/>
      <c r="G133" s="8"/>
      <c r="H133" s="8"/>
      <c r="I133" s="8">
        <v>0</v>
      </c>
      <c r="J133" s="10" t="s">
        <v>166</v>
      </c>
      <c r="K133" s="30">
        <v>12</v>
      </c>
    </row>
    <row r="134" spans="1:11" s="4" customFormat="1" ht="15.95" hidden="1" customHeight="1" x14ac:dyDescent="0.25">
      <c r="C134" s="7" t="s">
        <v>130</v>
      </c>
      <c r="D134" s="7"/>
      <c r="E134" s="8">
        <f t="shared" si="8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111</v>
      </c>
      <c r="K134" s="30">
        <v>21.9</v>
      </c>
    </row>
    <row r="135" spans="1:11" s="4" customFormat="1" ht="15.95" hidden="1" customHeight="1" x14ac:dyDescent="0.25">
      <c r="C135" s="7" t="s">
        <v>203</v>
      </c>
      <c r="D135" s="7"/>
      <c r="E135" s="8">
        <f t="shared" si="8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166</v>
      </c>
      <c r="K135" s="30">
        <v>177.98</v>
      </c>
    </row>
    <row r="136" spans="1:11" s="4" customFormat="1" ht="15.95" hidden="1" customHeight="1" x14ac:dyDescent="0.25">
      <c r="C136" s="7" t="s">
        <v>178</v>
      </c>
      <c r="D136" s="7"/>
      <c r="E136" s="8">
        <f t="shared" si="8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166</v>
      </c>
      <c r="K136" s="30">
        <v>383.33</v>
      </c>
    </row>
    <row r="137" spans="1:11" s="4" customFormat="1" ht="15.95" customHeight="1" x14ac:dyDescent="0.25">
      <c r="A137" s="21" t="s">
        <v>143</v>
      </c>
      <c r="B137" s="4" t="s">
        <v>282</v>
      </c>
      <c r="C137" s="26" t="s">
        <v>204</v>
      </c>
      <c r="D137" s="27">
        <f>SUM(E138:E147)</f>
        <v>849.3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249</v>
      </c>
      <c r="C138" s="7" t="s">
        <v>49</v>
      </c>
      <c r="D138" s="7"/>
      <c r="E138" s="8">
        <f t="shared" ref="E138:E147" si="10">I138*K138</f>
        <v>35</v>
      </c>
      <c r="F138" s="12"/>
      <c r="G138" s="12"/>
      <c r="H138" s="12"/>
      <c r="I138" s="8">
        <v>1</v>
      </c>
      <c r="J138" s="10" t="s">
        <v>166</v>
      </c>
      <c r="K138" s="30">
        <v>35</v>
      </c>
    </row>
    <row r="139" spans="1:11" s="4" customFormat="1" ht="15.95" hidden="1" customHeight="1" x14ac:dyDescent="0.25">
      <c r="B139" s="29" t="s">
        <v>249</v>
      </c>
      <c r="C139" s="7" t="s">
        <v>50</v>
      </c>
      <c r="D139" s="7"/>
      <c r="E139" s="8">
        <f t="shared" si="10"/>
        <v>100</v>
      </c>
      <c r="F139" s="8"/>
      <c r="G139" s="8"/>
      <c r="H139" s="8"/>
      <c r="I139" s="8">
        <v>2</v>
      </c>
      <c r="J139" s="10" t="s">
        <v>166</v>
      </c>
      <c r="K139" s="30">
        <v>50</v>
      </c>
    </row>
    <row r="140" spans="1:11" s="4" customFormat="1" ht="15.95" hidden="1" customHeight="1" x14ac:dyDescent="0.25">
      <c r="B140" s="29" t="s">
        <v>249</v>
      </c>
      <c r="C140" s="7" t="s">
        <v>270</v>
      </c>
      <c r="D140" s="7"/>
      <c r="E140" s="8">
        <f t="shared" si="10"/>
        <v>714.3</v>
      </c>
      <c r="F140" s="8">
        <v>1</v>
      </c>
      <c r="G140" s="8">
        <v>0</v>
      </c>
      <c r="H140" s="8">
        <v>2</v>
      </c>
      <c r="I140" s="8">
        <v>6</v>
      </c>
      <c r="J140" s="10" t="s">
        <v>166</v>
      </c>
      <c r="K140" s="30">
        <v>119.05</v>
      </c>
    </row>
    <row r="141" spans="1:11" s="4" customFormat="1" ht="15.95" hidden="1" customHeight="1" x14ac:dyDescent="0.25">
      <c r="C141" s="7" t="s">
        <v>122</v>
      </c>
      <c r="D141" s="7"/>
      <c r="E141" s="8">
        <f t="shared" si="10"/>
        <v>0</v>
      </c>
      <c r="F141" s="8">
        <v>1</v>
      </c>
      <c r="G141" s="8">
        <v>1</v>
      </c>
      <c r="H141" s="8"/>
      <c r="I141" s="8">
        <v>0</v>
      </c>
      <c r="J141" s="10" t="s">
        <v>111</v>
      </c>
      <c r="K141" s="30">
        <v>28.57</v>
      </c>
    </row>
    <row r="142" spans="1:11" s="4" customFormat="1" ht="15.95" hidden="1" customHeight="1" x14ac:dyDescent="0.25">
      <c r="C142" s="7" t="s">
        <v>74</v>
      </c>
      <c r="D142" s="7"/>
      <c r="E142" s="8">
        <f t="shared" si="10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166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10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166</v>
      </c>
      <c r="K143" s="30">
        <v>136.9</v>
      </c>
    </row>
    <row r="144" spans="1:11" s="4" customFormat="1" ht="15.95" hidden="1" customHeight="1" x14ac:dyDescent="0.25">
      <c r="C144" s="7" t="s">
        <v>171</v>
      </c>
      <c r="D144" s="7"/>
      <c r="E144" s="8">
        <f t="shared" si="10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111</v>
      </c>
      <c r="K144" s="30">
        <v>22.62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10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83.33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10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32.14</v>
      </c>
    </row>
    <row r="147" spans="1:11" s="4" customFormat="1" ht="15.95" hidden="1" customHeight="1" x14ac:dyDescent="0.25">
      <c r="C147" s="7" t="s">
        <v>164</v>
      </c>
      <c r="D147" s="7"/>
      <c r="E147" s="8">
        <f t="shared" si="10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38.1</v>
      </c>
    </row>
    <row r="148" spans="1:11" s="4" customFormat="1" ht="15.95" customHeight="1" x14ac:dyDescent="0.25">
      <c r="A148" s="21" t="s">
        <v>142</v>
      </c>
      <c r="B148" s="4" t="s">
        <v>283</v>
      </c>
      <c r="C148" s="26" t="s">
        <v>205</v>
      </c>
      <c r="D148" s="27">
        <f>SUM(E149:E155)</f>
        <v>240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267</v>
      </c>
      <c r="D149" s="7"/>
      <c r="E149" s="8">
        <f t="shared" ref="E149:E155" si="11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166</v>
      </c>
      <c r="K149" s="30">
        <v>109.52</v>
      </c>
    </row>
    <row r="150" spans="1:11" s="4" customFormat="1" ht="15.95" hidden="1" customHeight="1" x14ac:dyDescent="0.25">
      <c r="C150" s="7" t="s">
        <v>86</v>
      </c>
      <c r="D150" s="7"/>
      <c r="E150" s="8">
        <f t="shared" si="11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166</v>
      </c>
      <c r="K150" s="30">
        <v>219.05</v>
      </c>
    </row>
    <row r="151" spans="1:11" s="4" customFormat="1" ht="15.95" hidden="1" customHeight="1" x14ac:dyDescent="0.25">
      <c r="C151" s="7" t="s">
        <v>180</v>
      </c>
      <c r="D151" s="7"/>
      <c r="E151" s="8">
        <f t="shared" si="11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3</v>
      </c>
    </row>
    <row r="152" spans="1:11" s="4" customFormat="1" ht="15.95" hidden="1" customHeight="1" x14ac:dyDescent="0.25">
      <c r="C152" s="7" t="s">
        <v>53</v>
      </c>
      <c r="D152" s="7"/>
      <c r="E152" s="8">
        <f t="shared" si="11"/>
        <v>200</v>
      </c>
      <c r="F152" s="8">
        <v>0</v>
      </c>
      <c r="G152" s="8">
        <v>0</v>
      </c>
      <c r="H152" s="8">
        <v>0</v>
      </c>
      <c r="I152" s="8">
        <v>5</v>
      </c>
      <c r="J152" s="10" t="s">
        <v>166</v>
      </c>
      <c r="K152" s="30">
        <v>40</v>
      </c>
    </row>
    <row r="153" spans="1:11" s="4" customFormat="1" ht="15.95" hidden="1" customHeight="1" x14ac:dyDescent="0.25">
      <c r="B153" s="29" t="s">
        <v>249</v>
      </c>
      <c r="C153" s="7" t="s">
        <v>72</v>
      </c>
      <c r="D153" s="7"/>
      <c r="E153" s="8">
        <f t="shared" si="11"/>
        <v>0</v>
      </c>
      <c r="F153" s="8">
        <v>0.5</v>
      </c>
      <c r="G153" s="8">
        <v>0.5</v>
      </c>
      <c r="H153" s="8"/>
      <c r="I153" s="8">
        <v>0</v>
      </c>
      <c r="J153" s="10" t="s">
        <v>111</v>
      </c>
      <c r="K153" s="30">
        <v>25</v>
      </c>
    </row>
    <row r="154" spans="1:11" s="4" customFormat="1" ht="15.95" hidden="1" customHeight="1" x14ac:dyDescent="0.25">
      <c r="C154" s="7" t="s">
        <v>91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25</v>
      </c>
    </row>
    <row r="155" spans="1:11" s="4" customFormat="1" ht="15.95" hidden="1" customHeight="1" x14ac:dyDescent="0.25">
      <c r="C155" s="7" t="s">
        <v>248</v>
      </c>
      <c r="D155" s="7"/>
      <c r="E155" s="8">
        <f t="shared" si="11"/>
        <v>40</v>
      </c>
      <c r="F155" s="8"/>
      <c r="G155" s="8"/>
      <c r="H155" s="8"/>
      <c r="I155" s="8">
        <v>2</v>
      </c>
      <c r="J155" s="10" t="s">
        <v>166</v>
      </c>
      <c r="K155" s="30">
        <v>20</v>
      </c>
    </row>
    <row r="156" spans="1:11" s="4" customFormat="1" ht="15.95" customHeight="1" x14ac:dyDescent="0.25">
      <c r="C156" s="26" t="s">
        <v>132</v>
      </c>
      <c r="D156" s="27">
        <f>SUM(E157:E169)</f>
        <v>1195.58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249</v>
      </c>
      <c r="C157" s="7" t="s">
        <v>19</v>
      </c>
      <c r="D157" s="7"/>
      <c r="E157" s="8">
        <f t="shared" ref="E157:E169" si="12">I157*K157</f>
        <v>166.6</v>
      </c>
      <c r="F157" s="8"/>
      <c r="G157" s="8"/>
      <c r="H157" s="8"/>
      <c r="I157" s="8">
        <v>14</v>
      </c>
      <c r="J157" s="10" t="s">
        <v>166</v>
      </c>
      <c r="K157" s="30">
        <v>11.9</v>
      </c>
    </row>
    <row r="158" spans="1:11" s="4" customFormat="1" ht="15.95" hidden="1" customHeight="1" x14ac:dyDescent="0.25">
      <c r="B158" s="29" t="s">
        <v>249</v>
      </c>
      <c r="C158" s="7" t="s">
        <v>62</v>
      </c>
      <c r="D158" s="7"/>
      <c r="E158" s="8">
        <f t="shared" si="12"/>
        <v>200</v>
      </c>
      <c r="F158" s="8"/>
      <c r="G158" s="8"/>
      <c r="H158" s="8"/>
      <c r="I158" s="8">
        <v>4</v>
      </c>
      <c r="J158" s="10" t="s">
        <v>166</v>
      </c>
      <c r="K158" s="30">
        <v>50</v>
      </c>
    </row>
    <row r="159" spans="1:11" s="4" customFormat="1" ht="15.95" hidden="1" customHeight="1" x14ac:dyDescent="0.25">
      <c r="B159" s="29" t="s">
        <v>249</v>
      </c>
      <c r="C159" s="7" t="s">
        <v>63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166</v>
      </c>
      <c r="K159" s="30">
        <v>65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166</v>
      </c>
      <c r="K160" s="30">
        <v>23.81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166</v>
      </c>
      <c r="K161" s="30">
        <v>14.29</v>
      </c>
    </row>
    <row r="162" spans="2:11" s="4" customFormat="1" ht="15.95" hidden="1" customHeight="1" x14ac:dyDescent="0.25">
      <c r="B162" s="29" t="s">
        <v>249</v>
      </c>
      <c r="C162" s="7" t="s">
        <v>64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B163" s="29" t="s">
        <v>249</v>
      </c>
      <c r="C163" s="7" t="s">
        <v>18</v>
      </c>
      <c r="D163" s="7"/>
      <c r="E163" s="8">
        <f t="shared" si="12"/>
        <v>230</v>
      </c>
      <c r="F163" s="8"/>
      <c r="G163" s="8"/>
      <c r="H163" s="8"/>
      <c r="I163" s="8">
        <v>23</v>
      </c>
      <c r="J163" s="10" t="s">
        <v>166</v>
      </c>
      <c r="K163" s="30">
        <v>10</v>
      </c>
    </row>
    <row r="164" spans="2:11" s="4" customFormat="1" ht="15.95" hidden="1" customHeight="1" x14ac:dyDescent="0.25">
      <c r="C164" s="7" t="s">
        <v>51</v>
      </c>
      <c r="D164" s="7"/>
      <c r="E164" s="8">
        <f t="shared" si="12"/>
        <v>125</v>
      </c>
      <c r="F164" s="12"/>
      <c r="G164" s="12"/>
      <c r="H164" s="12"/>
      <c r="I164" s="8">
        <v>25</v>
      </c>
      <c r="J164" s="10" t="s">
        <v>166</v>
      </c>
      <c r="K164" s="30">
        <v>5</v>
      </c>
    </row>
    <row r="165" spans="2:11" s="4" customFormat="1" ht="15.95" hidden="1" customHeight="1" x14ac:dyDescent="0.25">
      <c r="B165" s="29" t="s">
        <v>249</v>
      </c>
      <c r="C165" s="7" t="s">
        <v>17</v>
      </c>
      <c r="D165" s="7"/>
      <c r="E165" s="8">
        <f t="shared" si="12"/>
        <v>0</v>
      </c>
      <c r="F165" s="8"/>
      <c r="G165" s="8"/>
      <c r="H165" s="8"/>
      <c r="I165" s="8">
        <v>0</v>
      </c>
      <c r="J165" s="10" t="s">
        <v>166</v>
      </c>
      <c r="K165" s="30">
        <v>11.9</v>
      </c>
    </row>
    <row r="166" spans="2:11" s="4" customFormat="1" ht="15.95" hidden="1" customHeight="1" x14ac:dyDescent="0.25">
      <c r="C166" s="7" t="s">
        <v>56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166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2"/>
        <v>0</v>
      </c>
      <c r="F167" s="8"/>
      <c r="G167" s="8"/>
      <c r="H167" s="8"/>
      <c r="I167" s="8">
        <v>0</v>
      </c>
      <c r="J167" s="10" t="s">
        <v>166</v>
      </c>
      <c r="K167" s="30">
        <v>2.38</v>
      </c>
    </row>
    <row r="168" spans="2:11" ht="15.95" hidden="1" customHeight="1" x14ac:dyDescent="0.25">
      <c r="C168" s="7" t="s">
        <v>188</v>
      </c>
      <c r="D168" s="7"/>
      <c r="E168" s="8">
        <f t="shared" si="12"/>
        <v>283.5</v>
      </c>
      <c r="F168" s="8"/>
      <c r="G168" s="8"/>
      <c r="H168" s="8"/>
      <c r="I168" s="8">
        <v>70</v>
      </c>
      <c r="J168" s="10" t="s">
        <v>150</v>
      </c>
      <c r="K168" s="30">
        <v>4.05</v>
      </c>
    </row>
    <row r="169" spans="2:11" s="4" customFormat="1" ht="15.95" hidden="1" customHeight="1" x14ac:dyDescent="0.25">
      <c r="C169" s="7" t="s">
        <v>158</v>
      </c>
      <c r="D169" s="7"/>
      <c r="E169" s="8">
        <f t="shared" si="12"/>
        <v>190.48</v>
      </c>
      <c r="F169" s="8"/>
      <c r="G169" s="8"/>
      <c r="H169" s="8"/>
      <c r="I169" s="8">
        <v>1</v>
      </c>
      <c r="J169" s="10" t="s">
        <v>166</v>
      </c>
      <c r="K169" s="30">
        <v>190.48</v>
      </c>
    </row>
    <row r="170" spans="2:11" s="4" customFormat="1" ht="15.95" customHeight="1" x14ac:dyDescent="0.25">
      <c r="C170" s="26" t="s">
        <v>206</v>
      </c>
      <c r="D170" s="27">
        <f>SUM(E171:E212)</f>
        <v>897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3">I171*K171</f>
        <v>75</v>
      </c>
      <c r="F171" s="12"/>
      <c r="G171" s="12"/>
      <c r="H171" s="12"/>
      <c r="I171" s="8">
        <v>5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3"/>
        <v>276</v>
      </c>
      <c r="F172" s="12"/>
      <c r="G172" s="12"/>
      <c r="H172" s="12"/>
      <c r="I172" s="8">
        <v>23</v>
      </c>
      <c r="J172" s="10" t="s">
        <v>166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3"/>
        <v>80</v>
      </c>
      <c r="F173" s="12"/>
      <c r="G173" s="12"/>
      <c r="H173" s="12"/>
      <c r="I173" s="8">
        <v>4</v>
      </c>
      <c r="J173" s="10" t="s">
        <v>166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3"/>
        <v>25</v>
      </c>
      <c r="F175" s="12"/>
      <c r="G175" s="12"/>
      <c r="H175" s="12"/>
      <c r="I175" s="8">
        <v>1</v>
      </c>
      <c r="J175" s="10" t="s">
        <v>166</v>
      </c>
      <c r="K175" s="30">
        <v>25</v>
      </c>
    </row>
    <row r="176" spans="2:11" s="4" customFormat="1" ht="15.95" hidden="1" customHeight="1" x14ac:dyDescent="0.25">
      <c r="C176" s="7" t="s">
        <v>179</v>
      </c>
      <c r="D176" s="7"/>
      <c r="E176" s="8">
        <f t="shared" si="13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166</v>
      </c>
      <c r="K176" s="30">
        <v>385</v>
      </c>
    </row>
    <row r="177" spans="3:11" s="4" customFormat="1" ht="15.95" hidden="1" customHeight="1" x14ac:dyDescent="0.25">
      <c r="C177" s="7" t="s">
        <v>80</v>
      </c>
      <c r="D177" s="7"/>
      <c r="E177" s="8">
        <f t="shared" si="13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130</v>
      </c>
    </row>
    <row r="178" spans="3:11" s="4" customFormat="1" ht="15.95" hidden="1" customHeight="1" x14ac:dyDescent="0.25">
      <c r="C178" s="7" t="s">
        <v>79</v>
      </c>
      <c r="D178" s="7"/>
      <c r="E178" s="8">
        <f t="shared" si="13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3"/>
        <v>0</v>
      </c>
      <c r="F179" s="12"/>
      <c r="G179" s="12"/>
      <c r="H179" s="12"/>
      <c r="I179" s="8">
        <v>0</v>
      </c>
      <c r="J179" s="10" t="s">
        <v>166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3"/>
        <v>255</v>
      </c>
      <c r="F180" s="12"/>
      <c r="G180" s="12"/>
      <c r="H180" s="12"/>
      <c r="I180" s="8">
        <v>3</v>
      </c>
      <c r="J180" s="10" t="s">
        <v>166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3"/>
        <v>0</v>
      </c>
      <c r="F182" s="12"/>
      <c r="G182" s="12"/>
      <c r="H182" s="12"/>
      <c r="I182" s="8">
        <v>0</v>
      </c>
      <c r="J182" s="10" t="s">
        <v>166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3"/>
        <v>40</v>
      </c>
      <c r="F183" s="12"/>
      <c r="G183" s="12"/>
      <c r="H183" s="12"/>
      <c r="I183" s="8">
        <v>5</v>
      </c>
      <c r="J183" s="10" t="s">
        <v>166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3"/>
        <v>0</v>
      </c>
      <c r="F184" s="12"/>
      <c r="G184" s="12"/>
      <c r="H184" s="12"/>
      <c r="I184" s="8">
        <v>0</v>
      </c>
      <c r="J184" s="10" t="s">
        <v>166</v>
      </c>
      <c r="K184" s="30">
        <v>15</v>
      </c>
    </row>
    <row r="185" spans="3:11" s="4" customFormat="1" ht="15.95" hidden="1" customHeight="1" x14ac:dyDescent="0.25">
      <c r="C185" s="7" t="s">
        <v>190</v>
      </c>
      <c r="D185" s="7"/>
      <c r="E185" s="8">
        <f t="shared" si="13"/>
        <v>70</v>
      </c>
      <c r="F185" s="12"/>
      <c r="G185" s="12"/>
      <c r="H185" s="12"/>
      <c r="I185" s="8">
        <v>2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61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166</v>
      </c>
      <c r="K186" s="30">
        <v>85</v>
      </c>
    </row>
    <row r="187" spans="3:11" s="4" customFormat="1" ht="15.95" hidden="1" customHeight="1" x14ac:dyDescent="0.25">
      <c r="C187" s="7" t="s">
        <v>58</v>
      </c>
      <c r="D187" s="7"/>
      <c r="E187" s="8">
        <f t="shared" si="13"/>
        <v>35</v>
      </c>
      <c r="F187" s="12"/>
      <c r="G187" s="12"/>
      <c r="H187" s="12"/>
      <c r="I187" s="8">
        <v>1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60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135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166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166</v>
      </c>
      <c r="K190" s="30">
        <v>12</v>
      </c>
    </row>
    <row r="191" spans="3:11" s="4" customFormat="1" ht="15.95" hidden="1" customHeight="1" x14ac:dyDescent="0.25">
      <c r="C191" s="7" t="s">
        <v>48</v>
      </c>
      <c r="D191" s="7"/>
      <c r="E191" s="8">
        <f t="shared" si="13"/>
        <v>25</v>
      </c>
      <c r="F191" s="12"/>
      <c r="G191" s="12"/>
      <c r="H191" s="12"/>
      <c r="I191" s="8">
        <v>1</v>
      </c>
      <c r="J191" s="10" t="s">
        <v>166</v>
      </c>
      <c r="K191" s="30">
        <v>25</v>
      </c>
    </row>
    <row r="192" spans="3:11" s="4" customFormat="1" ht="15.95" hidden="1" customHeight="1" x14ac:dyDescent="0.25">
      <c r="C192" s="7" t="s">
        <v>54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166</v>
      </c>
      <c r="K192" s="30">
        <v>150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3"/>
        <v>0</v>
      </c>
      <c r="F193" s="8"/>
      <c r="G193" s="8"/>
      <c r="H193" s="8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159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166</v>
      </c>
      <c r="K195" s="30">
        <v>600</v>
      </c>
    </row>
    <row r="196" spans="2:11" s="4" customFormat="1" ht="15.95" hidden="1" customHeight="1" x14ac:dyDescent="0.25">
      <c r="C196" s="7" t="s">
        <v>209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166</v>
      </c>
      <c r="K196" s="30">
        <v>85</v>
      </c>
    </row>
    <row r="197" spans="2:11" s="4" customFormat="1" ht="15.95" hidden="1" customHeight="1" x14ac:dyDescent="0.25">
      <c r="C197" s="7" t="s">
        <v>257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166</v>
      </c>
      <c r="K197" s="30">
        <v>210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3"/>
        <v>16</v>
      </c>
      <c r="F198" s="8"/>
      <c r="G198" s="8"/>
      <c r="H198" s="8"/>
      <c r="I198" s="8">
        <v>2</v>
      </c>
      <c r="J198" s="10" t="s">
        <v>166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B201" s="29" t="s">
        <v>249</v>
      </c>
      <c r="C201" s="7" t="s">
        <v>85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166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166</v>
      </c>
      <c r="K210" s="30">
        <v>35</v>
      </c>
    </row>
    <row r="211" spans="3:11" s="4" customFormat="1" ht="15.95" hidden="1" customHeight="1" x14ac:dyDescent="0.25">
      <c r="C211" s="7" t="s">
        <v>247</v>
      </c>
      <c r="D211" s="7"/>
      <c r="E211" s="8">
        <f t="shared" si="13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166</v>
      </c>
      <c r="K211" s="30">
        <v>20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3"/>
        <v>0</v>
      </c>
      <c r="F212" s="8"/>
      <c r="G212" s="8"/>
      <c r="H212" s="8"/>
      <c r="I212" s="8">
        <v>0</v>
      </c>
      <c r="J212" s="10" t="s">
        <v>166</v>
      </c>
      <c r="K212" s="30">
        <v>85</v>
      </c>
    </row>
    <row r="213" spans="3:11" s="4" customFormat="1" ht="15.95" customHeight="1" x14ac:dyDescent="0.25">
      <c r="C213" s="26" t="s">
        <v>183</v>
      </c>
      <c r="D213" s="27">
        <f>SUM(E214:E224)</f>
        <v>1034.81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244</v>
      </c>
      <c r="D214" s="7"/>
      <c r="E214" s="8">
        <f t="shared" ref="E214:E224" si="14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243</v>
      </c>
      <c r="D215" s="7"/>
      <c r="E215" s="8">
        <f t="shared" si="14"/>
        <v>557.28</v>
      </c>
      <c r="F215" s="8">
        <v>1</v>
      </c>
      <c r="G215" s="8">
        <v>1</v>
      </c>
      <c r="H215" s="12"/>
      <c r="I215" s="8">
        <v>36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4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191</v>
      </c>
      <c r="D217" s="7"/>
      <c r="E217" s="8">
        <f t="shared" si="14"/>
        <v>196.5</v>
      </c>
      <c r="F217" s="8">
        <v>1</v>
      </c>
      <c r="G217" s="8">
        <v>1</v>
      </c>
      <c r="H217" s="12"/>
      <c r="I217" s="8">
        <v>15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258</v>
      </c>
      <c r="D218" s="7"/>
      <c r="E218" s="8">
        <f t="shared" si="14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95.24</v>
      </c>
    </row>
    <row r="219" spans="3:11" s="4" customFormat="1" ht="15.95" hidden="1" customHeight="1" x14ac:dyDescent="0.25">
      <c r="C219" s="7" t="s">
        <v>259</v>
      </c>
      <c r="D219" s="7"/>
      <c r="E219" s="8">
        <f t="shared" si="14"/>
        <v>71.429999999999993</v>
      </c>
      <c r="F219" s="8">
        <v>1</v>
      </c>
      <c r="G219" s="8">
        <v>1</v>
      </c>
      <c r="H219" s="12"/>
      <c r="I219" s="8">
        <v>1.5</v>
      </c>
      <c r="J219" s="10" t="s">
        <v>111</v>
      </c>
      <c r="K219" s="30">
        <v>47.62</v>
      </c>
    </row>
    <row r="220" spans="3:11" s="4" customFormat="1" ht="15.95" hidden="1" customHeight="1" x14ac:dyDescent="0.25">
      <c r="C220" s="7" t="s">
        <v>71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35.71</v>
      </c>
    </row>
    <row r="221" spans="3:11" s="4" customFormat="1" ht="15.95" hidden="1" customHeight="1" x14ac:dyDescent="0.25">
      <c r="C221" s="7" t="s">
        <v>122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28.57</v>
      </c>
    </row>
    <row r="222" spans="3:11" s="4" customFormat="1" ht="15.95" hidden="1" customHeight="1" x14ac:dyDescent="0.25">
      <c r="C222" s="7" t="s">
        <v>52</v>
      </c>
      <c r="D222" s="7"/>
      <c r="E222" s="8">
        <f t="shared" si="14"/>
        <v>209.6</v>
      </c>
      <c r="F222" s="8">
        <v>1</v>
      </c>
      <c r="G222" s="8">
        <v>1</v>
      </c>
      <c r="H222" s="12"/>
      <c r="I222" s="8">
        <v>16</v>
      </c>
      <c r="J222" s="10" t="s">
        <v>111</v>
      </c>
      <c r="K222" s="30">
        <v>13.1</v>
      </c>
    </row>
    <row r="223" spans="3:11" s="4" customFormat="1" ht="15.95" hidden="1" customHeight="1" x14ac:dyDescent="0.25">
      <c r="C223" s="7" t="s">
        <v>245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10.71</v>
      </c>
    </row>
    <row r="225" spans="3:11" s="4" customFormat="1" ht="15.95" customHeight="1" x14ac:dyDescent="0.25">
      <c r="C225" s="26" t="s">
        <v>182</v>
      </c>
      <c r="D225" s="27">
        <f>SUM(E226:E264)</f>
        <v>20860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4" si="15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166</v>
      </c>
      <c r="K226" s="30">
        <v>320</v>
      </c>
    </row>
    <row r="227" spans="3:11" s="4" customFormat="1" ht="15.95" hidden="1" customHeight="1" x14ac:dyDescent="0.25">
      <c r="C227" s="7" t="s">
        <v>213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166</v>
      </c>
      <c r="K227" s="30">
        <v>210</v>
      </c>
    </row>
    <row r="228" spans="3:11" s="4" customFormat="1" ht="15.95" hidden="1" customHeight="1" x14ac:dyDescent="0.25">
      <c r="C228" s="7" t="s">
        <v>214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215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216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110</v>
      </c>
    </row>
    <row r="231" spans="3:11" s="4" customFormat="1" ht="15.95" hidden="1" customHeight="1" x14ac:dyDescent="0.25">
      <c r="C231" s="7" t="s">
        <v>217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310</v>
      </c>
    </row>
    <row r="232" spans="3:11" s="4" customFormat="1" ht="15.95" hidden="1" customHeight="1" x14ac:dyDescent="0.25">
      <c r="C232" s="7" t="s">
        <v>218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166</v>
      </c>
      <c r="K232" s="30">
        <v>160</v>
      </c>
    </row>
    <row r="233" spans="3:11" s="4" customFormat="1" ht="15.95" hidden="1" customHeight="1" x14ac:dyDescent="0.25">
      <c r="C233" s="7" t="s">
        <v>59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166</v>
      </c>
      <c r="K233" s="30">
        <v>10</v>
      </c>
    </row>
    <row r="234" spans="3:11" s="4" customFormat="1" ht="15.95" hidden="1" customHeight="1" x14ac:dyDescent="0.25">
      <c r="C234" s="7" t="s">
        <v>222</v>
      </c>
      <c r="D234" s="7"/>
      <c r="E234" s="8">
        <f t="shared" si="15"/>
        <v>0</v>
      </c>
      <c r="F234" s="12"/>
      <c r="G234" s="12"/>
      <c r="H234" s="12"/>
      <c r="I234" s="8">
        <v>0</v>
      </c>
      <c r="J234" s="10" t="s">
        <v>166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166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166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181</v>
      </c>
      <c r="D238" s="7"/>
      <c r="E238" s="8">
        <f t="shared" si="15"/>
        <v>660</v>
      </c>
      <c r="F238" s="8"/>
      <c r="G238" s="8"/>
      <c r="H238" s="8"/>
      <c r="I238" s="8">
        <v>3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5"/>
        <v>250</v>
      </c>
      <c r="F239" s="8"/>
      <c r="G239" s="8"/>
      <c r="H239" s="8"/>
      <c r="I239" s="8">
        <v>1</v>
      </c>
      <c r="J239" s="10" t="s">
        <v>166</v>
      </c>
      <c r="K239" s="30">
        <v>250</v>
      </c>
    </row>
    <row r="240" spans="3:11" s="4" customFormat="1" ht="15.95" hidden="1" customHeight="1" x14ac:dyDescent="0.25">
      <c r="C240" s="7" t="s">
        <v>210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390</v>
      </c>
    </row>
    <row r="241" spans="3:11" s="4" customFormat="1" ht="15.95" hidden="1" customHeight="1" x14ac:dyDescent="0.25">
      <c r="C241" s="7" t="s">
        <v>236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460</v>
      </c>
    </row>
    <row r="242" spans="3:11" s="4" customFormat="1" ht="15.95" hidden="1" customHeight="1" x14ac:dyDescent="0.25">
      <c r="C242" s="7" t="s">
        <v>211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850</v>
      </c>
    </row>
    <row r="243" spans="3:11" s="4" customFormat="1" ht="15.95" hidden="1" customHeight="1" x14ac:dyDescent="0.25">
      <c r="C243" s="7" t="s">
        <v>187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166</v>
      </c>
      <c r="K243" s="30">
        <v>1400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360</v>
      </c>
    </row>
    <row r="245" spans="3:11" s="4" customFormat="1" ht="15.95" hidden="1" customHeight="1" x14ac:dyDescent="0.25">
      <c r="C245" s="7" t="s">
        <v>241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550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580</v>
      </c>
    </row>
    <row r="247" spans="3:11" s="4" customFormat="1" ht="15.95" hidden="1" customHeight="1" x14ac:dyDescent="0.25">
      <c r="C247" s="7" t="s">
        <v>234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680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750</v>
      </c>
    </row>
    <row r="249" spans="3:11" s="4" customFormat="1" ht="15.95" hidden="1" customHeight="1" x14ac:dyDescent="0.25">
      <c r="C249" s="7" t="s">
        <v>235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340</v>
      </c>
    </row>
    <row r="250" spans="3:11" s="4" customFormat="1" ht="15.95" hidden="1" customHeight="1" x14ac:dyDescent="0.25">
      <c r="C250" s="7" t="s">
        <v>240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160</v>
      </c>
    </row>
    <row r="251" spans="3:11" s="4" customFormat="1" ht="15.95" hidden="1" customHeight="1" x14ac:dyDescent="0.25">
      <c r="C251" s="7" t="s">
        <v>237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227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223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400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260</v>
      </c>
    </row>
    <row r="255" spans="3:11" s="4" customFormat="1" ht="15.95" hidden="1" customHeight="1" x14ac:dyDescent="0.25">
      <c r="C255" s="7" t="s">
        <v>231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120</v>
      </c>
    </row>
    <row r="257" spans="3:11" s="4" customFormat="1" ht="15.95" hidden="1" customHeight="1" x14ac:dyDescent="0.25">
      <c r="C257" s="7" t="s">
        <v>233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220</v>
      </c>
    </row>
    <row r="258" spans="3:11" s="4" customFormat="1" ht="15.95" hidden="1" customHeight="1" x14ac:dyDescent="0.25">
      <c r="C258" s="7" t="s">
        <v>226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166</v>
      </c>
      <c r="K258" s="30">
        <v>230</v>
      </c>
    </row>
    <row r="259" spans="3:11" s="4" customFormat="1" ht="15.95" hidden="1" customHeight="1" x14ac:dyDescent="0.25">
      <c r="C259" s="7" t="s">
        <v>228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229</v>
      </c>
      <c r="K259" s="30">
        <v>500</v>
      </c>
    </row>
    <row r="260" spans="3:11" s="4" customFormat="1" ht="15.95" hidden="1" customHeight="1" x14ac:dyDescent="0.25">
      <c r="C260" s="7" t="s">
        <v>230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180</v>
      </c>
    </row>
    <row r="261" spans="3:11" s="4" customFormat="1" ht="15.95" hidden="1" customHeight="1" x14ac:dyDescent="0.25">
      <c r="C261" s="7" t="s">
        <v>224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166</v>
      </c>
      <c r="K261" s="30">
        <v>260</v>
      </c>
    </row>
    <row r="262" spans="3:11" s="4" customFormat="1" ht="15.95" hidden="1" customHeight="1" x14ac:dyDescent="0.25">
      <c r="C262" s="7" t="s">
        <v>219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6500</v>
      </c>
    </row>
    <row r="263" spans="3:11" s="4" customFormat="1" ht="15.95" hidden="1" customHeight="1" x14ac:dyDescent="0.25">
      <c r="C263" s="7" t="s">
        <v>221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8800</v>
      </c>
    </row>
    <row r="264" spans="3:11" s="4" customFormat="1" ht="15.95" hidden="1" customHeight="1" x14ac:dyDescent="0.25">
      <c r="C264" s="7" t="s">
        <v>220</v>
      </c>
      <c r="D264" s="7"/>
      <c r="E264" s="8">
        <f t="shared" si="15"/>
        <v>19950</v>
      </c>
      <c r="F264" s="8" t="s">
        <v>275</v>
      </c>
      <c r="G264" s="8"/>
      <c r="H264" s="8"/>
      <c r="I264" s="8">
        <v>19</v>
      </c>
      <c r="J264" s="10" t="s">
        <v>111</v>
      </c>
      <c r="K264" s="30">
        <v>1050</v>
      </c>
    </row>
    <row r="265" spans="3:11" s="22" customFormat="1" ht="15.95" customHeight="1" x14ac:dyDescent="0.25">
      <c r="C265" s="32" t="s">
        <v>148</v>
      </c>
      <c r="D265" s="33">
        <f>SUM(E266)</f>
        <v>11800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11800</v>
      </c>
      <c r="F266" s="24"/>
      <c r="G266" s="24"/>
      <c r="H266" s="24"/>
      <c r="I266" s="24">
        <v>1</v>
      </c>
      <c r="J266" s="25" t="s">
        <v>166</v>
      </c>
      <c r="K266" s="48">
        <v>11800</v>
      </c>
    </row>
    <row r="267" spans="3:11" s="22" customFormat="1" ht="15.95" customHeight="1" x14ac:dyDescent="0.25">
      <c r="C267" s="32" t="s">
        <v>146</v>
      </c>
      <c r="D267" s="33">
        <f>SUM(E268)</f>
        <v>5000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5000</v>
      </c>
      <c r="F268" s="41"/>
      <c r="G268" s="41"/>
      <c r="H268" s="41"/>
      <c r="I268" s="24">
        <v>4</v>
      </c>
      <c r="J268" s="25" t="s">
        <v>149</v>
      </c>
      <c r="K268" s="48">
        <v>1250</v>
      </c>
    </row>
    <row r="269" spans="3:11" s="22" customFormat="1" ht="15.95" customHeight="1" x14ac:dyDescent="0.25">
      <c r="C269" s="32" t="s">
        <v>147</v>
      </c>
      <c r="D269" s="33">
        <f>SUM(E270)</f>
        <v>6000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6000</v>
      </c>
      <c r="F270" s="41"/>
      <c r="G270" s="41"/>
      <c r="H270" s="41"/>
      <c r="I270" s="24">
        <v>4</v>
      </c>
      <c r="J270" s="25" t="s">
        <v>166</v>
      </c>
      <c r="K270" s="48">
        <v>1500</v>
      </c>
    </row>
    <row r="271" spans="3:11" s="22" customFormat="1" ht="15.95" customHeight="1" x14ac:dyDescent="0.25">
      <c r="C271" s="32" t="s">
        <v>212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166</v>
      </c>
      <c r="K272" s="48">
        <v>1200</v>
      </c>
    </row>
    <row r="273" spans="3:11" s="22" customFormat="1" ht="15.95" customHeight="1" x14ac:dyDescent="0.25">
      <c r="C273" s="32" t="s">
        <v>263</v>
      </c>
      <c r="D273" s="33">
        <f>SUM(E274)</f>
        <v>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286</v>
      </c>
      <c r="D274" s="38"/>
      <c r="E274" s="39">
        <f>I274*K274</f>
        <v>0</v>
      </c>
      <c r="F274" s="41"/>
      <c r="G274" s="41"/>
      <c r="H274" s="41"/>
      <c r="I274" s="24">
        <v>1</v>
      </c>
      <c r="J274" s="25" t="s">
        <v>166</v>
      </c>
      <c r="K274" s="48">
        <v>0</v>
      </c>
    </row>
    <row r="275" spans="3:11" ht="15.95" customHeight="1" thickBot="1" x14ac:dyDescent="0.3">
      <c r="C275" s="18" t="s">
        <v>57</v>
      </c>
      <c r="D275" s="14">
        <f>SUM(D2:D274)</f>
        <v>57872.88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2026-02-11T11:06:46Z</dcterms:modified>
</cp:coreProperties>
</file>