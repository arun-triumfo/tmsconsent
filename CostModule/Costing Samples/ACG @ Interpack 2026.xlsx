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1\"/>
    </mc:Choice>
  </mc:AlternateContent>
  <xr:revisionPtr revIDLastSave="0" documentId="13_ncr:1_{1849CD38-4D1C-4FE1-96A8-66166C59EF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3" i="1" l="1"/>
  <c r="E112" i="1"/>
  <c r="E113" i="1"/>
  <c r="E110" i="1"/>
  <c r="E136" i="1" l="1"/>
  <c r="E269" i="1" l="1"/>
  <c r="D268" i="1" s="1"/>
  <c r="E87" i="1" l="1"/>
  <c r="E88" i="1"/>
  <c r="E89" i="1"/>
  <c r="E90" i="1"/>
  <c r="E91" i="1"/>
  <c r="E92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9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6" i="1" l="1"/>
  <c r="D85" i="1" s="1"/>
  <c r="E15" i="1" l="1"/>
  <c r="E81" i="1" l="1"/>
  <c r="E82" i="1"/>
  <c r="E83" i="1"/>
  <c r="E209" i="1" l="1"/>
  <c r="E133" i="1"/>
  <c r="E166" i="1"/>
  <c r="D165" i="1" s="1"/>
  <c r="D208" i="1" l="1"/>
  <c r="E84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0" i="1" l="1"/>
  <c r="E79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8" i="1"/>
  <c r="E221" i="1"/>
  <c r="D220" i="1" s="1"/>
  <c r="D16" i="1" l="1"/>
  <c r="D151" i="1"/>
  <c r="D132" i="1"/>
  <c r="D143" i="1"/>
  <c r="D107" i="1"/>
  <c r="D270" i="1" l="1"/>
</calcChain>
</file>

<file path=xl/sharedStrings.xml><?xml version="1.0" encoding="utf-8"?>
<sst xmlns="http://schemas.openxmlformats.org/spreadsheetml/2006/main" count="584" uniqueCount="283">
  <si>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</si>
  <si>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</si>
  <si>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</si>
  <si>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</si>
  <si>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</si>
  <si>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</si>
  <si>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</si>
  <si>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</si>
  <si>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</si>
  <si>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</si>
  <si>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</si>
  <si>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</si>
  <si>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</si>
  <si>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</si>
  <si>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</si>
  <si>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</si>
  <si>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</si>
  <si>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</si>
  <si>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</si>
  <si>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</si>
  <si>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</si>
  <si>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</si>
  <si>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</si>
  <si>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</si>
  <si>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</si>
  <si>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</si>
  <si>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</si>
  <si>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</si>
  <si>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</si>
  <si>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</si>
  <si>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</si>
  <si>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</si>
  <si>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</si>
  <si>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</si>
  <si>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</si>
  <si>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</si>
  <si>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</si>
  <si>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</si>
  <si>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</si>
  <si>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</si>
  <si>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</si>
  <si>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</si>
  <si>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</si>
  <si>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</si>
  <si>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</si>
  <si>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</si>
  <si>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</si>
  <si>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</si>
  <si>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</si>
  <si>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</si>
  <si>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</si>
  <si>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</si>
  <si>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</si>
  <si>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</si>
  <si>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</si>
  <si>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</si>
  <si>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</si>
  <si>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</si>
  <si>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</si>
  <si>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</si>
  <si>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</si>
  <si>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</si>
  <si>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</si>
  <si>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</si>
  <si>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</si>
  <si>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</si>
  <si>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</si>
  <si>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</si>
  <si>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</si>
  <si>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</si>
  <si>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</si>
  <si>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</si>
  <si>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</si>
  <si>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</si>
  <si>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</si>
  <si>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</si>
  <si>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</si>
  <si>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</si>
  <si>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</si>
  <si>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</si>
  <si>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</si>
  <si>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</si>
  <si>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</si>
  <si>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</si>
  <si>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</si>
  <si>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</si>
  <si>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</si>
  <si>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</si>
  <si>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</si>
  <si>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</si>
  <si>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</si>
  <si>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</si>
  <si>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</si>
  <si>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</si>
  <si>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</si>
  <si>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</si>
  <si>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</si>
  <si>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</si>
  <si>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</si>
  <si>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</si>
  <si>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</si>
  <si>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</si>
  <si>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</si>
  <si>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</si>
  <si>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</si>
  <si>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</si>
  <si>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</si>
  <si>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</si>
  <si>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</si>
  <si>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</si>
  <si>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</si>
  <si>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</si>
  <si>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</si>
  <si>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</si>
  <si>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</si>
  <si>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</si>
  <si>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</si>
  <si>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</si>
  <si>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</si>
  <si>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</si>
  <si>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</si>
  <si>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</si>
  <si>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</si>
  <si>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</si>
  <si>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</si>
  <si>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</si>
  <si>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</si>
  <si>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</si>
  <si>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</si>
  <si>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</si>
  <si>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</si>
  <si>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</si>
  <si>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</si>
  <si>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</si>
  <si>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</si>
  <si>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</si>
  <si>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</si>
  <si>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</si>
  <si>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</si>
  <si>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</si>
  <si>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</si>
  <si>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</si>
  <si>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</si>
  <si>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</si>
  <si>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</si>
  <si>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</si>
  <si>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</si>
  <si>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</si>
  <si>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</si>
  <si>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</si>
  <si>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</si>
  <si>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</si>
  <si>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</si>
  <si>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</si>
  <si>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</si>
  <si>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</si>
  <si>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</si>
  <si>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</si>
  <si>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</si>
  <si>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</si>
  <si>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</si>
  <si>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</si>
  <si>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</si>
  <si>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</si>
  <si>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</si>
  <si>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</si>
  <si>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</si>
  <si>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</si>
  <si>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</si>
  <si>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</si>
  <si>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</si>
  <si>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</si>
  <si>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</si>
  <si>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</si>
  <si>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</si>
  <si>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</si>
  <si>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</si>
  <si>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</si>
  <si>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</si>
  <si>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</si>
  <si>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</si>
  <si>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</si>
  <si>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</si>
  <si>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</si>
  <si>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</si>
  <si>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</si>
  <si>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</si>
  <si>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</si>
  <si>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</si>
  <si>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</si>
  <si>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</si>
  <si>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</si>
  <si>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</si>
  <si>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</si>
  <si>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</si>
  <si>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</si>
  <si>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</si>
  <si>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</si>
  <si>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</si>
  <si>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</si>
  <si>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</si>
  <si>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</si>
  <si>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</si>
  <si>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</si>
  <si>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</si>
  <si>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</si>
  <si>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</si>
  <si>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</si>
  <si>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</si>
  <si>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</si>
  <si>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</si>
  <si>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</si>
  <si>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</si>
  <si>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</si>
  <si>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</si>
  <si>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</si>
  <si>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</si>
  <si>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</si>
  <si>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</si>
  <si>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</si>
  <si>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</si>
  <si>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</si>
  <si>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</si>
  <si>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</si>
  <si>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</si>
  <si>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</si>
  <si>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</si>
  <si>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</si>
  <si>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</si>
  <si>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</si>
  <si>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</si>
  <si>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</si>
  <si>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</si>
  <si>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</si>
  <si>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</si>
  <si>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</si>
  <si>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</si>
  <si>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</si>
  <si>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</si>
  <si>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</si>
  <si>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</si>
  <si>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</si>
  <si>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</si>
  <si>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</si>
  <si>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</si>
  <si>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</si>
  <si>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</si>
  <si>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</si>
  <si>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</si>
  <si>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</si>
  <si>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</si>
  <si>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</si>
  <si>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</si>
  <si>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</si>
  <si>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</si>
  <si>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</si>
  <si>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</si>
  <si>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</si>
  <si>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</si>
  <si>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</si>
  <si>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</si>
  <si>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</si>
  <si>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</si>
  <si>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</si>
  <si>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</si>
  <si>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</si>
  <si>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</si>
  <si>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</si>
  <si>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Podium (Laminated)- 2.5 x 0.8 x 1.0</t>
  </si>
  <si>
    <t>Meeting Table (Laminated)- 2.5 x 1.0 x 1.0</t>
  </si>
  <si>
    <t>FABRIC hanging (6m x 2m x 1m H)</t>
  </si>
  <si>
    <t>2 nos</t>
  </si>
  <si>
    <t>Café counter (Laminated)- 2.0 x 0.8 x 1.0</t>
  </si>
  <si>
    <t>Opt Nr:-  1</t>
  </si>
  <si>
    <t>Date:- 18-02-2026</t>
  </si>
  <si>
    <t>ACG</t>
  </si>
  <si>
    <t>INTERPACK 2026</t>
  </si>
  <si>
    <t>17.5M X 10M</t>
  </si>
  <si>
    <t>175 SQM</t>
  </si>
  <si>
    <t>5M</t>
  </si>
  <si>
    <t>07 – 13 May 2026</t>
  </si>
  <si>
    <t>DUSSELDORF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</si>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</sst>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143</xdr:row>
      <xdr:rowOff>0</xdr:rowOff>
    </xdr:from>
    <xdr:to>
      <xdr:col>1</xdr:col>
      <xdr:colOff>1057276</xdr:colOff>
      <xdr:row>263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78C36-FAA3-41C0-9E3C-39B593DB2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114550" cy="1314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C72" sqref="C7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47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274</v>
      </c>
      <c r="C1" s="19" t="s">
        <v>46</v>
      </c>
      <c r="D1" s="19" t="s">
        <v>131</v>
      </c>
      <c r="E1" s="20" t="s">
        <v>263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3" t="s">
        <v>263</v>
      </c>
    </row>
    <row r="2" spans="1:11" s="4" customFormat="1" ht="15.95" customHeight="1" x14ac:dyDescent="0.25">
      <c r="A2" s="21" t="s">
        <v>140</v>
      </c>
      <c r="B2" s="4" t="s">
        <v>275</v>
      </c>
      <c r="C2" s="26" t="s">
        <v>151</v>
      </c>
      <c r="D2" s="27">
        <f>SUM(E3:E11)</f>
        <v>6492.09</v>
      </c>
      <c r="E2" s="48"/>
      <c r="F2" s="27"/>
      <c r="G2" s="27"/>
      <c r="H2" s="27"/>
      <c r="I2" s="27"/>
      <c r="J2" s="28"/>
      <c r="K2" s="44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837.76</v>
      </c>
      <c r="F4" s="8"/>
      <c r="G4" s="8"/>
      <c r="H4" s="8"/>
      <c r="I4" s="9">
        <v>88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1357.55</v>
      </c>
      <c r="F5" s="8"/>
      <c r="G5" s="8"/>
      <c r="H5" s="8"/>
      <c r="I5" s="9">
        <v>95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4183.38</v>
      </c>
      <c r="F8" s="8"/>
      <c r="G8" s="8"/>
      <c r="H8" s="8"/>
      <c r="I8" s="9">
        <v>183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113.39999999999999</v>
      </c>
      <c r="F9" s="8"/>
      <c r="G9" s="8"/>
      <c r="H9" s="8"/>
      <c r="I9" s="9">
        <v>28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276</v>
      </c>
      <c r="C12" s="26" t="s">
        <v>194</v>
      </c>
      <c r="D12" s="49">
        <f>SUM(E13:E15)</f>
        <v>630</v>
      </c>
      <c r="E12" s="27"/>
      <c r="F12" s="27"/>
      <c r="G12" s="27"/>
      <c r="H12" s="27"/>
      <c r="I12" s="27"/>
      <c r="J12" s="28"/>
      <c r="K12" s="44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281</v>
      </c>
      <c r="C16" s="26" t="s">
        <v>184</v>
      </c>
      <c r="D16" s="27">
        <f>SUM(E17:E84)</f>
        <v>6854.0750000000007</v>
      </c>
      <c r="E16" s="48"/>
      <c r="F16" s="27"/>
      <c r="G16" s="27"/>
      <c r="H16" s="27"/>
      <c r="I16" s="27"/>
      <c r="J16" s="28"/>
      <c r="K16" s="44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1217.81</v>
      </c>
      <c r="F42" s="8">
        <v>1</v>
      </c>
      <c r="G42" s="8">
        <v>0.1</v>
      </c>
      <c r="H42" s="8">
        <v>5</v>
      </c>
      <c r="I42" s="9">
        <v>11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78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974.30000000000007</v>
      </c>
      <c r="F56" s="8">
        <v>1</v>
      </c>
      <c r="G56" s="8">
        <v>0.2</v>
      </c>
      <c r="H56" s="8">
        <v>3</v>
      </c>
      <c r="I56" s="9">
        <v>10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2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2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2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2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2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2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2:11" ht="15.95" hidden="1" customHeight="1" x14ac:dyDescent="0.25">
      <c r="B71" s="29" t="s">
        <v>249</v>
      </c>
      <c r="C71" s="7" t="s">
        <v>67</v>
      </c>
      <c r="D71" s="7"/>
      <c r="E71" s="8">
        <f t="shared" si="2"/>
        <v>3064.3250000000003</v>
      </c>
      <c r="F71" s="8">
        <v>1</v>
      </c>
      <c r="G71" s="8">
        <v>0.2</v>
      </c>
      <c r="H71" s="8">
        <v>5</v>
      </c>
      <c r="I71" s="9">
        <v>27.5</v>
      </c>
      <c r="J71" s="10" t="s">
        <v>156</v>
      </c>
      <c r="K71" s="30">
        <v>111.43</v>
      </c>
    </row>
    <row r="72" spans="2:11" ht="15.95" hidden="1" customHeight="1" x14ac:dyDescent="0.25">
      <c r="B72" s="29" t="s">
        <v>249</v>
      </c>
      <c r="C72" s="7" t="s">
        <v>68</v>
      </c>
      <c r="D72" s="7"/>
      <c r="E72" s="8">
        <f t="shared" si="2"/>
        <v>1597.64</v>
      </c>
      <c r="F72" s="8">
        <v>1</v>
      </c>
      <c r="G72" s="8">
        <v>0.2</v>
      </c>
      <c r="H72" s="8">
        <v>5</v>
      </c>
      <c r="I72" s="9">
        <v>11</v>
      </c>
      <c r="J72" s="10" t="s">
        <v>156</v>
      </c>
      <c r="K72" s="30">
        <v>145.24</v>
      </c>
    </row>
    <row r="73" spans="2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2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2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2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2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2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2:11" ht="15.95" hidden="1" customHeight="1" x14ac:dyDescent="0.25">
      <c r="C79" s="7" t="s">
        <v>95</v>
      </c>
      <c r="D79" s="7"/>
      <c r="E79" s="8">
        <f t="shared" ref="E79:E84" si="3">I79*K79</f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41.67</v>
      </c>
    </row>
    <row r="80" spans="2:11" ht="15.95" hidden="1" customHeight="1" x14ac:dyDescent="0.25">
      <c r="C80" s="7" t="s">
        <v>96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83.33</v>
      </c>
    </row>
    <row r="81" spans="1:11" ht="15.95" hidden="1" customHeight="1" x14ac:dyDescent="0.25">
      <c r="B81" s="29" t="s">
        <v>249</v>
      </c>
      <c r="C81" s="7" t="s">
        <v>173</v>
      </c>
      <c r="D81" s="7"/>
      <c r="E81" s="8">
        <f t="shared" si="3"/>
        <v>0</v>
      </c>
      <c r="F81" s="8">
        <v>1</v>
      </c>
      <c r="G81" s="8"/>
      <c r="H81" s="8"/>
      <c r="I81" s="9">
        <v>0</v>
      </c>
      <c r="J81" s="10" t="s">
        <v>111</v>
      </c>
      <c r="K81" s="30">
        <v>47.62</v>
      </c>
    </row>
    <row r="82" spans="1:11" ht="15.95" hidden="1" customHeight="1" x14ac:dyDescent="0.25">
      <c r="B82" s="29" t="s">
        <v>249</v>
      </c>
      <c r="C82" s="7" t="s">
        <v>174</v>
      </c>
      <c r="D82" s="7"/>
      <c r="E82" s="8">
        <f t="shared" si="3"/>
        <v>0</v>
      </c>
      <c r="F82" s="8">
        <v>1</v>
      </c>
      <c r="G82" s="8"/>
      <c r="H82" s="8"/>
      <c r="I82" s="9">
        <v>0</v>
      </c>
      <c r="J82" s="10" t="s">
        <v>169</v>
      </c>
      <c r="K82" s="30">
        <v>190.48</v>
      </c>
    </row>
    <row r="83" spans="1:11" ht="15.95" hidden="1" customHeight="1" x14ac:dyDescent="0.25">
      <c r="B83" s="29" t="s">
        <v>249</v>
      </c>
      <c r="C83" s="7" t="s">
        <v>175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169</v>
      </c>
      <c r="K83" s="30">
        <v>190.48</v>
      </c>
    </row>
    <row r="84" spans="1:11" ht="15.95" hidden="1" customHeight="1" x14ac:dyDescent="0.25">
      <c r="C84" s="7" t="s">
        <v>176</v>
      </c>
      <c r="D84" s="7"/>
      <c r="E84" s="8">
        <f t="shared" si="3"/>
        <v>0</v>
      </c>
      <c r="F84" s="8">
        <v>1</v>
      </c>
      <c r="G84" s="8">
        <v>0.2</v>
      </c>
      <c r="H84" s="8">
        <v>1</v>
      </c>
      <c r="I84" s="9">
        <v>0</v>
      </c>
      <c r="J84" s="10" t="s">
        <v>111</v>
      </c>
      <c r="K84" s="30">
        <v>32.14</v>
      </c>
    </row>
    <row r="85" spans="1:11" s="4" customFormat="1" ht="15.95" customHeight="1" x14ac:dyDescent="0.25">
      <c r="A85" s="21" t="s">
        <v>145</v>
      </c>
      <c r="B85" s="4" t="s">
        <v>280</v>
      </c>
      <c r="C85" s="26" t="s">
        <v>195</v>
      </c>
      <c r="D85" s="27">
        <f>SUM(E86:E106)</f>
        <v>1556</v>
      </c>
      <c r="E85" s="48"/>
      <c r="F85" s="27"/>
      <c r="G85" s="27"/>
      <c r="H85" s="27"/>
      <c r="I85" s="27"/>
      <c r="J85" s="28"/>
      <c r="K85" s="44"/>
    </row>
    <row r="86" spans="1:11" s="22" customFormat="1" ht="15.95" hidden="1" customHeight="1" x14ac:dyDescent="0.25">
      <c r="B86" s="29" t="s">
        <v>249</v>
      </c>
      <c r="C86" s="23" t="s">
        <v>170</v>
      </c>
      <c r="D86" s="23"/>
      <c r="E86" s="24">
        <f t="shared" ref="E86:E106" si="4">I86*K86</f>
        <v>400</v>
      </c>
      <c r="F86" s="24"/>
      <c r="G86" s="24"/>
      <c r="H86" s="24"/>
      <c r="I86" s="24">
        <v>16</v>
      </c>
      <c r="J86" s="25" t="s">
        <v>166</v>
      </c>
      <c r="K86" s="45">
        <v>25</v>
      </c>
    </row>
    <row r="87" spans="1:11" s="22" customFormat="1" ht="15.95" hidden="1" customHeight="1" x14ac:dyDescent="0.25">
      <c r="B87" s="29" t="s">
        <v>249</v>
      </c>
      <c r="C87" s="23" t="s">
        <v>192</v>
      </c>
      <c r="D87" s="23"/>
      <c r="E87" s="24">
        <f t="shared" si="4"/>
        <v>40</v>
      </c>
      <c r="F87" s="24"/>
      <c r="G87" s="24"/>
      <c r="H87" s="24"/>
      <c r="I87" s="24">
        <v>4</v>
      </c>
      <c r="J87" s="25" t="s">
        <v>166</v>
      </c>
      <c r="K87" s="45">
        <v>10</v>
      </c>
    </row>
    <row r="88" spans="1:11" s="22" customFormat="1" ht="15.95" hidden="1" customHeight="1" x14ac:dyDescent="0.25">
      <c r="B88" s="29" t="s">
        <v>249</v>
      </c>
      <c r="C88" s="23" t="s">
        <v>193</v>
      </c>
      <c r="D88" s="23"/>
      <c r="E88" s="24">
        <f t="shared" si="4"/>
        <v>16</v>
      </c>
      <c r="F88" s="24"/>
      <c r="G88" s="24"/>
      <c r="H88" s="24"/>
      <c r="I88" s="24">
        <v>8</v>
      </c>
      <c r="J88" s="25" t="s">
        <v>166</v>
      </c>
      <c r="K88" s="45">
        <v>2</v>
      </c>
    </row>
    <row r="89" spans="1:11" s="4" customFormat="1" ht="15.95" hidden="1" customHeight="1" x14ac:dyDescent="0.25">
      <c r="B89" s="29" t="s">
        <v>249</v>
      </c>
      <c r="C89" s="7" t="s">
        <v>250</v>
      </c>
      <c r="D89" s="7"/>
      <c r="E89" s="24">
        <f t="shared" si="4"/>
        <v>0</v>
      </c>
      <c r="F89" s="8"/>
      <c r="G89" s="8"/>
      <c r="H89" s="8"/>
      <c r="I89" s="8">
        <v>0</v>
      </c>
      <c r="J89" s="10" t="s">
        <v>166</v>
      </c>
      <c r="K89" s="45">
        <v>800</v>
      </c>
    </row>
    <row r="90" spans="1:11" s="4" customFormat="1" ht="15.95" hidden="1" customHeight="1" x14ac:dyDescent="0.25">
      <c r="B90" s="29" t="s">
        <v>249</v>
      </c>
      <c r="C90" s="7" t="s">
        <v>251</v>
      </c>
      <c r="D90" s="7"/>
      <c r="E90" s="24">
        <f t="shared" si="4"/>
        <v>0</v>
      </c>
      <c r="F90" s="8"/>
      <c r="G90" s="8"/>
      <c r="H90" s="8"/>
      <c r="I90" s="8">
        <v>0</v>
      </c>
      <c r="J90" s="10" t="s">
        <v>166</v>
      </c>
      <c r="K90" s="45">
        <v>1210</v>
      </c>
    </row>
    <row r="91" spans="1:11" s="4" customFormat="1" ht="15.95" hidden="1" customHeight="1" x14ac:dyDescent="0.25">
      <c r="B91" s="29" t="s">
        <v>249</v>
      </c>
      <c r="C91" s="7" t="s">
        <v>261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5">
        <v>1820</v>
      </c>
    </row>
    <row r="92" spans="1:11" s="4" customFormat="1" ht="15.95" hidden="1" customHeight="1" x14ac:dyDescent="0.25">
      <c r="B92" s="29" t="s">
        <v>249</v>
      </c>
      <c r="C92" s="7" t="s">
        <v>262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5">
        <v>830</v>
      </c>
    </row>
    <row r="93" spans="1:11" s="4" customFormat="1" ht="15.95" hidden="1" customHeight="1" x14ac:dyDescent="0.25">
      <c r="B93" s="42"/>
      <c r="C93" s="7" t="s">
        <v>270</v>
      </c>
      <c r="D93" s="7"/>
      <c r="E93" s="24">
        <f t="shared" ref="E93" si="5">I93*K93</f>
        <v>1100</v>
      </c>
      <c r="F93" s="8"/>
      <c r="G93" s="8"/>
      <c r="H93" s="8"/>
      <c r="I93" s="8">
        <v>1</v>
      </c>
      <c r="J93" s="10" t="s">
        <v>166</v>
      </c>
      <c r="K93" s="45">
        <v>1100</v>
      </c>
    </row>
    <row r="94" spans="1:11" s="4" customFormat="1" ht="15.95" hidden="1" customHeight="1" x14ac:dyDescent="0.25">
      <c r="B94" s="42"/>
      <c r="C94" s="7" t="s">
        <v>24</v>
      </c>
      <c r="D94" s="7"/>
      <c r="E94" s="24">
        <f t="shared" si="4"/>
        <v>0</v>
      </c>
      <c r="F94" s="8">
        <v>4</v>
      </c>
      <c r="G94" s="8">
        <v>4</v>
      </c>
      <c r="H94" s="8">
        <v>1</v>
      </c>
      <c r="I94" s="8">
        <v>0</v>
      </c>
      <c r="J94" s="10" t="s">
        <v>166</v>
      </c>
      <c r="K94" s="45">
        <v>714.29</v>
      </c>
    </row>
    <row r="95" spans="1:11" s="4" customFormat="1" ht="15.95" hidden="1" customHeight="1" x14ac:dyDescent="0.25">
      <c r="B95" s="42"/>
      <c r="C95" s="7" t="s">
        <v>23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5">
        <v>1000</v>
      </c>
    </row>
    <row r="96" spans="1:11" s="4" customFormat="1" ht="15.95" hidden="1" customHeight="1" x14ac:dyDescent="0.25">
      <c r="B96" s="42"/>
      <c r="C96" s="7" t="s">
        <v>177</v>
      </c>
      <c r="D96" s="7"/>
      <c r="E96" s="24">
        <f t="shared" si="4"/>
        <v>0</v>
      </c>
      <c r="F96" s="8">
        <v>4</v>
      </c>
      <c r="G96" s="8">
        <v>1</v>
      </c>
      <c r="H96" s="8">
        <v>1</v>
      </c>
      <c r="I96" s="8">
        <v>0</v>
      </c>
      <c r="J96" s="10" t="s">
        <v>166</v>
      </c>
      <c r="K96" s="45">
        <v>250</v>
      </c>
    </row>
    <row r="97" spans="1:11" s="4" customFormat="1" ht="15.95" hidden="1" customHeight="1" x14ac:dyDescent="0.25">
      <c r="B97" s="42"/>
      <c r="C97" s="7" t="s">
        <v>22</v>
      </c>
      <c r="D97" s="7"/>
      <c r="E97" s="24">
        <f t="shared" si="4"/>
        <v>0</v>
      </c>
      <c r="F97" s="8">
        <v>6</v>
      </c>
      <c r="G97" s="8">
        <v>4</v>
      </c>
      <c r="H97" s="8">
        <v>1</v>
      </c>
      <c r="I97" s="8">
        <v>0</v>
      </c>
      <c r="J97" s="10" t="s">
        <v>166</v>
      </c>
      <c r="K97" s="45">
        <v>1166.67</v>
      </c>
    </row>
    <row r="98" spans="1:11" s="4" customFormat="1" ht="15.95" hidden="1" customHeight="1" x14ac:dyDescent="0.25">
      <c r="B98" s="42"/>
      <c r="C98" s="7" t="s">
        <v>133</v>
      </c>
      <c r="D98" s="7"/>
      <c r="E98" s="24">
        <f t="shared" si="4"/>
        <v>0</v>
      </c>
      <c r="F98" s="8">
        <v>1</v>
      </c>
      <c r="G98" s="8">
        <v>0.2</v>
      </c>
      <c r="H98" s="8">
        <v>1</v>
      </c>
      <c r="I98" s="8">
        <v>0</v>
      </c>
      <c r="J98" s="10" t="s">
        <v>166</v>
      </c>
      <c r="K98" s="45">
        <v>35.71</v>
      </c>
    </row>
    <row r="99" spans="1:11" s="4" customFormat="1" ht="15.95" hidden="1" customHeight="1" x14ac:dyDescent="0.25">
      <c r="B99" s="29" t="s">
        <v>249</v>
      </c>
      <c r="C99" s="7" t="s">
        <v>114</v>
      </c>
      <c r="D99" s="7"/>
      <c r="E99" s="24">
        <f t="shared" si="4"/>
        <v>0</v>
      </c>
      <c r="F99" s="8">
        <v>1</v>
      </c>
      <c r="G99" s="8">
        <v>0.1</v>
      </c>
      <c r="H99" s="8">
        <v>1</v>
      </c>
      <c r="I99" s="8">
        <v>0</v>
      </c>
      <c r="J99" s="10" t="s">
        <v>111</v>
      </c>
      <c r="K99" s="45">
        <v>23.33</v>
      </c>
    </row>
    <row r="100" spans="1:11" s="4" customFormat="1" ht="15.95" hidden="1" customHeight="1" x14ac:dyDescent="0.25">
      <c r="B100" s="29" t="s">
        <v>249</v>
      </c>
      <c r="C100" s="7" t="s">
        <v>116</v>
      </c>
      <c r="D100" s="7"/>
      <c r="E100" s="24">
        <f t="shared" si="4"/>
        <v>0</v>
      </c>
      <c r="F100" s="8">
        <v>0</v>
      </c>
      <c r="G100" s="8">
        <v>0</v>
      </c>
      <c r="H100" s="8">
        <v>0</v>
      </c>
      <c r="I100" s="8">
        <v>0</v>
      </c>
      <c r="J100" s="10" t="s">
        <v>166</v>
      </c>
      <c r="K100" s="45">
        <v>12.86</v>
      </c>
    </row>
    <row r="101" spans="1:11" s="4" customFormat="1" ht="15.95" hidden="1" customHeight="1" x14ac:dyDescent="0.25">
      <c r="B101" s="29" t="s">
        <v>249</v>
      </c>
      <c r="C101" s="7" t="s">
        <v>117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5">
        <v>11.9</v>
      </c>
    </row>
    <row r="102" spans="1:11" s="4" customFormat="1" ht="15.95" hidden="1" customHeight="1" x14ac:dyDescent="0.25">
      <c r="B102" s="29" t="s">
        <v>249</v>
      </c>
      <c r="C102" s="7" t="s">
        <v>118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5">
        <v>9.52</v>
      </c>
    </row>
    <row r="103" spans="1:11" s="4" customFormat="1" ht="15.95" hidden="1" customHeight="1" x14ac:dyDescent="0.25">
      <c r="C103" s="7" t="s">
        <v>252</v>
      </c>
      <c r="D103" s="7"/>
      <c r="E103" s="24">
        <f t="shared" si="4"/>
        <v>0</v>
      </c>
      <c r="F103" s="8">
        <v>1</v>
      </c>
      <c r="G103" s="8">
        <v>0</v>
      </c>
      <c r="H103" s="8">
        <v>1</v>
      </c>
      <c r="I103" s="8">
        <v>0</v>
      </c>
      <c r="J103" s="10" t="s">
        <v>111</v>
      </c>
      <c r="K103" s="45">
        <v>15.48</v>
      </c>
    </row>
    <row r="104" spans="1:11" s="4" customFormat="1" ht="15.95" hidden="1" customHeight="1" x14ac:dyDescent="0.25">
      <c r="C104" s="7" t="s">
        <v>115</v>
      </c>
      <c r="D104" s="7"/>
      <c r="E104" s="24">
        <f t="shared" si="4"/>
        <v>0</v>
      </c>
      <c r="F104" s="8">
        <v>1</v>
      </c>
      <c r="G104" s="8">
        <v>0.5</v>
      </c>
      <c r="H104" s="8">
        <v>1</v>
      </c>
      <c r="I104" s="8">
        <v>0</v>
      </c>
      <c r="J104" s="10" t="s">
        <v>111</v>
      </c>
      <c r="K104" s="45">
        <v>16.07</v>
      </c>
    </row>
    <row r="105" spans="1:11" s="4" customFormat="1" ht="15.95" hidden="1" customHeight="1" x14ac:dyDescent="0.25">
      <c r="C105" s="7" t="s">
        <v>119</v>
      </c>
      <c r="D105" s="7"/>
      <c r="E105" s="24">
        <f>I105*K105</f>
        <v>0</v>
      </c>
      <c r="F105" s="8">
        <v>1.5</v>
      </c>
      <c r="G105" s="8">
        <v>1.5</v>
      </c>
      <c r="H105" s="8">
        <v>1.5</v>
      </c>
      <c r="I105" s="8">
        <v>0</v>
      </c>
      <c r="J105" s="10" t="s">
        <v>166</v>
      </c>
      <c r="K105" s="45">
        <v>2142.86</v>
      </c>
    </row>
    <row r="106" spans="1:11" s="4" customFormat="1" ht="15.95" hidden="1" customHeight="1" x14ac:dyDescent="0.25">
      <c r="C106" s="7" t="s">
        <v>134</v>
      </c>
      <c r="D106" s="7"/>
      <c r="E106" s="24">
        <f t="shared" si="4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166</v>
      </c>
      <c r="K106" s="45">
        <v>11.9</v>
      </c>
    </row>
    <row r="107" spans="1:11" s="4" customFormat="1" ht="15.95" customHeight="1" x14ac:dyDescent="0.25">
      <c r="A107" s="21" t="s">
        <v>141</v>
      </c>
      <c r="B107" s="4" t="s">
        <v>277</v>
      </c>
      <c r="C107" s="26" t="s">
        <v>196</v>
      </c>
      <c r="D107" s="27">
        <f>SUM(E108:E131)</f>
        <v>1144.4000000000001</v>
      </c>
      <c r="E107" s="48"/>
      <c r="F107" s="27"/>
      <c r="G107" s="27"/>
      <c r="H107" s="27"/>
      <c r="I107" s="27"/>
      <c r="J107" s="28"/>
      <c r="K107" s="44"/>
    </row>
    <row r="108" spans="1:11" s="4" customFormat="1" ht="15.95" hidden="1" customHeight="1" x14ac:dyDescent="0.25">
      <c r="C108" s="7" t="s">
        <v>265</v>
      </c>
      <c r="D108" s="7"/>
      <c r="E108" s="8">
        <f t="shared" ref="E108:E131" si="6">I108*K108</f>
        <v>0</v>
      </c>
      <c r="F108" s="8">
        <v>2.5</v>
      </c>
      <c r="G108" s="8">
        <v>1</v>
      </c>
      <c r="H108" s="8">
        <v>1</v>
      </c>
      <c r="I108" s="8">
        <v>0</v>
      </c>
      <c r="J108" s="10" t="s">
        <v>166</v>
      </c>
      <c r="K108" s="30">
        <v>262.86</v>
      </c>
    </row>
    <row r="109" spans="1:11" s="4" customFormat="1" ht="15.95" hidden="1" customHeight="1" x14ac:dyDescent="0.25">
      <c r="C109" s="7" t="s">
        <v>254</v>
      </c>
      <c r="D109" s="7"/>
      <c r="E109" s="8">
        <f t="shared" si="6"/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564.6</v>
      </c>
    </row>
    <row r="110" spans="1:11" s="4" customFormat="1" ht="15.95" hidden="1" customHeight="1" x14ac:dyDescent="0.25">
      <c r="C110" s="7" t="s">
        <v>266</v>
      </c>
      <c r="D110" s="7"/>
      <c r="E110" s="8">
        <f t="shared" ref="E110" si="7">I110*K110</f>
        <v>0</v>
      </c>
      <c r="F110" s="8">
        <v>2.5</v>
      </c>
      <c r="G110" s="8">
        <v>0.5</v>
      </c>
      <c r="H110" s="8">
        <v>1</v>
      </c>
      <c r="I110" s="8">
        <v>0</v>
      </c>
      <c r="J110" s="10" t="s">
        <v>166</v>
      </c>
      <c r="K110" s="30">
        <v>358.69</v>
      </c>
    </row>
    <row r="111" spans="1:11" s="4" customFormat="1" ht="15.95" hidden="1" customHeight="1" x14ac:dyDescent="0.25">
      <c r="C111" s="7" t="s">
        <v>268</v>
      </c>
      <c r="D111" s="7"/>
      <c r="E111" s="8">
        <f t="shared" si="6"/>
        <v>358.69</v>
      </c>
      <c r="F111" s="8">
        <v>2.5</v>
      </c>
      <c r="G111" s="8">
        <v>0.8</v>
      </c>
      <c r="H111" s="8">
        <v>1</v>
      </c>
      <c r="I111" s="8">
        <v>1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285.70999999999998</v>
      </c>
      <c r="F112" s="8">
        <v>2</v>
      </c>
      <c r="G112" s="8">
        <v>0.8</v>
      </c>
      <c r="H112" s="8">
        <v>1</v>
      </c>
      <c r="I112" s="8">
        <v>1</v>
      </c>
      <c r="J112" s="10" t="s">
        <v>166</v>
      </c>
      <c r="K112" s="30">
        <v>285.70999999999998</v>
      </c>
    </row>
    <row r="113" spans="2:11" s="4" customFormat="1" ht="15.95" hidden="1" customHeight="1" x14ac:dyDescent="0.25">
      <c r="C113" s="7" t="s">
        <v>269</v>
      </c>
      <c r="D113" s="7"/>
      <c r="E113" s="8">
        <f t="shared" ref="E113" si="8">I113*K113</f>
        <v>500</v>
      </c>
      <c r="F113" s="8">
        <v>2.5</v>
      </c>
      <c r="G113" s="8">
        <v>1</v>
      </c>
      <c r="H113" s="8">
        <v>1</v>
      </c>
      <c r="I113" s="8">
        <v>2</v>
      </c>
      <c r="J113" s="10" t="s">
        <v>166</v>
      </c>
      <c r="K113" s="30">
        <v>250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278</v>
      </c>
      <c r="C132" s="26" t="s">
        <v>204</v>
      </c>
      <c r="D132" s="27">
        <f>SUM(E133:E142)</f>
        <v>2451</v>
      </c>
      <c r="E132" s="48"/>
      <c r="F132" s="27"/>
      <c r="G132" s="27"/>
      <c r="H132" s="27"/>
      <c r="I132" s="27"/>
      <c r="J132" s="28"/>
      <c r="K132" s="44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9">I133*K133</f>
        <v>70</v>
      </c>
      <c r="F133" s="12"/>
      <c r="G133" s="12"/>
      <c r="H133" s="12"/>
      <c r="I133" s="8">
        <v>2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9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267</v>
      </c>
      <c r="D135" s="7"/>
      <c r="E135" s="8">
        <f t="shared" si="9"/>
        <v>2381</v>
      </c>
      <c r="F135" s="8">
        <v>1</v>
      </c>
      <c r="G135" s="8">
        <v>0</v>
      </c>
      <c r="H135" s="8">
        <v>2</v>
      </c>
      <c r="I135" s="8">
        <v>20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9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9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9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9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9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279</v>
      </c>
      <c r="C143" s="26" t="s">
        <v>205</v>
      </c>
      <c r="D143" s="27">
        <f>SUM(E144:E150)</f>
        <v>0</v>
      </c>
      <c r="E143" s="48"/>
      <c r="F143" s="27"/>
      <c r="G143" s="27"/>
      <c r="H143" s="27"/>
      <c r="I143" s="27"/>
      <c r="J143" s="28"/>
      <c r="K143" s="44"/>
    </row>
    <row r="144" spans="1:11" s="4" customFormat="1" ht="15.95" hidden="1" customHeight="1" x14ac:dyDescent="0.25">
      <c r="C144" s="7" t="s">
        <v>264</v>
      </c>
      <c r="D144" s="7"/>
      <c r="E144" s="8">
        <f t="shared" ref="E144:E150" si="10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10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10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10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10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10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10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1363.98</v>
      </c>
      <c r="E151" s="48"/>
      <c r="F151" s="27"/>
      <c r="G151" s="27"/>
      <c r="H151" s="27"/>
      <c r="I151" s="27"/>
      <c r="J151" s="28"/>
      <c r="K151" s="44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1">I152*K152</f>
        <v>297.5</v>
      </c>
      <c r="F152" s="8"/>
      <c r="G152" s="8"/>
      <c r="H152" s="8"/>
      <c r="I152" s="8">
        <v>25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1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1"/>
        <v>420</v>
      </c>
      <c r="F158" s="8"/>
      <c r="G158" s="8"/>
      <c r="H158" s="8"/>
      <c r="I158" s="8">
        <v>42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1"/>
        <v>175</v>
      </c>
      <c r="F159" s="12"/>
      <c r="G159" s="12"/>
      <c r="H159" s="12"/>
      <c r="I159" s="8">
        <v>35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1"/>
        <v>119</v>
      </c>
      <c r="F160" s="8"/>
      <c r="G160" s="8"/>
      <c r="H160" s="8"/>
      <c r="I160" s="8">
        <v>10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1"/>
        <v>162</v>
      </c>
      <c r="F163" s="8"/>
      <c r="G163" s="8"/>
      <c r="H163" s="8"/>
      <c r="I163" s="8">
        <v>40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1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654</v>
      </c>
      <c r="E165" s="48"/>
      <c r="F165" s="27"/>
      <c r="G165" s="27"/>
      <c r="H165" s="27"/>
      <c r="I165" s="27"/>
      <c r="J165" s="28"/>
      <c r="K165" s="44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2">I166*K166</f>
        <v>0</v>
      </c>
      <c r="F166" s="12"/>
      <c r="G166" s="12"/>
      <c r="H166" s="12"/>
      <c r="I166" s="8">
        <v>0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2"/>
        <v>288</v>
      </c>
      <c r="F167" s="12"/>
      <c r="G167" s="12"/>
      <c r="H167" s="12"/>
      <c r="I167" s="8">
        <v>24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2"/>
        <v>80</v>
      </c>
      <c r="F168" s="12"/>
      <c r="G168" s="12"/>
      <c r="H168" s="12"/>
      <c r="I168" s="8">
        <v>4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2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2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2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2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2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2"/>
        <v>40</v>
      </c>
      <c r="F178" s="12"/>
      <c r="G178" s="12"/>
      <c r="H178" s="12"/>
      <c r="I178" s="8">
        <v>5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2"/>
        <v>175</v>
      </c>
      <c r="F180" s="12"/>
      <c r="G180" s="12"/>
      <c r="H180" s="12"/>
      <c r="I180" s="8">
        <v>5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2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2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2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2"/>
        <v>16</v>
      </c>
      <c r="F193" s="8"/>
      <c r="G193" s="8"/>
      <c r="H193" s="8"/>
      <c r="I193" s="8">
        <v>2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2"/>
        <v>20</v>
      </c>
      <c r="F202" s="8"/>
      <c r="G202" s="8"/>
      <c r="H202" s="8"/>
      <c r="I202" s="8">
        <v>1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2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940.8</v>
      </c>
      <c r="E208" s="48"/>
      <c r="F208" s="27"/>
      <c r="G208" s="27"/>
      <c r="H208" s="27"/>
      <c r="I208" s="27"/>
      <c r="J208" s="28"/>
      <c r="K208" s="44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3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3"/>
        <v>154.80000000000001</v>
      </c>
      <c r="F210" s="8">
        <v>1</v>
      </c>
      <c r="G210" s="8">
        <v>1</v>
      </c>
      <c r="H210" s="12"/>
      <c r="I210" s="8">
        <v>10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3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3"/>
        <v>262</v>
      </c>
      <c r="F212" s="8">
        <v>1</v>
      </c>
      <c r="G212" s="8">
        <v>1</v>
      </c>
      <c r="H212" s="12"/>
      <c r="I212" s="8">
        <v>20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3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3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3"/>
        <v>524</v>
      </c>
      <c r="F217" s="8">
        <v>1</v>
      </c>
      <c r="G217" s="8">
        <v>1</v>
      </c>
      <c r="H217" s="12"/>
      <c r="I217" s="8">
        <v>40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18875</v>
      </c>
      <c r="E220" s="48"/>
      <c r="F220" s="27"/>
      <c r="G220" s="27"/>
      <c r="H220" s="27"/>
      <c r="I220" s="27"/>
      <c r="J220" s="28"/>
      <c r="K220" s="44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4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4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4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4"/>
        <v>500</v>
      </c>
      <c r="F234" s="8"/>
      <c r="G234" s="8"/>
      <c r="H234" s="8"/>
      <c r="I234" s="8">
        <v>2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4"/>
        <v>18375</v>
      </c>
      <c r="F259" s="8">
        <v>3.5</v>
      </c>
      <c r="G259" s="8">
        <v>2.5</v>
      </c>
      <c r="H259" s="8" t="s">
        <v>271</v>
      </c>
      <c r="I259" s="8">
        <v>17.5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18000</v>
      </c>
      <c r="E260" s="34"/>
      <c r="F260" s="35"/>
      <c r="G260" s="35"/>
      <c r="H260" s="35"/>
      <c r="I260" s="35"/>
      <c r="J260" s="36"/>
      <c r="K260" s="46"/>
    </row>
    <row r="261" spans="3:11" s="22" customFormat="1" ht="15.95" hidden="1" customHeight="1" x14ac:dyDescent="0.25">
      <c r="C261" s="37"/>
      <c r="D261" s="38"/>
      <c r="E261" s="39">
        <f>K261*I261</f>
        <v>18000</v>
      </c>
      <c r="F261" s="24"/>
      <c r="G261" s="24"/>
      <c r="H261" s="24"/>
      <c r="I261" s="24">
        <v>1</v>
      </c>
      <c r="J261" s="25" t="s">
        <v>166</v>
      </c>
      <c r="K261" s="45">
        <v>18000</v>
      </c>
    </row>
    <row r="262" spans="3:11" s="22" customFormat="1" ht="15.95" customHeight="1" x14ac:dyDescent="0.25">
      <c r="C262" s="32" t="s">
        <v>146</v>
      </c>
      <c r="D262" s="33">
        <f>SUM(E263)</f>
        <v>6250</v>
      </c>
      <c r="E262" s="34"/>
      <c r="F262" s="40"/>
      <c r="G262" s="40"/>
      <c r="H262" s="40"/>
      <c r="I262" s="35"/>
      <c r="J262" s="36"/>
      <c r="K262" s="46"/>
    </row>
    <row r="263" spans="3:11" s="22" customFormat="1" ht="15.95" hidden="1" customHeight="1" x14ac:dyDescent="0.25">
      <c r="C263" s="37"/>
      <c r="D263" s="38"/>
      <c r="E263" s="39">
        <f>I263*K263</f>
        <v>6250</v>
      </c>
      <c r="F263" s="41"/>
      <c r="G263" s="41"/>
      <c r="H263" s="41"/>
      <c r="I263" s="24">
        <v>5</v>
      </c>
      <c r="J263" s="25" t="s">
        <v>149</v>
      </c>
      <c r="K263" s="45">
        <v>1250</v>
      </c>
    </row>
    <row r="264" spans="3:11" s="22" customFormat="1" ht="15.95" customHeight="1" x14ac:dyDescent="0.25">
      <c r="C264" s="32" t="s">
        <v>147</v>
      </c>
      <c r="D264" s="33">
        <f>SUM(E265)</f>
        <v>7500</v>
      </c>
      <c r="E264" s="34"/>
      <c r="F264" s="40"/>
      <c r="G264" s="40"/>
      <c r="H264" s="40"/>
      <c r="I264" s="35"/>
      <c r="J264" s="36"/>
      <c r="K264" s="46"/>
    </row>
    <row r="265" spans="3:11" s="22" customFormat="1" ht="15.95" hidden="1" customHeight="1" x14ac:dyDescent="0.25">
      <c r="C265" s="37"/>
      <c r="D265" s="38"/>
      <c r="E265" s="39">
        <f>I265*K265</f>
        <v>7500</v>
      </c>
      <c r="F265" s="41"/>
      <c r="G265" s="41"/>
      <c r="H265" s="41"/>
      <c r="I265" s="24">
        <v>5</v>
      </c>
      <c r="J265" s="25" t="s">
        <v>166</v>
      </c>
      <c r="K265" s="45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6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5">
        <v>1200</v>
      </c>
    </row>
    <row r="268" spans="3:11" s="22" customFormat="1" ht="15.95" customHeight="1" x14ac:dyDescent="0.25">
      <c r="C268" s="32" t="s">
        <v>260</v>
      </c>
      <c r="D268" s="33">
        <f>SUM(E269)</f>
        <v>1000</v>
      </c>
      <c r="E268" s="34"/>
      <c r="F268" s="40"/>
      <c r="G268" s="40"/>
      <c r="H268" s="40"/>
      <c r="I268" s="35"/>
      <c r="J268" s="36"/>
      <c r="K268" s="46"/>
    </row>
    <row r="269" spans="3:11" s="22" customFormat="1" ht="15.95" hidden="1" customHeight="1" x14ac:dyDescent="0.25">
      <c r="C269" s="37" t="s">
        <v>282</v>
      </c>
      <c r="D269" s="38"/>
      <c r="E269" s="39">
        <f>I269*K269</f>
        <v>1000</v>
      </c>
      <c r="F269" s="41"/>
      <c r="G269" s="41"/>
      <c r="H269" s="41"/>
      <c r="I269" s="24">
        <v>1</v>
      </c>
      <c r="J269" s="25" t="s">
        <v>166</v>
      </c>
      <c r="K269" s="45">
        <v>1000</v>
      </c>
    </row>
    <row r="270" spans="3:11" ht="15.95" customHeight="1" thickBot="1" x14ac:dyDescent="0.3">
      <c r="C270" s="18" t="s">
        <v>57</v>
      </c>
      <c r="D270" s="14">
        <f>SUM(D2:D269)</f>
        <v>74911.345000000001</v>
      </c>
      <c r="E270" s="15"/>
      <c r="F270" s="50"/>
      <c r="G270" s="50"/>
      <c r="H270" s="50"/>
      <c r="I270" s="50"/>
      <c r="J270" s="50"/>
      <c r="K270" s="50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2026-06-01T11:06:17Z</dcterms:modified>
</cp:coreProperties>
</file>