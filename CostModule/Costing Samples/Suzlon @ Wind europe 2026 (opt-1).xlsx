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uzlon @ Wind europe 2026\Option-1\"/>
    </mc:Choice>
  </mc:AlternateContent>
  <xr:revisionPtr revIDLastSave="0" documentId="13_ncr:1_{9DE863B2-1CA8-40AE-A995-FCF6A1823A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E116" i="1"/>
  <c r="E114" i="1"/>
  <c r="E113" i="1"/>
  <c r="E112" i="1"/>
  <c r="E139" i="1" l="1"/>
  <c r="E272" i="1" l="1"/>
  <c r="D271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7" i="1"/>
  <c r="E138" i="1"/>
  <c r="E140" i="1"/>
  <c r="E141" i="1"/>
  <c r="E142" i="1"/>
  <c r="E143" i="1"/>
  <c r="E144" i="1"/>
  <c r="E145" i="1"/>
  <c r="E148" i="1"/>
  <c r="E149" i="1"/>
  <c r="E150" i="1"/>
  <c r="E151" i="1"/>
  <c r="E152" i="1"/>
  <c r="E153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6" i="1"/>
  <c r="E195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3" i="1"/>
  <c r="E214" i="1"/>
  <c r="E215" i="1"/>
  <c r="E216" i="1"/>
  <c r="E217" i="1"/>
  <c r="E218" i="1"/>
  <c r="E219" i="1"/>
  <c r="E220" i="1"/>
  <c r="E221" i="1"/>
  <c r="E222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70" i="1" l="1"/>
  <c r="D269" i="1" s="1"/>
  <c r="E268" i="1"/>
  <c r="D267" i="1" s="1"/>
  <c r="E266" i="1"/>
  <c r="D265" i="1" s="1"/>
  <c r="E264" i="1"/>
  <c r="D263" i="1" s="1"/>
  <c r="E14" i="1" l="1"/>
  <c r="E88" i="1" l="1"/>
  <c r="D87" i="1" s="1"/>
  <c r="E15" i="1" l="1"/>
  <c r="E83" i="1" l="1"/>
  <c r="E84" i="1"/>
  <c r="E85" i="1"/>
  <c r="E212" i="1" l="1"/>
  <c r="E136" i="1"/>
  <c r="E169" i="1"/>
  <c r="D168" i="1" s="1"/>
  <c r="D211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5" i="1" l="1"/>
  <c r="E147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4" i="1"/>
  <c r="D223" i="1" s="1"/>
  <c r="D16" i="1" l="1"/>
  <c r="D154" i="1"/>
  <c r="D135" i="1"/>
  <c r="D146" i="1"/>
  <c r="D109" i="1"/>
  <c r="D273" i="1" l="1"/>
</calcChain>
</file>

<file path=xl/sharedStrings.xml><?xml version="1.0" encoding="utf-8"?>
<sst xmlns="http://schemas.openxmlformats.org/spreadsheetml/2006/main" count="590" uniqueCount="286">
  <si>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</si>
  <si>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</si>
  <si>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</si>
  <si>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</si>
  <si>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</si>
  <si>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</si>
  <si>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</si>
  <si>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</si>
  <si>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</si>
  <si>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</si>
  <si>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</si>
  <si>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</si>
  <si>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</si>
  <si>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</si>
  <si>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</si>
  <si>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</si>
  <si>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</si>
  <si>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</si>
  <si>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</si>
  <si>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</si>
  <si>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</si>
  <si>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</si>
  <si>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</si>
  <si>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</si>
  <si>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</si>
  <si>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</si>
  <si>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</si>
  <si>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</si>
  <si>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</si>
  <si>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</si>
  <si>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</si>
  <si>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</si>
  <si>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</si>
  <si>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</si>
  <si>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</si>
  <si>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</si>
  <si>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</si>
  <si>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</si>
  <si>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</si>
  <si>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</si>
  <si>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</si>
  <si>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</si>
  <si>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</si>
  <si>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</si>
  <si>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</si>
  <si>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</si>
  <si>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</si>
  <si>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</si>
  <si>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</si>
  <si>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</si>
  <si>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</si>
  <si>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</si>
  <si>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</si>
  <si>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</si>
  <si>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</si>
  <si>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</si>
  <si>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</si>
  <si>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</si>
  <si>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</si>
  <si>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</si>
  <si>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</si>
  <si>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</si>
  <si>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</si>
  <si>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</si>
  <si>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</si>
  <si>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</si>
  <si>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</si>
  <si>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</si>
  <si>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</si>
  <si>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</si>
  <si>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</si>
  <si>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</si>
  <si>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</si>
  <si>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</si>
  <si>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</si>
  <si>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</si>
  <si>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</si>
  <si>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</si>
  <si>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</si>
  <si>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</si>
  <si>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</si>
  <si>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</si>
  <si>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</si>
  <si>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</si>
  <si>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</si>
  <si>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</si>
  <si>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</si>
  <si>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</si>
  <si>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</si>
  <si>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</si>
  <si>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</si>
  <si>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</si>
  <si>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</si>
  <si>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</si>
  <si>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</si>
  <si>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</si>
  <si>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</si>
  <si>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</si>
  <si>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</si>
  <si>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</si>
  <si>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</si>
  <si>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</si>
  <si>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</si>
  <si>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</si>
  <si>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</si>
  <si>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</si>
  <si>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</si>
  <si>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</si>
  <si>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</si>
  <si>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</si>
  <si>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</si>
  <si>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</si>
  <si>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</si>
  <si>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</si>
  <si>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</si>
  <si>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</si>
  <si>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</si>
  <si>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</si>
  <si>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</si>
  <si>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</si>
  <si>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</si>
  <si>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</si>
  <si>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</si>
  <si>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</si>
  <si>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</si>
  <si>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</si>
  <si>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</si>
  <si>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</si>
  <si>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</si>
  <si>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</si>
  <si>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</si>
  <si>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</si>
  <si>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</si>
  <si>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</si>
  <si>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</si>
  <si>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</si>
  <si>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</si>
  <si>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</si>
  <si>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</si>
  <si>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</si>
  <si>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</si>
  <si>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</si>
  <si>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</si>
  <si>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</si>
  <si>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</si>
  <si>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</si>
  <si>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</si>
  <si>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</si>
  <si>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</si>
  <si>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</si>
  <si>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</si>
  <si>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</si>
  <si>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</si>
  <si>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</si>
  <si>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</si>
  <si>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</si>
  <si>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</si>
  <si>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</si>
  <si>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</si>
  <si>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</si>
  <si>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</si>
  <si>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</si>
  <si>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</si>
  <si>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</si>
  <si>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</si>
  <si>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</si>
  <si>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</si>
  <si>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</si>
  <si>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</si>
  <si>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</si>
  <si>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</si>
  <si>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</si>
  <si>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</si>
  <si>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</si>
  <si>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</si>
  <si>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</si>
  <si>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</si>
  <si>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</si>
  <si>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</si>
  <si>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</si>
  <si>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</si>
  <si>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</si>
  <si>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</si>
  <si>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</si>
  <si>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</si>
  <si>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</si>
  <si>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</si>
  <si>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</si>
  <si>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</si>
  <si>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</si>
  <si>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</si>
  <si>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</si>
  <si>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</si>
  <si>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</si>
  <si>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</si>
  <si>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</si>
  <si>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</si>
  <si>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</si>
  <si>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</si>
  <si>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</si>
  <si>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</si>
  <si>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</si>
  <si>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</si>
  <si>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</si>
  <si>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</si>
  <si>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</si>
  <si>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</si>
  <si>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</si>
  <si>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</si>
  <si>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</si>
  <si>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</si>
  <si>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</si>
  <si>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</si>
  <si>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</si>
  <si>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</si>
  <si>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</si>
  <si>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</si>
  <si>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</si>
  <si>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</si>
  <si>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</si>
  <si>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</si>
  <si>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</si>
  <si>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</si>
  <si>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</si>
  <si>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</si>
  <si>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</si>
  <si>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</si>
  <si>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</si>
  <si>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</si>
  <si>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</si>
  <si>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</si>
  <si>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</si>
  <si>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</si>
  <si>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</si>
  <si>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</si>
  <si>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</si>
  <si>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</si>
  <si>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</si>
  <si>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</si>
  <si>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</si>
  <si>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</si>
  <si>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</si>
  <si>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</si>
  <si>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</si>
  <si>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</si>
  <si>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</si>
  <si>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</si>
  <si>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</si>
  <si>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</si>
  <si>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</si>
  <si>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</si>
  <si>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</si>
  <si>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</si>
  <si>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</si>
  <si>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</si>
  <si>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</si>
  <si>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</si>
  <si>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</si>
  <si>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</si>
  <si>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</si>
  <si>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</si>
  <si>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</si>
  <si>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</si>
  <si>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</si>
  <si>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</si>
  <si>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</si>
  <si>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</si>
  <si>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</si>
  <si>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</si>
  <si>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</si>
  <si>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</si>
  <si>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</si>
  <si>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(Laminated)- 3.5 x 0.5 x 1.0</t>
  </si>
  <si>
    <t>Bar Counter-1 (Laminated)- 3.0 x 0.5 x 1.0</t>
  </si>
  <si>
    <t>Bar Counter-2 (Laminated)- 2.5 x 0.5 x 1.0</t>
  </si>
  <si>
    <t>Cabinate (Laminated)- 3.0 x 0.5 x 1.0</t>
  </si>
  <si>
    <t>Ovel shape Wooden hanging</t>
  </si>
  <si>
    <t>Opt Nr:-  1</t>
  </si>
  <si>
    <t>Date:- 20-02-2026</t>
  </si>
  <si>
    <t>SUZLON</t>
  </si>
  <si>
    <t>WIND EUROPE 2026</t>
  </si>
  <si>
    <t>10M X 8M</t>
  </si>
  <si>
    <t>80 + 42= 122 SQM</t>
  </si>
  <si>
    <t>5M</t>
  </si>
  <si>
    <t>21-23 APR, 2026</t>
  </si>
  <si>
    <t>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</si>
</sst>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146</xdr:row>
      <xdr:rowOff>0</xdr:rowOff>
    </xdr:from>
    <xdr:to>
      <xdr:col>1</xdr:col>
      <xdr:colOff>1057275</xdr:colOff>
      <xdr:row>268</xdr:row>
      <xdr:rowOff>134240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23C9F6-960F-4621-9703-379A45B6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534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277</v>
      </c>
      <c r="B1" s="31" t="s">
        <v>278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279</v>
      </c>
      <c r="C2" s="26" t="s">
        <v>151</v>
      </c>
      <c r="D2" s="27">
        <f>SUM(E3:E11)</f>
        <v>3128.52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514.07999999999993</v>
      </c>
      <c r="F4" s="8"/>
      <c r="G4" s="8"/>
      <c r="H4" s="8"/>
      <c r="I4" s="9">
        <v>54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428.7</v>
      </c>
      <c r="F5" s="8"/>
      <c r="G5" s="8"/>
      <c r="H5" s="8"/>
      <c r="I5" s="9">
        <v>30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840</v>
      </c>
      <c r="F7" s="8"/>
      <c r="G7" s="8"/>
      <c r="H7" s="8"/>
      <c r="I7" s="9">
        <v>84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145.79999999999998</v>
      </c>
      <c r="F9" s="8"/>
      <c r="G9" s="8"/>
      <c r="H9" s="8"/>
      <c r="I9" s="9">
        <v>36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1199.94</v>
      </c>
      <c r="F10" s="8"/>
      <c r="G10" s="8"/>
      <c r="H10" s="8"/>
      <c r="I10" s="9">
        <v>42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280</v>
      </c>
      <c r="C12" s="26" t="s">
        <v>194</v>
      </c>
      <c r="D12" s="52">
        <f>SUM(E13:E15)</f>
        <v>1075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810</v>
      </c>
      <c r="F15" s="8"/>
      <c r="G15" s="8"/>
      <c r="H15" s="8"/>
      <c r="I15" s="9">
        <v>1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285</v>
      </c>
      <c r="C16" s="26" t="s">
        <v>184</v>
      </c>
      <c r="D16" s="27">
        <f>SUM(E17:E86)</f>
        <v>7191.3499999999995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1400</v>
      </c>
      <c r="F18" s="8">
        <v>1</v>
      </c>
      <c r="G18" s="8">
        <v>0.1</v>
      </c>
      <c r="H18" s="8">
        <v>2.5</v>
      </c>
      <c r="I18" s="9">
        <v>20</v>
      </c>
      <c r="J18" s="10" t="s">
        <v>154</v>
      </c>
      <c r="K18" s="30">
        <v>70</v>
      </c>
    </row>
    <row r="19" spans="2:11" ht="15.95" hidden="1" customHeight="1" x14ac:dyDescent="0.25">
      <c r="B19" s="29" t="s">
        <v>249</v>
      </c>
      <c r="C19" s="7" t="s">
        <v>38</v>
      </c>
      <c r="D19" s="7"/>
      <c r="E19" s="8">
        <f t="shared" si="1"/>
        <v>801.46</v>
      </c>
      <c r="F19" s="8">
        <v>1</v>
      </c>
      <c r="G19" s="8">
        <v>0.1</v>
      </c>
      <c r="H19" s="8">
        <v>2.5</v>
      </c>
      <c r="I19" s="9">
        <v>11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309.52</v>
      </c>
      <c r="F41" s="8">
        <v>1</v>
      </c>
      <c r="G41" s="8">
        <v>0.1</v>
      </c>
      <c r="H41" s="8">
        <v>5</v>
      </c>
      <c r="I41" s="9">
        <v>4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B52" s="29" t="s">
        <v>249</v>
      </c>
      <c r="C52" s="7" t="s">
        <v>39</v>
      </c>
      <c r="D52" s="7"/>
      <c r="E52" s="8">
        <f t="shared" si="2"/>
        <v>192.85</v>
      </c>
      <c r="F52" s="8">
        <v>1</v>
      </c>
      <c r="G52" s="8">
        <v>0.2</v>
      </c>
      <c r="H52" s="8">
        <v>2.5</v>
      </c>
      <c r="I52" s="9">
        <v>2.5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1100</v>
      </c>
      <c r="F54" s="8">
        <v>1</v>
      </c>
      <c r="G54" s="8">
        <v>0.2</v>
      </c>
      <c r="H54" s="8">
        <v>2.5</v>
      </c>
      <c r="I54" s="9">
        <v>11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2:11" ht="15.95" hidden="1" customHeight="1" x14ac:dyDescent="0.25">
      <c r="B64" s="29" t="s">
        <v>249</v>
      </c>
      <c r="C64" s="7" t="s">
        <v>31</v>
      </c>
      <c r="D64" s="7"/>
      <c r="E64" s="8">
        <f t="shared" si="2"/>
        <v>1197</v>
      </c>
      <c r="F64" s="8">
        <v>1</v>
      </c>
      <c r="G64" s="8">
        <v>0.2</v>
      </c>
      <c r="H64" s="8">
        <v>4</v>
      </c>
      <c r="I64" s="9">
        <v>9.5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2000.04</v>
      </c>
      <c r="F83" s="8">
        <v>1</v>
      </c>
      <c r="G83" s="8"/>
      <c r="H83" s="8"/>
      <c r="I83" s="9">
        <v>42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190.48</v>
      </c>
      <c r="F84" s="8">
        <v>1</v>
      </c>
      <c r="G84" s="8"/>
      <c r="H84" s="8"/>
      <c r="I84" s="9">
        <v>1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284</v>
      </c>
      <c r="C87" s="26" t="s">
        <v>195</v>
      </c>
      <c r="D87" s="27">
        <f>SUM(E88:E108)</f>
        <v>3349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1625</v>
      </c>
      <c r="F88" s="24"/>
      <c r="G88" s="24"/>
      <c r="H88" s="24"/>
      <c r="I88" s="24">
        <v>65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160</v>
      </c>
      <c r="F89" s="24"/>
      <c r="G89" s="24"/>
      <c r="H89" s="24"/>
      <c r="I89" s="24">
        <v>16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64</v>
      </c>
      <c r="F90" s="24"/>
      <c r="G90" s="24"/>
      <c r="H90" s="24"/>
      <c r="I90" s="24">
        <v>32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276</v>
      </c>
      <c r="D95" s="7"/>
      <c r="E95" s="24">
        <f t="shared" ref="E95" si="5">I95*K95</f>
        <v>1500</v>
      </c>
      <c r="F95" s="8"/>
      <c r="G95" s="8"/>
      <c r="H95" s="8"/>
      <c r="I95" s="8">
        <v>1</v>
      </c>
      <c r="J95" s="10" t="s">
        <v>166</v>
      </c>
      <c r="K95" s="48">
        <v>1500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281</v>
      </c>
      <c r="C109" s="26" t="s">
        <v>196</v>
      </c>
      <c r="D109" s="27">
        <f>SUM(E110:E134)</f>
        <v>1582.55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4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4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423.86</v>
      </c>
      <c r="F113" s="8">
        <v>3.5</v>
      </c>
      <c r="G113" s="8">
        <v>0.5</v>
      </c>
      <c r="H113" s="8">
        <v>1</v>
      </c>
      <c r="I113" s="8">
        <v>1</v>
      </c>
      <c r="J113" s="10" t="s">
        <v>166</v>
      </c>
      <c r="K113" s="30">
        <v>423.86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7"/>
        <v>400</v>
      </c>
      <c r="F114" s="8">
        <v>3</v>
      </c>
      <c r="G114" s="8">
        <v>0.5</v>
      </c>
      <c r="H114" s="8">
        <v>1</v>
      </c>
      <c r="I114" s="8">
        <v>1</v>
      </c>
      <c r="J114" s="10" t="s">
        <v>166</v>
      </c>
      <c r="K114" s="30">
        <v>400</v>
      </c>
    </row>
    <row r="115" spans="2:11" s="4" customFormat="1" ht="15.95" hidden="1" customHeight="1" x14ac:dyDescent="0.25">
      <c r="C115" s="7" t="s">
        <v>274</v>
      </c>
      <c r="D115" s="7"/>
      <c r="E115" s="8">
        <f t="shared" si="6"/>
        <v>358.69</v>
      </c>
      <c r="F115" s="8">
        <v>2.5</v>
      </c>
      <c r="G115" s="8">
        <v>0.5</v>
      </c>
      <c r="H115" s="8">
        <v>1</v>
      </c>
      <c r="I115" s="8">
        <v>1</v>
      </c>
      <c r="J115" s="10" t="s">
        <v>166</v>
      </c>
      <c r="K115" s="30">
        <v>358.69</v>
      </c>
    </row>
    <row r="116" spans="2:11" s="4" customFormat="1" ht="15.95" hidden="1" customHeight="1" x14ac:dyDescent="0.25">
      <c r="C116" s="7" t="s">
        <v>275</v>
      </c>
      <c r="D116" s="7"/>
      <c r="E116" s="8">
        <f t="shared" si="6"/>
        <v>400</v>
      </c>
      <c r="F116" s="8">
        <v>3</v>
      </c>
      <c r="G116" s="8">
        <v>0.5</v>
      </c>
      <c r="H116" s="8">
        <v>1</v>
      </c>
      <c r="I116" s="8">
        <v>1</v>
      </c>
      <c r="J116" s="10" t="s">
        <v>166</v>
      </c>
      <c r="K116" s="30">
        <v>400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302.29000000000002</v>
      </c>
    </row>
    <row r="118" spans="2:11" s="4" customFormat="1" ht="15.95" hidden="1" customHeight="1" x14ac:dyDescent="0.25">
      <c r="C118" s="7" t="s">
        <v>253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604.02</v>
      </c>
    </row>
    <row r="119" spans="2:11" s="4" customFormat="1" ht="15.95" hidden="1" customHeight="1" x14ac:dyDescent="0.25">
      <c r="C119" s="7" t="s">
        <v>256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423.86</v>
      </c>
    </row>
    <row r="120" spans="2:11" s="4" customFormat="1" ht="15.95" hidden="1" customHeight="1" x14ac:dyDescent="0.25">
      <c r="C120" s="7" t="s">
        <v>157</v>
      </c>
      <c r="D120" s="7"/>
      <c r="E120" s="8">
        <f t="shared" si="6"/>
        <v>0</v>
      </c>
      <c r="F120" s="8">
        <v>4</v>
      </c>
      <c r="G120" s="8">
        <v>0.5</v>
      </c>
      <c r="H120" s="8">
        <v>1</v>
      </c>
      <c r="I120" s="8">
        <v>0</v>
      </c>
      <c r="J120" s="10" t="s">
        <v>166</v>
      </c>
      <c r="K120" s="30">
        <v>595.24</v>
      </c>
    </row>
    <row r="121" spans="2:11" s="4" customFormat="1" ht="15.95" hidden="1" customHeight="1" x14ac:dyDescent="0.25">
      <c r="C121" s="7" t="s">
        <v>197</v>
      </c>
      <c r="D121" s="7"/>
      <c r="E121" s="8">
        <f t="shared" si="6"/>
        <v>0</v>
      </c>
      <c r="F121" s="8">
        <v>1.5</v>
      </c>
      <c r="G121" s="8">
        <v>0.4</v>
      </c>
      <c r="H121" s="8">
        <v>1</v>
      </c>
      <c r="I121" s="8">
        <v>0</v>
      </c>
      <c r="J121" s="10" t="s">
        <v>166</v>
      </c>
      <c r="K121" s="30">
        <v>161.9</v>
      </c>
    </row>
    <row r="122" spans="2:11" s="4" customFormat="1" ht="15.95" hidden="1" customHeight="1" x14ac:dyDescent="0.25">
      <c r="C122" s="7" t="s">
        <v>198</v>
      </c>
      <c r="D122" s="7"/>
      <c r="E122" s="8">
        <f t="shared" si="6"/>
        <v>0</v>
      </c>
      <c r="F122" s="8">
        <v>1</v>
      </c>
      <c r="G122" s="8">
        <v>0.5</v>
      </c>
      <c r="H122" s="8">
        <v>0.9</v>
      </c>
      <c r="I122" s="8">
        <v>0</v>
      </c>
      <c r="J122" s="10" t="s">
        <v>166</v>
      </c>
      <c r="K122" s="30">
        <v>190.48</v>
      </c>
    </row>
    <row r="123" spans="2:11" s="4" customFormat="1" ht="15.95" hidden="1" customHeight="1" x14ac:dyDescent="0.25">
      <c r="C123" s="7" t="s">
        <v>199</v>
      </c>
      <c r="D123" s="7"/>
      <c r="E123" s="8">
        <f t="shared" si="6"/>
        <v>0</v>
      </c>
      <c r="F123" s="8">
        <v>2.4</v>
      </c>
      <c r="G123" s="8">
        <v>0.4</v>
      </c>
      <c r="H123" s="8">
        <v>1</v>
      </c>
      <c r="I123" s="8">
        <v>0</v>
      </c>
      <c r="J123" s="10" t="s">
        <v>166</v>
      </c>
      <c r="K123" s="30">
        <v>216.67</v>
      </c>
    </row>
    <row r="124" spans="2:11" s="4" customFormat="1" ht="15.95" hidden="1" customHeight="1" x14ac:dyDescent="0.25">
      <c r="C124" s="7" t="s">
        <v>200</v>
      </c>
      <c r="D124" s="7"/>
      <c r="E124" s="8">
        <f t="shared" si="6"/>
        <v>0</v>
      </c>
      <c r="F124" s="8">
        <v>1.2</v>
      </c>
      <c r="G124" s="8">
        <v>0.4</v>
      </c>
      <c r="H124" s="8">
        <v>1</v>
      </c>
      <c r="I124" s="8">
        <v>0</v>
      </c>
      <c r="J124" s="10" t="s">
        <v>166</v>
      </c>
      <c r="K124" s="30">
        <v>154.76</v>
      </c>
    </row>
    <row r="125" spans="2:11" s="4" customFormat="1" ht="15.95" hidden="1" customHeight="1" x14ac:dyDescent="0.25">
      <c r="C125" s="7" t="s">
        <v>201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177.98</v>
      </c>
    </row>
    <row r="126" spans="2:11" s="4" customFormat="1" ht="15.95" hidden="1" customHeight="1" x14ac:dyDescent="0.25">
      <c r="C126" s="7" t="s">
        <v>202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260.12</v>
      </c>
    </row>
    <row r="127" spans="2:11" s="4" customFormat="1" ht="15.95" hidden="1" customHeight="1" x14ac:dyDescent="0.25">
      <c r="B127" s="29" t="s">
        <v>249</v>
      </c>
      <c r="C127" s="7" t="s">
        <v>120</v>
      </c>
      <c r="D127" s="7"/>
      <c r="E127" s="8">
        <f t="shared" si="6"/>
        <v>0</v>
      </c>
      <c r="F127" s="8">
        <v>0.5</v>
      </c>
      <c r="G127" s="8">
        <v>0.5</v>
      </c>
      <c r="H127" s="8">
        <v>2</v>
      </c>
      <c r="I127" s="8">
        <v>0</v>
      </c>
      <c r="J127" s="10" t="s">
        <v>166</v>
      </c>
      <c r="K127" s="30">
        <v>210</v>
      </c>
    </row>
    <row r="128" spans="2:11" s="4" customFormat="1" ht="15.95" hidden="1" customHeight="1" x14ac:dyDescent="0.25">
      <c r="C128" s="7" t="s">
        <v>125</v>
      </c>
      <c r="D128" s="7"/>
      <c r="E128" s="8">
        <f t="shared" si="6"/>
        <v>0</v>
      </c>
      <c r="F128" s="8">
        <v>2.1</v>
      </c>
      <c r="G128" s="8">
        <v>2</v>
      </c>
      <c r="H128" s="8">
        <v>0.9</v>
      </c>
      <c r="I128" s="8">
        <v>0</v>
      </c>
      <c r="J128" s="10" t="s">
        <v>166</v>
      </c>
      <c r="K128" s="30">
        <v>223.81</v>
      </c>
    </row>
    <row r="129" spans="1:11" s="4" customFormat="1" ht="15.95" hidden="1" customHeight="1" x14ac:dyDescent="0.25">
      <c r="C129" s="7" t="s">
        <v>126</v>
      </c>
      <c r="D129" s="7"/>
      <c r="E129" s="8">
        <f t="shared" si="6"/>
        <v>0</v>
      </c>
      <c r="F129" s="8">
        <v>0.45</v>
      </c>
      <c r="G129" s="8">
        <v>0.45</v>
      </c>
      <c r="H129" s="8">
        <v>0.5</v>
      </c>
      <c r="I129" s="8">
        <v>0</v>
      </c>
      <c r="J129" s="10" t="s">
        <v>166</v>
      </c>
      <c r="K129" s="30">
        <v>65</v>
      </c>
    </row>
    <row r="130" spans="1:11" s="4" customFormat="1" ht="15.95" hidden="1" customHeight="1" x14ac:dyDescent="0.25">
      <c r="C130" s="7" t="s">
        <v>127</v>
      </c>
      <c r="D130" s="7"/>
      <c r="E130" s="8">
        <f t="shared" si="6"/>
        <v>0</v>
      </c>
      <c r="F130" s="8">
        <v>1.1000000000000001</v>
      </c>
      <c r="G130" s="8">
        <v>0.35</v>
      </c>
      <c r="H130" s="8">
        <v>1.8</v>
      </c>
      <c r="I130" s="8">
        <v>0</v>
      </c>
      <c r="J130" s="10" t="s">
        <v>166</v>
      </c>
      <c r="K130" s="30">
        <v>35</v>
      </c>
    </row>
    <row r="131" spans="1:11" s="4" customFormat="1" ht="15.95" hidden="1" customHeight="1" x14ac:dyDescent="0.25">
      <c r="B131" s="29" t="s">
        <v>249</v>
      </c>
      <c r="C131" s="7" t="s">
        <v>55</v>
      </c>
      <c r="D131" s="7"/>
      <c r="E131" s="8">
        <f t="shared" si="6"/>
        <v>0</v>
      </c>
      <c r="F131" s="8"/>
      <c r="G131" s="8"/>
      <c r="H131" s="8"/>
      <c r="I131" s="8">
        <v>0</v>
      </c>
      <c r="J131" s="10" t="s">
        <v>166</v>
      </c>
      <c r="K131" s="30">
        <v>12</v>
      </c>
    </row>
    <row r="132" spans="1:11" s="4" customFormat="1" ht="15.95" hidden="1" customHeight="1" x14ac:dyDescent="0.25">
      <c r="C132" s="7" t="s">
        <v>130</v>
      </c>
      <c r="D132" s="7"/>
      <c r="E132" s="8">
        <f t="shared" si="6"/>
        <v>0</v>
      </c>
      <c r="F132" s="8">
        <v>1</v>
      </c>
      <c r="G132" s="8">
        <v>0.1</v>
      </c>
      <c r="H132" s="8">
        <v>1</v>
      </c>
      <c r="I132" s="8">
        <v>0</v>
      </c>
      <c r="J132" s="10" t="s">
        <v>111</v>
      </c>
      <c r="K132" s="30">
        <v>21.9</v>
      </c>
    </row>
    <row r="133" spans="1:11" s="4" customFormat="1" ht="15.95" hidden="1" customHeight="1" x14ac:dyDescent="0.25">
      <c r="C133" s="7" t="s">
        <v>203</v>
      </c>
      <c r="D133" s="7"/>
      <c r="E133" s="8">
        <f t="shared" si="6"/>
        <v>0</v>
      </c>
      <c r="F133" s="8">
        <v>0.5</v>
      </c>
      <c r="G133" s="8">
        <v>0.5</v>
      </c>
      <c r="H133" s="8">
        <v>0.5</v>
      </c>
      <c r="I133" s="8">
        <v>0</v>
      </c>
      <c r="J133" s="10" t="s">
        <v>166</v>
      </c>
      <c r="K133" s="30">
        <v>177.98</v>
      </c>
    </row>
    <row r="134" spans="1:11" s="4" customFormat="1" ht="15.95" hidden="1" customHeight="1" x14ac:dyDescent="0.25">
      <c r="C134" s="7" t="s">
        <v>178</v>
      </c>
      <c r="D134" s="7"/>
      <c r="E134" s="8">
        <f t="shared" si="6"/>
        <v>0</v>
      </c>
      <c r="F134" s="8">
        <v>0.84</v>
      </c>
      <c r="G134" s="8">
        <v>0.84</v>
      </c>
      <c r="H134" s="8">
        <v>2.1</v>
      </c>
      <c r="I134" s="8">
        <v>0</v>
      </c>
      <c r="J134" s="10" t="s">
        <v>166</v>
      </c>
      <c r="K134" s="30">
        <v>383.33</v>
      </c>
    </row>
    <row r="135" spans="1:11" s="4" customFormat="1" ht="15.95" customHeight="1" x14ac:dyDescent="0.25">
      <c r="A135" s="21" t="s">
        <v>143</v>
      </c>
      <c r="B135" s="4" t="s">
        <v>282</v>
      </c>
      <c r="C135" s="26" t="s">
        <v>204</v>
      </c>
      <c r="D135" s="27">
        <f>SUM(E136:E145)</f>
        <v>1630.29</v>
      </c>
      <c r="E135" s="51"/>
      <c r="F135" s="27"/>
      <c r="G135" s="27"/>
      <c r="H135" s="27"/>
      <c r="I135" s="27"/>
      <c r="J135" s="28"/>
      <c r="K135" s="47"/>
    </row>
    <row r="136" spans="1:11" s="4" customFormat="1" ht="15.95" hidden="1" customHeight="1" x14ac:dyDescent="0.25">
      <c r="B136" s="29" t="s">
        <v>249</v>
      </c>
      <c r="C136" s="7" t="s">
        <v>49</v>
      </c>
      <c r="D136" s="7"/>
      <c r="E136" s="8">
        <f t="shared" ref="E136:E145" si="8">I136*K136</f>
        <v>35</v>
      </c>
      <c r="F136" s="12"/>
      <c r="G136" s="12"/>
      <c r="H136" s="12"/>
      <c r="I136" s="8">
        <v>1</v>
      </c>
      <c r="J136" s="10" t="s">
        <v>166</v>
      </c>
      <c r="K136" s="30">
        <v>35</v>
      </c>
    </row>
    <row r="137" spans="1:11" s="4" customFormat="1" ht="15.95" hidden="1" customHeight="1" x14ac:dyDescent="0.25">
      <c r="B137" s="29" t="s">
        <v>249</v>
      </c>
      <c r="C137" s="7" t="s">
        <v>50</v>
      </c>
      <c r="D137" s="7"/>
      <c r="E137" s="8">
        <f t="shared" si="8"/>
        <v>50</v>
      </c>
      <c r="F137" s="8"/>
      <c r="G137" s="8"/>
      <c r="H137" s="8"/>
      <c r="I137" s="8">
        <v>1</v>
      </c>
      <c r="J137" s="10" t="s">
        <v>166</v>
      </c>
      <c r="K137" s="30">
        <v>50</v>
      </c>
    </row>
    <row r="138" spans="1:11" s="4" customFormat="1" ht="15.95" hidden="1" customHeight="1" x14ac:dyDescent="0.25">
      <c r="B138" s="29" t="s">
        <v>249</v>
      </c>
      <c r="C138" s="7" t="s">
        <v>271</v>
      </c>
      <c r="D138" s="7"/>
      <c r="E138" s="8">
        <f t="shared" si="8"/>
        <v>595.25</v>
      </c>
      <c r="F138" s="8">
        <v>1</v>
      </c>
      <c r="G138" s="8">
        <v>0</v>
      </c>
      <c r="H138" s="8">
        <v>2</v>
      </c>
      <c r="I138" s="8">
        <v>5</v>
      </c>
      <c r="J138" s="10" t="s">
        <v>166</v>
      </c>
      <c r="K138" s="30">
        <v>119.05</v>
      </c>
    </row>
    <row r="139" spans="1:11" s="4" customFormat="1" ht="15.95" hidden="1" customHeight="1" x14ac:dyDescent="0.25">
      <c r="C139" s="7" t="s">
        <v>122</v>
      </c>
      <c r="D139" s="7"/>
      <c r="E139" s="8">
        <f t="shared" si="8"/>
        <v>0</v>
      </c>
      <c r="F139" s="8">
        <v>1</v>
      </c>
      <c r="G139" s="8">
        <v>1</v>
      </c>
      <c r="H139" s="8"/>
      <c r="I139" s="8">
        <v>0</v>
      </c>
      <c r="J139" s="10" t="s">
        <v>111</v>
      </c>
      <c r="K139" s="30">
        <v>28.57</v>
      </c>
    </row>
    <row r="140" spans="1:11" s="4" customFormat="1" ht="15.95" hidden="1" customHeight="1" x14ac:dyDescent="0.25">
      <c r="C140" s="7" t="s">
        <v>74</v>
      </c>
      <c r="D140" s="7"/>
      <c r="E140" s="8">
        <f t="shared" si="8"/>
        <v>0</v>
      </c>
      <c r="F140" s="8">
        <v>1</v>
      </c>
      <c r="G140" s="8">
        <v>0</v>
      </c>
      <c r="H140" s="8">
        <v>1</v>
      </c>
      <c r="I140" s="8">
        <v>0</v>
      </c>
      <c r="J140" s="10" t="s">
        <v>166</v>
      </c>
      <c r="K140" s="30">
        <v>11.9</v>
      </c>
    </row>
    <row r="141" spans="1:11" s="4" customFormat="1" ht="15.95" hidden="1" customHeight="1" x14ac:dyDescent="0.25">
      <c r="C141" s="7" t="s">
        <v>20</v>
      </c>
      <c r="D141" s="7"/>
      <c r="E141" s="8">
        <f t="shared" si="8"/>
        <v>0</v>
      </c>
      <c r="F141" s="8">
        <v>2</v>
      </c>
      <c r="G141" s="8">
        <v>0.2</v>
      </c>
      <c r="H141" s="8">
        <v>0.2</v>
      </c>
      <c r="I141" s="8">
        <v>0</v>
      </c>
      <c r="J141" s="10" t="s">
        <v>166</v>
      </c>
      <c r="K141" s="30">
        <v>136.9</v>
      </c>
    </row>
    <row r="142" spans="1:11" s="4" customFormat="1" ht="15.95" hidden="1" customHeight="1" x14ac:dyDescent="0.25">
      <c r="C142" s="7" t="s">
        <v>171</v>
      </c>
      <c r="D142" s="7"/>
      <c r="E142" s="8">
        <f t="shared" si="8"/>
        <v>950.04000000000008</v>
      </c>
      <c r="F142" s="8">
        <v>1</v>
      </c>
      <c r="G142" s="8">
        <v>1</v>
      </c>
      <c r="H142" s="8">
        <v>0</v>
      </c>
      <c r="I142" s="8">
        <v>42</v>
      </c>
      <c r="J142" s="10" t="s">
        <v>111</v>
      </c>
      <c r="K142" s="30">
        <v>22.62</v>
      </c>
    </row>
    <row r="143" spans="1:11" s="4" customFormat="1" ht="15.95" hidden="1" customHeight="1" x14ac:dyDescent="0.25">
      <c r="C143" s="7" t="s">
        <v>162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83.33</v>
      </c>
    </row>
    <row r="144" spans="1:11" s="4" customFormat="1" ht="15.95" hidden="1" customHeight="1" x14ac:dyDescent="0.25">
      <c r="C144" s="7" t="s">
        <v>163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32.14</v>
      </c>
    </row>
    <row r="145" spans="1:11" s="4" customFormat="1" ht="15.95" hidden="1" customHeight="1" x14ac:dyDescent="0.25">
      <c r="C145" s="7" t="s">
        <v>164</v>
      </c>
      <c r="D145" s="7"/>
      <c r="E145" s="8">
        <f t="shared" si="8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38.1</v>
      </c>
    </row>
    <row r="146" spans="1:11" s="4" customFormat="1" ht="15.95" customHeight="1" x14ac:dyDescent="0.25">
      <c r="A146" s="21" t="s">
        <v>142</v>
      </c>
      <c r="B146" s="4" t="s">
        <v>283</v>
      </c>
      <c r="C146" s="26" t="s">
        <v>205</v>
      </c>
      <c r="D146" s="27">
        <f>SUM(E147:E153)</f>
        <v>682.56</v>
      </c>
      <c r="E146" s="51"/>
      <c r="F146" s="27"/>
      <c r="G146" s="27"/>
      <c r="H146" s="27"/>
      <c r="I146" s="27"/>
      <c r="J146" s="28"/>
      <c r="K146" s="47"/>
    </row>
    <row r="147" spans="1:11" s="4" customFormat="1" ht="15.95" hidden="1" customHeight="1" x14ac:dyDescent="0.25">
      <c r="C147" s="7" t="s">
        <v>268</v>
      </c>
      <c r="D147" s="7"/>
      <c r="E147" s="8">
        <f t="shared" ref="E147:E153" si="9">I147*K147</f>
        <v>328.56</v>
      </c>
      <c r="F147" s="8">
        <v>1.5</v>
      </c>
      <c r="G147" s="8">
        <v>0.2</v>
      </c>
      <c r="H147" s="8">
        <v>0.2</v>
      </c>
      <c r="I147" s="8">
        <v>3</v>
      </c>
      <c r="J147" s="10" t="s">
        <v>166</v>
      </c>
      <c r="K147" s="30">
        <v>109.52</v>
      </c>
    </row>
    <row r="148" spans="1:11" s="4" customFormat="1" ht="15.95" hidden="1" customHeight="1" x14ac:dyDescent="0.25">
      <c r="C148" s="7" t="s">
        <v>86</v>
      </c>
      <c r="D148" s="7"/>
      <c r="E148" s="8">
        <f t="shared" si="9"/>
        <v>0</v>
      </c>
      <c r="F148" s="8">
        <v>6</v>
      </c>
      <c r="G148" s="8">
        <v>0.2</v>
      </c>
      <c r="H148" s="8">
        <v>1</v>
      </c>
      <c r="I148" s="8">
        <v>0</v>
      </c>
      <c r="J148" s="10" t="s">
        <v>166</v>
      </c>
      <c r="K148" s="30">
        <v>219.05</v>
      </c>
    </row>
    <row r="149" spans="1:11" s="4" customFormat="1" ht="15.95" hidden="1" customHeight="1" x14ac:dyDescent="0.25">
      <c r="C149" s="7" t="s">
        <v>180</v>
      </c>
      <c r="D149" s="7"/>
      <c r="E149" s="8">
        <f t="shared" si="9"/>
        <v>54</v>
      </c>
      <c r="F149" s="8">
        <v>0</v>
      </c>
      <c r="G149" s="8">
        <v>0</v>
      </c>
      <c r="H149" s="8">
        <v>0</v>
      </c>
      <c r="I149" s="8">
        <v>18</v>
      </c>
      <c r="J149" s="10" t="s">
        <v>166</v>
      </c>
      <c r="K149" s="30">
        <v>3</v>
      </c>
    </row>
    <row r="150" spans="1:11" s="4" customFormat="1" ht="15.95" hidden="1" customHeight="1" x14ac:dyDescent="0.25">
      <c r="C150" s="7" t="s">
        <v>53</v>
      </c>
      <c r="D150" s="7"/>
      <c r="E150" s="8">
        <f t="shared" si="9"/>
        <v>160</v>
      </c>
      <c r="F150" s="8">
        <v>0</v>
      </c>
      <c r="G150" s="8">
        <v>0</v>
      </c>
      <c r="H150" s="8">
        <v>0</v>
      </c>
      <c r="I150" s="8">
        <v>4</v>
      </c>
      <c r="J150" s="10" t="s">
        <v>166</v>
      </c>
      <c r="K150" s="30">
        <v>40</v>
      </c>
    </row>
    <row r="151" spans="1:11" s="4" customFormat="1" ht="15.95" hidden="1" customHeight="1" x14ac:dyDescent="0.25">
      <c r="B151" s="29" t="s">
        <v>249</v>
      </c>
      <c r="C151" s="7" t="s">
        <v>72</v>
      </c>
      <c r="D151" s="7"/>
      <c r="E151" s="8">
        <f t="shared" si="9"/>
        <v>0</v>
      </c>
      <c r="F151" s="8">
        <v>0.5</v>
      </c>
      <c r="G151" s="8">
        <v>0.5</v>
      </c>
      <c r="H151" s="8"/>
      <c r="I151" s="8">
        <v>0</v>
      </c>
      <c r="J151" s="10" t="s">
        <v>111</v>
      </c>
      <c r="K151" s="30">
        <v>25</v>
      </c>
    </row>
    <row r="152" spans="1:11" s="4" customFormat="1" ht="15.95" hidden="1" customHeight="1" x14ac:dyDescent="0.25">
      <c r="C152" s="7" t="s">
        <v>91</v>
      </c>
      <c r="D152" s="7"/>
      <c r="E152" s="8">
        <f t="shared" si="9"/>
        <v>0</v>
      </c>
      <c r="F152" s="8"/>
      <c r="G152" s="8"/>
      <c r="H152" s="8"/>
      <c r="I152" s="8">
        <v>0</v>
      </c>
      <c r="J152" s="10" t="s">
        <v>166</v>
      </c>
      <c r="K152" s="30">
        <v>25</v>
      </c>
    </row>
    <row r="153" spans="1:11" s="4" customFormat="1" ht="15.95" hidden="1" customHeight="1" x14ac:dyDescent="0.25">
      <c r="C153" s="7" t="s">
        <v>248</v>
      </c>
      <c r="D153" s="7"/>
      <c r="E153" s="8">
        <f t="shared" si="9"/>
        <v>140</v>
      </c>
      <c r="F153" s="8"/>
      <c r="G153" s="8"/>
      <c r="H153" s="8"/>
      <c r="I153" s="8">
        <v>7</v>
      </c>
      <c r="J153" s="10" t="s">
        <v>166</v>
      </c>
      <c r="K153" s="30">
        <v>20</v>
      </c>
    </row>
    <row r="154" spans="1:11" s="4" customFormat="1" ht="15.95" customHeight="1" x14ac:dyDescent="0.25">
      <c r="C154" s="26" t="s">
        <v>132</v>
      </c>
      <c r="D154" s="27">
        <f>SUM(E155:E167)</f>
        <v>1967.96</v>
      </c>
      <c r="E154" s="51"/>
      <c r="F154" s="27"/>
      <c r="G154" s="27"/>
      <c r="H154" s="27"/>
      <c r="I154" s="27"/>
      <c r="J154" s="28"/>
      <c r="K154" s="47"/>
    </row>
    <row r="155" spans="1:11" s="4" customFormat="1" ht="15.95" hidden="1" customHeight="1" x14ac:dyDescent="0.25">
      <c r="B155" s="29" t="s">
        <v>249</v>
      </c>
      <c r="C155" s="7" t="s">
        <v>19</v>
      </c>
      <c r="D155" s="7"/>
      <c r="E155" s="8">
        <f t="shared" ref="E155:E167" si="10">I155*K155</f>
        <v>178.5</v>
      </c>
      <c r="F155" s="8"/>
      <c r="G155" s="8"/>
      <c r="H155" s="8"/>
      <c r="I155" s="8">
        <v>15</v>
      </c>
      <c r="J155" s="10" t="s">
        <v>166</v>
      </c>
      <c r="K155" s="30">
        <v>11.9</v>
      </c>
    </row>
    <row r="156" spans="1:11" s="4" customFormat="1" ht="15.95" hidden="1" customHeight="1" x14ac:dyDescent="0.25">
      <c r="B156" s="29" t="s">
        <v>249</v>
      </c>
      <c r="C156" s="7" t="s">
        <v>62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50</v>
      </c>
    </row>
    <row r="157" spans="1:11" s="4" customFormat="1" ht="15.95" hidden="1" customHeight="1" x14ac:dyDescent="0.25">
      <c r="B157" s="29" t="s">
        <v>249</v>
      </c>
      <c r="C157" s="7" t="s">
        <v>63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65</v>
      </c>
    </row>
    <row r="158" spans="1:11" s="4" customFormat="1" ht="15.95" hidden="1" customHeight="1" x14ac:dyDescent="0.25">
      <c r="C158" s="7" t="s">
        <v>82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23.81</v>
      </c>
    </row>
    <row r="159" spans="1:11" s="4" customFormat="1" ht="15.95" hidden="1" customHeight="1" x14ac:dyDescent="0.25">
      <c r="C159" s="7" t="s">
        <v>83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14.29</v>
      </c>
    </row>
    <row r="160" spans="1:11" s="4" customFormat="1" ht="15.95" hidden="1" customHeight="1" x14ac:dyDescent="0.25">
      <c r="B160" s="29" t="s">
        <v>249</v>
      </c>
      <c r="C160" s="7" t="s">
        <v>64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10</v>
      </c>
    </row>
    <row r="161" spans="2:11" s="4" customFormat="1" ht="15.95" hidden="1" customHeight="1" x14ac:dyDescent="0.25">
      <c r="B161" s="29" t="s">
        <v>249</v>
      </c>
      <c r="C161" s="7" t="s">
        <v>18</v>
      </c>
      <c r="D161" s="7"/>
      <c r="E161" s="8">
        <f t="shared" si="10"/>
        <v>350</v>
      </c>
      <c r="F161" s="8"/>
      <c r="G161" s="8"/>
      <c r="H161" s="8"/>
      <c r="I161" s="8">
        <v>35</v>
      </c>
      <c r="J161" s="10" t="s">
        <v>166</v>
      </c>
      <c r="K161" s="30">
        <v>10</v>
      </c>
    </row>
    <row r="162" spans="2:11" s="4" customFormat="1" ht="15.95" hidden="1" customHeight="1" x14ac:dyDescent="0.25">
      <c r="C162" s="7" t="s">
        <v>51</v>
      </c>
      <c r="D162" s="7"/>
      <c r="E162" s="8">
        <f t="shared" si="10"/>
        <v>175</v>
      </c>
      <c r="F162" s="12"/>
      <c r="G162" s="12"/>
      <c r="H162" s="12"/>
      <c r="I162" s="8">
        <v>35</v>
      </c>
      <c r="J162" s="10" t="s">
        <v>166</v>
      </c>
      <c r="K162" s="30">
        <v>5</v>
      </c>
    </row>
    <row r="163" spans="2:11" s="4" customFormat="1" ht="15.95" hidden="1" customHeight="1" x14ac:dyDescent="0.25">
      <c r="B163" s="29" t="s">
        <v>249</v>
      </c>
      <c r="C163" s="7" t="s">
        <v>17</v>
      </c>
      <c r="D163" s="7"/>
      <c r="E163" s="8">
        <f t="shared" si="10"/>
        <v>357</v>
      </c>
      <c r="F163" s="8"/>
      <c r="G163" s="8"/>
      <c r="H163" s="8"/>
      <c r="I163" s="8">
        <v>30</v>
      </c>
      <c r="J163" s="10" t="s">
        <v>166</v>
      </c>
      <c r="K163" s="30">
        <v>11.9</v>
      </c>
    </row>
    <row r="164" spans="2:11" s="4" customFormat="1" ht="15.95" hidden="1" customHeight="1" x14ac:dyDescent="0.25">
      <c r="C164" s="7" t="s">
        <v>56</v>
      </c>
      <c r="D164" s="7"/>
      <c r="E164" s="8">
        <f t="shared" si="10"/>
        <v>0</v>
      </c>
      <c r="F164" s="8"/>
      <c r="G164" s="8"/>
      <c r="H164" s="8"/>
      <c r="I164" s="8">
        <v>0</v>
      </c>
      <c r="J164" s="10" t="s">
        <v>166</v>
      </c>
      <c r="K164" s="30">
        <v>4.76</v>
      </c>
    </row>
    <row r="165" spans="2:11" s="4" customFormat="1" ht="15.95" hidden="1" customHeight="1" x14ac:dyDescent="0.25">
      <c r="C165" s="7" t="s">
        <v>16</v>
      </c>
      <c r="D165" s="7"/>
      <c r="E165" s="8">
        <f t="shared" si="10"/>
        <v>0</v>
      </c>
      <c r="F165" s="8"/>
      <c r="G165" s="8"/>
      <c r="H165" s="8"/>
      <c r="I165" s="8">
        <v>0</v>
      </c>
      <c r="J165" s="10" t="s">
        <v>166</v>
      </c>
      <c r="K165" s="30">
        <v>2.38</v>
      </c>
    </row>
    <row r="166" spans="2:11" ht="15.95" hidden="1" customHeight="1" x14ac:dyDescent="0.25">
      <c r="C166" s="7" t="s">
        <v>188</v>
      </c>
      <c r="D166" s="7"/>
      <c r="E166" s="8">
        <f t="shared" si="10"/>
        <v>526.5</v>
      </c>
      <c r="F166" s="8"/>
      <c r="G166" s="8"/>
      <c r="H166" s="8"/>
      <c r="I166" s="8">
        <v>130</v>
      </c>
      <c r="J166" s="10" t="s">
        <v>150</v>
      </c>
      <c r="K166" s="30">
        <v>4.05</v>
      </c>
    </row>
    <row r="167" spans="2:11" s="4" customFormat="1" ht="15.95" hidden="1" customHeight="1" x14ac:dyDescent="0.25">
      <c r="C167" s="7" t="s">
        <v>158</v>
      </c>
      <c r="D167" s="7"/>
      <c r="E167" s="8">
        <f t="shared" si="10"/>
        <v>380.96</v>
      </c>
      <c r="F167" s="8"/>
      <c r="G167" s="8"/>
      <c r="H167" s="8"/>
      <c r="I167" s="8">
        <v>2</v>
      </c>
      <c r="J167" s="10" t="s">
        <v>166</v>
      </c>
      <c r="K167" s="30">
        <v>190.48</v>
      </c>
    </row>
    <row r="168" spans="2:11" s="4" customFormat="1" ht="15.95" customHeight="1" x14ac:dyDescent="0.25">
      <c r="C168" s="26" t="s">
        <v>206</v>
      </c>
      <c r="D168" s="27">
        <f>SUM(E169:E210)</f>
        <v>848</v>
      </c>
      <c r="E168" s="51"/>
      <c r="F168" s="27"/>
      <c r="G168" s="27"/>
      <c r="H168" s="27"/>
      <c r="I168" s="27"/>
      <c r="J168" s="28"/>
      <c r="K168" s="47"/>
    </row>
    <row r="169" spans="2:11" s="4" customFormat="1" ht="15.95" hidden="1" customHeight="1" x14ac:dyDescent="0.25">
      <c r="C169" s="7" t="s">
        <v>15</v>
      </c>
      <c r="D169" s="7"/>
      <c r="E169" s="8">
        <f t="shared" ref="E169:E210" si="11">I169*K169</f>
        <v>330</v>
      </c>
      <c r="F169" s="12"/>
      <c r="G169" s="12"/>
      <c r="H169" s="12"/>
      <c r="I169" s="8">
        <v>22</v>
      </c>
      <c r="J169" s="10" t="s">
        <v>166</v>
      </c>
      <c r="K169" s="30">
        <v>15</v>
      </c>
    </row>
    <row r="170" spans="2:11" s="4" customFormat="1" ht="15.95" hidden="1" customHeight="1" x14ac:dyDescent="0.25">
      <c r="C170" s="7" t="s">
        <v>14</v>
      </c>
      <c r="D170" s="7"/>
      <c r="E170" s="8">
        <f t="shared" si="11"/>
        <v>192</v>
      </c>
      <c r="F170" s="12"/>
      <c r="G170" s="12"/>
      <c r="H170" s="12"/>
      <c r="I170" s="8">
        <v>16</v>
      </c>
      <c r="J170" s="10" t="s">
        <v>166</v>
      </c>
      <c r="K170" s="30">
        <v>12</v>
      </c>
    </row>
    <row r="171" spans="2:11" s="4" customFormat="1" ht="15.95" hidden="1" customHeight="1" x14ac:dyDescent="0.25">
      <c r="C171" s="7" t="s">
        <v>13</v>
      </c>
      <c r="D171" s="7"/>
      <c r="E171" s="8">
        <f t="shared" si="11"/>
        <v>40</v>
      </c>
      <c r="F171" s="12"/>
      <c r="G171" s="12"/>
      <c r="H171" s="12"/>
      <c r="I171" s="8">
        <v>2</v>
      </c>
      <c r="J171" s="10" t="s">
        <v>166</v>
      </c>
      <c r="K171" s="30">
        <v>20</v>
      </c>
    </row>
    <row r="172" spans="2:11" s="4" customFormat="1" ht="15.95" hidden="1" customHeight="1" x14ac:dyDescent="0.25">
      <c r="C172" s="7" t="s">
        <v>12</v>
      </c>
      <c r="D172" s="7"/>
      <c r="E172" s="8">
        <f t="shared" si="11"/>
        <v>75</v>
      </c>
      <c r="F172" s="12"/>
      <c r="G172" s="12"/>
      <c r="H172" s="12"/>
      <c r="I172" s="8">
        <v>5</v>
      </c>
      <c r="J172" s="10" t="s">
        <v>166</v>
      </c>
      <c r="K172" s="30">
        <v>15</v>
      </c>
    </row>
    <row r="173" spans="2:11" s="4" customFormat="1" ht="15.95" hidden="1" customHeight="1" x14ac:dyDescent="0.25">
      <c r="C173" s="7" t="s">
        <v>81</v>
      </c>
      <c r="D173" s="7"/>
      <c r="E173" s="8">
        <f t="shared" si="11"/>
        <v>50</v>
      </c>
      <c r="F173" s="12"/>
      <c r="G173" s="12"/>
      <c r="H173" s="12"/>
      <c r="I173" s="8">
        <v>2</v>
      </c>
      <c r="J173" s="10" t="s">
        <v>166</v>
      </c>
      <c r="K173" s="30">
        <v>25</v>
      </c>
    </row>
    <row r="174" spans="2:11" s="4" customFormat="1" ht="15.95" hidden="1" customHeight="1" x14ac:dyDescent="0.25">
      <c r="C174" s="7" t="s">
        <v>179</v>
      </c>
      <c r="D174" s="7"/>
      <c r="E174" s="8">
        <f t="shared" si="11"/>
        <v>0</v>
      </c>
      <c r="F174" s="12">
        <v>2.4</v>
      </c>
      <c r="G174" s="12">
        <v>0.7</v>
      </c>
      <c r="H174" s="12">
        <v>1</v>
      </c>
      <c r="I174" s="8">
        <v>0</v>
      </c>
      <c r="J174" s="10" t="s">
        <v>166</v>
      </c>
      <c r="K174" s="30">
        <v>385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1"/>
        <v>0</v>
      </c>
      <c r="F175" s="12">
        <v>2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130</v>
      </c>
    </row>
    <row r="176" spans="2:11" s="4" customFormat="1" ht="15.95" hidden="1" customHeight="1" x14ac:dyDescent="0.25">
      <c r="C176" s="7" t="s">
        <v>79</v>
      </c>
      <c r="D176" s="7"/>
      <c r="E176" s="8">
        <f t="shared" si="11"/>
        <v>0</v>
      </c>
      <c r="F176" s="12">
        <v>1.5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230</v>
      </c>
    </row>
    <row r="177" spans="3:11" s="4" customFormat="1" ht="15.95" hidden="1" customHeight="1" x14ac:dyDescent="0.25">
      <c r="C177" s="7" t="s">
        <v>11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65</v>
      </c>
    </row>
    <row r="178" spans="3:11" s="4" customFormat="1" ht="15.95" hidden="1" customHeight="1" x14ac:dyDescent="0.25">
      <c r="C178" s="7" t="s">
        <v>10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85</v>
      </c>
    </row>
    <row r="179" spans="3:11" s="4" customFormat="1" ht="15.95" hidden="1" customHeight="1" x14ac:dyDescent="0.25">
      <c r="C179" s="7" t="s">
        <v>9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120</v>
      </c>
    </row>
    <row r="180" spans="3:11" s="4" customFormat="1" ht="15.95" hidden="1" customHeight="1" x14ac:dyDescent="0.25">
      <c r="C180" s="7" t="s">
        <v>8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10</v>
      </c>
    </row>
    <row r="181" spans="3:11" s="4" customFormat="1" ht="15.95" hidden="1" customHeight="1" x14ac:dyDescent="0.25">
      <c r="C181" s="7" t="s">
        <v>7</v>
      </c>
      <c r="D181" s="7"/>
      <c r="E181" s="8">
        <f t="shared" si="11"/>
        <v>40</v>
      </c>
      <c r="F181" s="12"/>
      <c r="G181" s="12"/>
      <c r="H181" s="12"/>
      <c r="I181" s="8">
        <v>5</v>
      </c>
      <c r="J181" s="10" t="s">
        <v>166</v>
      </c>
      <c r="K181" s="30">
        <v>8</v>
      </c>
    </row>
    <row r="182" spans="3:11" s="4" customFormat="1" ht="15.95" hidden="1" customHeight="1" x14ac:dyDescent="0.25">
      <c r="C182" s="7" t="s">
        <v>6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166</v>
      </c>
      <c r="K182" s="30">
        <v>15</v>
      </c>
    </row>
    <row r="183" spans="3:11" s="4" customFormat="1" ht="15.95" hidden="1" customHeight="1" x14ac:dyDescent="0.25">
      <c r="C183" s="7" t="s">
        <v>190</v>
      </c>
      <c r="D183" s="7"/>
      <c r="E183" s="8">
        <f t="shared" si="11"/>
        <v>70</v>
      </c>
      <c r="F183" s="12"/>
      <c r="G183" s="12"/>
      <c r="H183" s="12"/>
      <c r="I183" s="8">
        <v>2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85</v>
      </c>
    </row>
    <row r="185" spans="3:11" s="4" customFormat="1" ht="15.95" hidden="1" customHeight="1" x14ac:dyDescent="0.25">
      <c r="C185" s="7" t="s">
        <v>58</v>
      </c>
      <c r="D185" s="7"/>
      <c r="E185" s="8">
        <f t="shared" si="11"/>
        <v>35</v>
      </c>
      <c r="F185" s="12"/>
      <c r="G185" s="12"/>
      <c r="H185" s="12"/>
      <c r="I185" s="8">
        <v>1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135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47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12</v>
      </c>
    </row>
    <row r="189" spans="3:11" s="4" customFormat="1" ht="15.95" hidden="1" customHeight="1" x14ac:dyDescent="0.25">
      <c r="C189" s="7" t="s">
        <v>48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25</v>
      </c>
    </row>
    <row r="190" spans="3:11" s="4" customFormat="1" ht="15.95" hidden="1" customHeight="1" x14ac:dyDescent="0.25">
      <c r="C190" s="7" t="s">
        <v>54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150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159</v>
      </c>
      <c r="D192" s="7"/>
      <c r="E192" s="8">
        <f t="shared" si="11"/>
        <v>0</v>
      </c>
      <c r="F192" s="12"/>
      <c r="G192" s="12"/>
      <c r="H192" s="12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208</v>
      </c>
      <c r="D193" s="7"/>
      <c r="E193" s="8">
        <f t="shared" si="11"/>
        <v>0</v>
      </c>
      <c r="F193" s="12"/>
      <c r="G193" s="12"/>
      <c r="H193" s="12"/>
      <c r="I193" s="8">
        <v>0</v>
      </c>
      <c r="J193" s="10" t="s">
        <v>166</v>
      </c>
      <c r="K193" s="30">
        <v>600</v>
      </c>
    </row>
    <row r="194" spans="2:11" s="4" customFormat="1" ht="15.95" hidden="1" customHeight="1" x14ac:dyDescent="0.25">
      <c r="C194" s="7" t="s">
        <v>209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85</v>
      </c>
    </row>
    <row r="195" spans="2:11" s="4" customFormat="1" ht="15.95" hidden="1" customHeight="1" x14ac:dyDescent="0.25">
      <c r="C195" s="7" t="s">
        <v>257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210</v>
      </c>
    </row>
    <row r="196" spans="2:11" s="4" customFormat="1" ht="15.95" hidden="1" customHeight="1" x14ac:dyDescent="0.25">
      <c r="C196" s="7" t="s">
        <v>87</v>
      </c>
      <c r="D196" s="7"/>
      <c r="E196" s="8">
        <f t="shared" si="11"/>
        <v>16</v>
      </c>
      <c r="F196" s="8"/>
      <c r="G196" s="8"/>
      <c r="H196" s="8"/>
      <c r="I196" s="8">
        <v>2</v>
      </c>
      <c r="J196" s="10" t="s">
        <v>166</v>
      </c>
      <c r="K196" s="30">
        <v>8</v>
      </c>
    </row>
    <row r="197" spans="2:11" s="4" customFormat="1" ht="15.95" hidden="1" customHeight="1" x14ac:dyDescent="0.25">
      <c r="C197" s="7" t="s">
        <v>73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C198" s="7" t="s">
        <v>84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B199" s="29" t="s">
        <v>249</v>
      </c>
      <c r="C199" s="7" t="s">
        <v>85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25</v>
      </c>
    </row>
    <row r="200" spans="2:11" s="4" customFormat="1" ht="15.95" hidden="1" customHeight="1" x14ac:dyDescent="0.25">
      <c r="C200" s="7" t="s">
        <v>88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85</v>
      </c>
    </row>
    <row r="201" spans="2:11" s="4" customFormat="1" ht="15.95" hidden="1" customHeight="1" x14ac:dyDescent="0.25">
      <c r="C201" s="7" t="s">
        <v>89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15</v>
      </c>
    </row>
    <row r="202" spans="2:11" s="4" customFormat="1" ht="15.95" hidden="1" customHeight="1" x14ac:dyDescent="0.25">
      <c r="C202" s="7" t="s">
        <v>90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5</v>
      </c>
    </row>
    <row r="203" spans="2:11" s="4" customFormat="1" ht="15.95" hidden="1" customHeight="1" x14ac:dyDescent="0.25">
      <c r="C203" s="7" t="s">
        <v>92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12</v>
      </c>
    </row>
    <row r="204" spans="2:11" s="4" customFormat="1" ht="15.95" hidden="1" customHeight="1" x14ac:dyDescent="0.25">
      <c r="C204" s="7" t="s">
        <v>93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25</v>
      </c>
    </row>
    <row r="205" spans="2:11" s="4" customFormat="1" ht="15.95" hidden="1" customHeight="1" x14ac:dyDescent="0.25">
      <c r="C205" s="7" t="s">
        <v>94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20</v>
      </c>
    </row>
    <row r="206" spans="2:11" s="4" customFormat="1" ht="15.95" hidden="1" customHeight="1" x14ac:dyDescent="0.25">
      <c r="C206" s="7" t="s">
        <v>121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6</v>
      </c>
    </row>
    <row r="207" spans="2:11" s="4" customFormat="1" ht="15.95" hidden="1" customHeight="1" x14ac:dyDescent="0.25">
      <c r="C207" s="7" t="s">
        <v>123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3</v>
      </c>
    </row>
    <row r="208" spans="2:11" s="4" customFormat="1" ht="15.95" hidden="1" customHeight="1" x14ac:dyDescent="0.25">
      <c r="C208" s="7" t="s">
        <v>124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35</v>
      </c>
    </row>
    <row r="209" spans="3:11" s="4" customFormat="1" ht="15.95" hidden="1" customHeight="1" x14ac:dyDescent="0.25">
      <c r="C209" s="7" t="s">
        <v>247</v>
      </c>
      <c r="D209" s="7"/>
      <c r="E209" s="8">
        <f t="shared" si="11"/>
        <v>0</v>
      </c>
      <c r="F209" s="8">
        <v>0.5</v>
      </c>
      <c r="G209" s="8">
        <v>0.5</v>
      </c>
      <c r="H209" s="8">
        <v>0.5</v>
      </c>
      <c r="I209" s="8">
        <v>0</v>
      </c>
      <c r="J209" s="10" t="s">
        <v>166</v>
      </c>
      <c r="K209" s="30">
        <v>20</v>
      </c>
    </row>
    <row r="210" spans="3:11" s="4" customFormat="1" ht="15.95" hidden="1" customHeight="1" x14ac:dyDescent="0.25">
      <c r="C210" s="7" t="s">
        <v>246</v>
      </c>
      <c r="D210" s="7"/>
      <c r="E210" s="8">
        <f t="shared" si="11"/>
        <v>0</v>
      </c>
      <c r="F210" s="8"/>
      <c r="G210" s="8"/>
      <c r="H210" s="8"/>
      <c r="I210" s="8">
        <v>0</v>
      </c>
      <c r="J210" s="10" t="s">
        <v>166</v>
      </c>
      <c r="K210" s="30">
        <v>85</v>
      </c>
    </row>
    <row r="211" spans="3:11" s="4" customFormat="1" ht="15.95" customHeight="1" x14ac:dyDescent="0.25">
      <c r="C211" s="26" t="s">
        <v>183</v>
      </c>
      <c r="D211" s="27">
        <f>SUM(E212:E222)</f>
        <v>3619.8</v>
      </c>
      <c r="E211" s="51"/>
      <c r="F211" s="27"/>
      <c r="G211" s="27"/>
      <c r="H211" s="27"/>
      <c r="I211" s="27"/>
      <c r="J211" s="28"/>
      <c r="K211" s="47"/>
    </row>
    <row r="212" spans="3:11" s="4" customFormat="1" ht="15.95" hidden="1" customHeight="1" x14ac:dyDescent="0.25">
      <c r="C212" s="7" t="s">
        <v>244</v>
      </c>
      <c r="D212" s="7"/>
      <c r="E212" s="8">
        <f t="shared" ref="E212:E222" si="12">I212*K212</f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10.71</v>
      </c>
    </row>
    <row r="213" spans="3:11" s="4" customFormat="1" ht="15.95" hidden="1" customHeight="1" x14ac:dyDescent="0.25">
      <c r="C213" s="7" t="s">
        <v>243</v>
      </c>
      <c r="D213" s="7"/>
      <c r="E213" s="8">
        <f t="shared" si="12"/>
        <v>1362.24</v>
      </c>
      <c r="F213" s="8">
        <v>1</v>
      </c>
      <c r="G213" s="8">
        <v>1</v>
      </c>
      <c r="H213" s="12"/>
      <c r="I213" s="8">
        <v>88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5</v>
      </c>
      <c r="D214" s="7"/>
      <c r="E214" s="8">
        <f t="shared" si="12"/>
        <v>1207.44</v>
      </c>
      <c r="F214" s="8">
        <v>1</v>
      </c>
      <c r="G214" s="8">
        <v>1</v>
      </c>
      <c r="H214" s="12"/>
      <c r="I214" s="8">
        <v>78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191</v>
      </c>
      <c r="D215" s="7"/>
      <c r="E215" s="8">
        <f t="shared" si="12"/>
        <v>131</v>
      </c>
      <c r="F215" s="8">
        <v>1</v>
      </c>
      <c r="G215" s="8">
        <v>1</v>
      </c>
      <c r="H215" s="12"/>
      <c r="I215" s="8">
        <v>10</v>
      </c>
      <c r="J215" s="10" t="s">
        <v>111</v>
      </c>
      <c r="K215" s="30">
        <v>13.1</v>
      </c>
    </row>
    <row r="216" spans="3:11" s="4" customFormat="1" ht="15.95" hidden="1" customHeight="1" x14ac:dyDescent="0.25">
      <c r="C216" s="7" t="s">
        <v>258</v>
      </c>
      <c r="D216" s="7"/>
      <c r="E216" s="8">
        <f t="shared" si="12"/>
        <v>761.92</v>
      </c>
      <c r="F216" s="8">
        <v>1</v>
      </c>
      <c r="G216" s="8">
        <v>1</v>
      </c>
      <c r="H216" s="12"/>
      <c r="I216" s="8">
        <v>8</v>
      </c>
      <c r="J216" s="10" t="s">
        <v>111</v>
      </c>
      <c r="K216" s="30">
        <v>95.24</v>
      </c>
    </row>
    <row r="217" spans="3:11" s="4" customFormat="1" ht="15.95" hidden="1" customHeight="1" x14ac:dyDescent="0.25">
      <c r="C217" s="7" t="s">
        <v>259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47.62</v>
      </c>
    </row>
    <row r="218" spans="3:11" s="4" customFormat="1" ht="15.95" hidden="1" customHeight="1" x14ac:dyDescent="0.25">
      <c r="C218" s="7" t="s">
        <v>71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35.71</v>
      </c>
    </row>
    <row r="219" spans="3:11" s="4" customFormat="1" ht="15.95" hidden="1" customHeight="1" x14ac:dyDescent="0.25">
      <c r="C219" s="7" t="s">
        <v>122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28.57</v>
      </c>
    </row>
    <row r="220" spans="3:11" s="4" customFormat="1" ht="15.95" hidden="1" customHeight="1" x14ac:dyDescent="0.25">
      <c r="C220" s="7" t="s">
        <v>52</v>
      </c>
      <c r="D220" s="7"/>
      <c r="E220" s="8">
        <f t="shared" si="12"/>
        <v>157.19999999999999</v>
      </c>
      <c r="F220" s="8">
        <v>1</v>
      </c>
      <c r="G220" s="8">
        <v>1</v>
      </c>
      <c r="H220" s="12"/>
      <c r="I220" s="8">
        <v>12</v>
      </c>
      <c r="J220" s="10" t="s">
        <v>111</v>
      </c>
      <c r="K220" s="30">
        <v>13.1</v>
      </c>
    </row>
    <row r="221" spans="3:11" s="4" customFormat="1" ht="15.95" hidden="1" customHeight="1" x14ac:dyDescent="0.25">
      <c r="C221" s="7" t="s">
        <v>245</v>
      </c>
      <c r="D221" s="7"/>
      <c r="E221" s="8">
        <f t="shared" si="12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11.9</v>
      </c>
    </row>
    <row r="222" spans="3:11" s="4" customFormat="1" ht="15.95" hidden="1" customHeight="1" x14ac:dyDescent="0.25">
      <c r="C222" s="7" t="s">
        <v>4</v>
      </c>
      <c r="D222" s="7"/>
      <c r="E222" s="8">
        <f t="shared" si="12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10.71</v>
      </c>
    </row>
    <row r="223" spans="3:11" s="4" customFormat="1" ht="15.95" customHeight="1" x14ac:dyDescent="0.25">
      <c r="C223" s="26" t="s">
        <v>182</v>
      </c>
      <c r="D223" s="27">
        <f>SUM(E224:E262)</f>
        <v>15180</v>
      </c>
      <c r="E223" s="51"/>
      <c r="F223" s="27"/>
      <c r="G223" s="27"/>
      <c r="H223" s="27"/>
      <c r="I223" s="27"/>
      <c r="J223" s="28"/>
      <c r="K223" s="47"/>
    </row>
    <row r="224" spans="3:11" s="4" customFormat="1" ht="15.95" hidden="1" customHeight="1" x14ac:dyDescent="0.25">
      <c r="C224" s="7" t="s">
        <v>21</v>
      </c>
      <c r="D224" s="7"/>
      <c r="E224" s="8">
        <f t="shared" ref="E224:E262" si="13">I224*K224</f>
        <v>0</v>
      </c>
      <c r="F224" s="12">
        <v>1.5</v>
      </c>
      <c r="G224" s="12">
        <v>1</v>
      </c>
      <c r="H224" s="12">
        <v>1</v>
      </c>
      <c r="I224" s="8">
        <v>0</v>
      </c>
      <c r="J224" s="10" t="s">
        <v>166</v>
      </c>
      <c r="K224" s="30">
        <v>320</v>
      </c>
    </row>
    <row r="225" spans="3:11" s="4" customFormat="1" ht="15.95" hidden="1" customHeight="1" x14ac:dyDescent="0.25">
      <c r="C225" s="7" t="s">
        <v>213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210</v>
      </c>
    </row>
    <row r="226" spans="3:11" s="4" customFormat="1" ht="15.95" hidden="1" customHeight="1" x14ac:dyDescent="0.25">
      <c r="C226" s="7" t="s">
        <v>214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215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216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166</v>
      </c>
      <c r="K228" s="30">
        <v>110</v>
      </c>
    </row>
    <row r="229" spans="3:11" s="4" customFormat="1" ht="15.95" hidden="1" customHeight="1" x14ac:dyDescent="0.25">
      <c r="C229" s="7" t="s">
        <v>217</v>
      </c>
      <c r="D229" s="7"/>
      <c r="E229" s="8">
        <f t="shared" si="13"/>
        <v>0</v>
      </c>
      <c r="F229" s="8"/>
      <c r="G229" s="8"/>
      <c r="H229" s="8"/>
      <c r="I229" s="8">
        <v>0</v>
      </c>
      <c r="J229" s="10" t="s">
        <v>166</v>
      </c>
      <c r="K229" s="30">
        <v>310</v>
      </c>
    </row>
    <row r="230" spans="3:11" s="4" customFormat="1" ht="15.95" hidden="1" customHeight="1" x14ac:dyDescent="0.25">
      <c r="C230" s="7" t="s">
        <v>218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160</v>
      </c>
    </row>
    <row r="231" spans="3:11" s="4" customFormat="1" ht="15.95" hidden="1" customHeight="1" x14ac:dyDescent="0.25">
      <c r="C231" s="7" t="s">
        <v>59</v>
      </c>
      <c r="D231" s="7"/>
      <c r="E231" s="8">
        <f t="shared" si="13"/>
        <v>0</v>
      </c>
      <c r="F231" s="12"/>
      <c r="G231" s="12"/>
      <c r="H231" s="12"/>
      <c r="I231" s="8">
        <v>0</v>
      </c>
      <c r="J231" s="10" t="s">
        <v>166</v>
      </c>
      <c r="K231" s="30">
        <v>10</v>
      </c>
    </row>
    <row r="232" spans="3:11" s="4" customFormat="1" ht="15.95" hidden="1" customHeight="1" x14ac:dyDescent="0.25">
      <c r="C232" s="7" t="s">
        <v>222</v>
      </c>
      <c r="D232" s="7"/>
      <c r="E232" s="8">
        <f t="shared" si="13"/>
        <v>0</v>
      </c>
      <c r="F232" s="12"/>
      <c r="G232" s="12"/>
      <c r="H232" s="12"/>
      <c r="I232" s="8">
        <v>0</v>
      </c>
      <c r="J232" s="10" t="s">
        <v>166</v>
      </c>
      <c r="K232" s="30">
        <v>260</v>
      </c>
    </row>
    <row r="233" spans="3:11" s="4" customFormat="1" ht="15.95" hidden="1" customHeight="1" x14ac:dyDescent="0.25">
      <c r="C233" s="7" t="s">
        <v>3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180</v>
      </c>
    </row>
    <row r="234" spans="3:11" s="4" customFormat="1" ht="15.95" hidden="1" customHeight="1" x14ac:dyDescent="0.25">
      <c r="C234" s="7" t="s">
        <v>2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200</v>
      </c>
    </row>
    <row r="235" spans="3:11" s="4" customFormat="1" ht="15.95" hidden="1" customHeight="1" x14ac:dyDescent="0.25">
      <c r="C235" s="7" t="s">
        <v>1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181</v>
      </c>
      <c r="D236" s="7"/>
      <c r="E236" s="8">
        <f t="shared" si="13"/>
        <v>440</v>
      </c>
      <c r="F236" s="8"/>
      <c r="G236" s="8"/>
      <c r="H236" s="8"/>
      <c r="I236" s="8">
        <v>2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250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390</v>
      </c>
      <c r="F238" s="8"/>
      <c r="G238" s="8"/>
      <c r="H238" s="8"/>
      <c r="I238" s="8">
        <v>1</v>
      </c>
      <c r="J238" s="10" t="s">
        <v>166</v>
      </c>
      <c r="K238" s="30">
        <v>390</v>
      </c>
    </row>
    <row r="239" spans="3:11" s="4" customFormat="1" ht="15.95" hidden="1" customHeight="1" x14ac:dyDescent="0.25">
      <c r="C239" s="7" t="s">
        <v>236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460</v>
      </c>
    </row>
    <row r="240" spans="3:11" s="4" customFormat="1" ht="15.95" hidden="1" customHeight="1" x14ac:dyDescent="0.25">
      <c r="C240" s="7" t="s">
        <v>211</v>
      </c>
      <c r="D240" s="7"/>
      <c r="E240" s="8">
        <f t="shared" si="13"/>
        <v>1700</v>
      </c>
      <c r="F240" s="8"/>
      <c r="G240" s="8"/>
      <c r="H240" s="8"/>
      <c r="I240" s="8">
        <v>2</v>
      </c>
      <c r="J240" s="10" t="s">
        <v>166</v>
      </c>
      <c r="K240" s="30">
        <v>850</v>
      </c>
    </row>
    <row r="241" spans="3:11" s="4" customFormat="1" ht="15.95" hidden="1" customHeight="1" x14ac:dyDescent="0.25">
      <c r="C241" s="7" t="s">
        <v>187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1400</v>
      </c>
    </row>
    <row r="242" spans="3:11" s="4" customFormat="1" ht="15.95" hidden="1" customHeight="1" x14ac:dyDescent="0.25">
      <c r="C242" s="7" t="s">
        <v>238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360</v>
      </c>
    </row>
    <row r="243" spans="3:11" s="4" customFormat="1" ht="15.95" hidden="1" customHeight="1" x14ac:dyDescent="0.25">
      <c r="C243" s="7" t="s">
        <v>241</v>
      </c>
      <c r="D243" s="7"/>
      <c r="E243" s="8">
        <f t="shared" si="13"/>
        <v>1100</v>
      </c>
      <c r="F243" s="8"/>
      <c r="G243" s="8"/>
      <c r="H243" s="8"/>
      <c r="I243" s="8">
        <v>2</v>
      </c>
      <c r="J243" s="10" t="s">
        <v>166</v>
      </c>
      <c r="K243" s="30">
        <v>550</v>
      </c>
    </row>
    <row r="244" spans="3:11" s="4" customFormat="1" ht="15.95" hidden="1" customHeight="1" x14ac:dyDescent="0.25">
      <c r="C244" s="7" t="s">
        <v>242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580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680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750</v>
      </c>
    </row>
    <row r="247" spans="3:11" s="4" customFormat="1" ht="15.95" hidden="1" customHeight="1" x14ac:dyDescent="0.25">
      <c r="C247" s="7" t="s">
        <v>235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340</v>
      </c>
    </row>
    <row r="248" spans="3:11" s="4" customFormat="1" ht="15.95" hidden="1" customHeight="1" x14ac:dyDescent="0.25">
      <c r="C248" s="7" t="s">
        <v>240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160</v>
      </c>
    </row>
    <row r="249" spans="3:11" s="4" customFormat="1" ht="15.95" hidden="1" customHeight="1" x14ac:dyDescent="0.25">
      <c r="C249" s="7" t="s">
        <v>237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227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223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400</v>
      </c>
    </row>
    <row r="252" spans="3:11" s="4" customFormat="1" ht="15.95" hidden="1" customHeight="1" x14ac:dyDescent="0.25">
      <c r="C252" s="7" t="s">
        <v>225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260</v>
      </c>
    </row>
    <row r="253" spans="3:11" s="4" customFormat="1" ht="15.95" hidden="1" customHeight="1" x14ac:dyDescent="0.25">
      <c r="C253" s="7" t="s">
        <v>231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180</v>
      </c>
    </row>
    <row r="254" spans="3:11" s="4" customFormat="1" ht="15.95" hidden="1" customHeight="1" x14ac:dyDescent="0.25">
      <c r="C254" s="7" t="s">
        <v>232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166</v>
      </c>
      <c r="K254" s="30">
        <v>120</v>
      </c>
    </row>
    <row r="255" spans="3:11" s="4" customFormat="1" ht="15.95" hidden="1" customHeight="1" x14ac:dyDescent="0.25">
      <c r="C255" s="7" t="s">
        <v>233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220</v>
      </c>
    </row>
    <row r="256" spans="3:11" s="4" customFormat="1" ht="15.95" hidden="1" customHeight="1" x14ac:dyDescent="0.25">
      <c r="C256" s="7" t="s">
        <v>226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230</v>
      </c>
    </row>
    <row r="257" spans="3:11" s="4" customFormat="1" ht="15.95" hidden="1" customHeight="1" x14ac:dyDescent="0.25">
      <c r="C257" s="7" t="s">
        <v>228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229</v>
      </c>
      <c r="K257" s="30">
        <v>500</v>
      </c>
    </row>
    <row r="258" spans="3:11" s="4" customFormat="1" ht="15.95" hidden="1" customHeight="1" x14ac:dyDescent="0.25">
      <c r="C258" s="7" t="s">
        <v>230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180</v>
      </c>
    </row>
    <row r="259" spans="3:11" s="4" customFormat="1" ht="15.95" hidden="1" customHeight="1" x14ac:dyDescent="0.25">
      <c r="C259" s="7" t="s">
        <v>224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260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166</v>
      </c>
      <c r="K260" s="30">
        <v>6500</v>
      </c>
    </row>
    <row r="261" spans="3:11" s="4" customFormat="1" ht="15.95" hidden="1" customHeight="1" x14ac:dyDescent="0.25">
      <c r="C261" s="7" t="s">
        <v>221</v>
      </c>
      <c r="D261" s="7"/>
      <c r="E261" s="8">
        <f t="shared" si="13"/>
        <v>0</v>
      </c>
      <c r="F261" s="8"/>
      <c r="G261" s="8"/>
      <c r="H261" s="8"/>
      <c r="I261" s="8">
        <v>0</v>
      </c>
      <c r="J261" s="10" t="s">
        <v>166</v>
      </c>
      <c r="K261" s="30">
        <v>8800</v>
      </c>
    </row>
    <row r="262" spans="3:11" s="4" customFormat="1" ht="15.95" hidden="1" customHeight="1" x14ac:dyDescent="0.25">
      <c r="C262" s="7" t="s">
        <v>220</v>
      </c>
      <c r="D262" s="7"/>
      <c r="E262" s="8">
        <f t="shared" si="13"/>
        <v>11550</v>
      </c>
      <c r="F262" s="8">
        <v>5</v>
      </c>
      <c r="G262" s="8">
        <v>2.2000000000000002</v>
      </c>
      <c r="H262" s="8"/>
      <c r="I262" s="8">
        <v>11</v>
      </c>
      <c r="J262" s="10" t="s">
        <v>166</v>
      </c>
      <c r="K262" s="30">
        <v>1050</v>
      </c>
    </row>
    <row r="263" spans="3:11" s="22" customFormat="1" ht="15.95" customHeight="1" x14ac:dyDescent="0.25">
      <c r="C263" s="32" t="s">
        <v>148</v>
      </c>
      <c r="D263" s="33">
        <f>SUM(E264)</f>
        <v>18000</v>
      </c>
      <c r="E263" s="34"/>
      <c r="F263" s="35"/>
      <c r="G263" s="35"/>
      <c r="H263" s="35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K264*I264</f>
        <v>18000</v>
      </c>
      <c r="F264" s="24"/>
      <c r="G264" s="24"/>
      <c r="H264" s="24"/>
      <c r="I264" s="24">
        <v>1</v>
      </c>
      <c r="J264" s="25" t="s">
        <v>166</v>
      </c>
      <c r="K264" s="48">
        <v>18000</v>
      </c>
    </row>
    <row r="265" spans="3:11" s="22" customFormat="1" ht="15.95" customHeight="1" x14ac:dyDescent="0.25">
      <c r="C265" s="32" t="s">
        <v>146</v>
      </c>
      <c r="D265" s="33">
        <f>SUM(E266)</f>
        <v>11400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11400</v>
      </c>
      <c r="F266" s="41"/>
      <c r="G266" s="41"/>
      <c r="H266" s="41"/>
      <c r="I266" s="24">
        <v>4</v>
      </c>
      <c r="J266" s="25" t="s">
        <v>149</v>
      </c>
      <c r="K266" s="48">
        <v>2850</v>
      </c>
    </row>
    <row r="267" spans="3:11" s="22" customFormat="1" ht="15.95" customHeight="1" x14ac:dyDescent="0.25">
      <c r="C267" s="32" t="s">
        <v>147</v>
      </c>
      <c r="D267" s="33">
        <f>SUM(E268)</f>
        <v>10000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10000</v>
      </c>
      <c r="F268" s="41"/>
      <c r="G268" s="41"/>
      <c r="H268" s="41"/>
      <c r="I268" s="24">
        <v>4</v>
      </c>
      <c r="J268" s="25" t="s">
        <v>166</v>
      </c>
      <c r="K268" s="48">
        <v>2500</v>
      </c>
    </row>
    <row r="269" spans="3:11" s="22" customFormat="1" ht="15.95" customHeight="1" x14ac:dyDescent="0.25">
      <c r="C269" s="32" t="s">
        <v>212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166</v>
      </c>
      <c r="K270" s="48">
        <v>1200</v>
      </c>
    </row>
    <row r="271" spans="3:11" s="22" customFormat="1" ht="15.95" customHeight="1" x14ac:dyDescent="0.25">
      <c r="C271" s="32" t="s">
        <v>264</v>
      </c>
      <c r="D271" s="33">
        <f>SUM(E272)</f>
        <v>2000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 t="s">
        <v>263</v>
      </c>
      <c r="D272" s="38"/>
      <c r="E272" s="39">
        <f>I272*K272</f>
        <v>2000</v>
      </c>
      <c r="F272" s="41"/>
      <c r="G272" s="41"/>
      <c r="H272" s="41"/>
      <c r="I272" s="24">
        <v>1</v>
      </c>
      <c r="J272" s="25" t="s">
        <v>166</v>
      </c>
      <c r="K272" s="48">
        <v>2000</v>
      </c>
    </row>
    <row r="273" spans="3:11" ht="15.95" customHeight="1" thickBot="1" x14ac:dyDescent="0.3">
      <c r="C273" s="18" t="s">
        <v>57</v>
      </c>
      <c r="D273" s="14">
        <f>SUM(D2:D272)</f>
        <v>82855.03</v>
      </c>
      <c r="E273" s="15"/>
      <c r="F273" s="53"/>
      <c r="G273" s="53"/>
      <c r="H273" s="53"/>
      <c r="I273" s="53"/>
      <c r="J273" s="53"/>
      <c r="K273" s="53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2026-02-20T13:17:09Z</dcterms:modified>
</cp:coreProperties>
</file>