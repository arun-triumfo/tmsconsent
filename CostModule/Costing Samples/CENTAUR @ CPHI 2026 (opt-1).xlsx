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1\"/>
    </mc:Choice>
  </mc:AlternateContent>
  <xr:revisionPtr revIDLastSave="0" documentId="13_ncr:1_{F48F525D-B732-4B76-A2A7-3C9D871D01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Europe!$C$1:$K$273</definedName>
    <definedName name="_xlnm.Print_Area" localSheetId="0">Europe!$A$1:$H$273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45" i="1"/>
  <c r="E111" i="1"/>
  <c r="E110" i="1"/>
  <c r="E64" i="1"/>
  <c r="E266" i="1" l="1"/>
  <c r="D265" i="1" s="1"/>
  <c r="E136" i="1" l="1"/>
  <c r="E272" i="1" l="1"/>
  <c r="D271" i="1" s="1"/>
  <c r="E88" i="1" l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9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70" i="1" l="1"/>
  <c r="D269" i="1" s="1"/>
  <c r="E268" i="1"/>
  <c r="D267" i="1" s="1"/>
  <c r="E264" i="1"/>
  <c r="D263" i="1" s="1"/>
  <c r="E262" i="1"/>
  <c r="D261" i="1" s="1"/>
  <c r="E14" i="1" l="1"/>
  <c r="E87" i="1" l="1"/>
  <c r="D86" i="1" s="1"/>
  <c r="E15" i="1" l="1"/>
  <c r="E82" i="1" l="1"/>
  <c r="E83" i="1"/>
  <c r="E84" i="1"/>
  <c r="E210" i="1" l="1"/>
  <c r="E133" i="1"/>
  <c r="E167" i="1"/>
  <c r="D166" i="1" s="1"/>
  <c r="D209" i="1" l="1"/>
  <c r="E85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1" i="1"/>
  <c r="E42" i="1" l="1"/>
  <c r="E43" i="1"/>
  <c r="E37" i="1"/>
  <c r="E38" i="1"/>
  <c r="E39" i="1"/>
  <c r="E31" i="1"/>
  <c r="E32" i="1"/>
  <c r="E27" i="1"/>
  <c r="E81" i="1" l="1"/>
  <c r="E80" i="1"/>
  <c r="E79" i="1"/>
  <c r="E50" i="1"/>
  <c r="E49" i="1"/>
  <c r="E48" i="1"/>
  <c r="E60" i="1" l="1"/>
  <c r="E62" i="1" l="1"/>
  <c r="E59" i="1"/>
  <c r="E44" i="1" l="1"/>
  <c r="E40" i="1"/>
  <c r="E41" i="1"/>
  <c r="E153" i="1" l="1"/>
  <c r="E144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5" i="1"/>
  <c r="E66" i="1"/>
  <c r="E67" i="1"/>
  <c r="E76" i="1"/>
  <c r="E77" i="1"/>
  <c r="E78" i="1"/>
  <c r="E108" i="1"/>
  <c r="E222" i="1"/>
  <c r="D221" i="1" s="1"/>
  <c r="D16" i="1" l="1"/>
  <c r="D152" i="1"/>
  <c r="D132" i="1"/>
  <c r="D143" i="1"/>
  <c r="D107" i="1"/>
  <c r="D273" i="1" l="1"/>
</calcChain>
</file>

<file path=xl/sharedStrings.xml><?xml version="1.0" encoding="utf-8"?>
<sst xmlns="http://schemas.openxmlformats.org/spreadsheetml/2006/main" count="586" uniqueCount="282">
  <si>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</si>
  <si>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</si>
  <si>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</si>
  <si>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</si>
  <si>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</si>
  <si>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</si>
  <si>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</si>
  <si>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</si>
  <si>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</si>
  <si>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</si>
  <si>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</si>
  <si>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</si>
  <si>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</si>
  <si>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</si>
  <si>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</si>
  <si>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</si>
  <si>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</si>
  <si>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</si>
  <si>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</si>
  <si>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</si>
  <si>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</si>
  <si>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</si>
  <si>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</si>
  <si>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</si>
  <si>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</si>
  <si>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</si>
  <si>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</si>
  <si>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</si>
  <si>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</si>
  <si>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</si>
  <si>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</si>
  <si>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</si>
  <si>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</si>
  <si>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</si>
  <si>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</si>
  <si>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</si>
  <si>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</si>
  <si>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</si>
  <si>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</si>
  <si>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</si>
  <si>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</si>
  <si>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</si>
  <si>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</si>
  <si>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</si>
  <si>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</si>
  <si>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</si>
  <si>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</si>
  <si>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</si>
  <si>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</si>
  <si>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</si>
  <si>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</si>
  <si>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</si>
  <si>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</si>
  <si>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</si>
  <si>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</si>
  <si>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</si>
  <si>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</si>
  <si>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</si>
  <si>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</si>
  <si>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</si>
  <si>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</si>
  <si>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</si>
  <si>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</si>
  <si>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</si>
  <si>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</si>
  <si>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</si>
  <si>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</si>
  <si>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</si>
  <si>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</si>
  <si>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</si>
  <si>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</si>
  <si>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</si>
  <si>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</si>
  <si>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</si>
  <si>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</si>
  <si>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</si>
  <si>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</si>
  <si>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</si>
  <si>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</si>
  <si>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</si>
  <si>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</si>
  <si>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</si>
  <si>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</si>
  <si>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</si>
  <si>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</si>
  <si>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</si>
  <si>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</si>
  <si>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</si>
  <si>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</si>
  <si>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</si>
  <si>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</si>
  <si>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</si>
  <si>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</si>
  <si>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</si>
  <si>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</si>
  <si>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</si>
  <si>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</si>
  <si>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</si>
  <si>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</si>
  <si>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</si>
  <si>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</si>
  <si>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</si>
  <si>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</si>
  <si>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</si>
  <si>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</si>
  <si>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</si>
  <si>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</si>
  <si>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</si>
  <si>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</si>
  <si>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</si>
  <si>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</si>
  <si>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</si>
  <si>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</si>
  <si>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</si>
  <si>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</si>
  <si>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</si>
  <si>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</si>
  <si>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</si>
  <si>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</si>
  <si>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</si>
  <si>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</si>
  <si>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</si>
  <si>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</si>
  <si>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</si>
  <si>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</si>
  <si>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</si>
  <si>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</si>
  <si>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</si>
  <si>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</si>
  <si>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</si>
  <si>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</si>
  <si>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</si>
  <si>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</si>
  <si>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</si>
  <si>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</si>
  <si>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</si>
  <si>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</si>
  <si>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</si>
  <si>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</si>
  <si>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</si>
  <si>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</si>
  <si>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</si>
  <si>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</si>
  <si>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</si>
  <si>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</si>
  <si>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</si>
  <si>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</si>
  <si>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</si>
  <si>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</si>
  <si>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</si>
  <si>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</si>
  <si>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</si>
  <si>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</si>
  <si>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</si>
  <si>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</si>
  <si>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</si>
  <si>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</si>
  <si>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</si>
  <si>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</si>
  <si>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</si>
  <si>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</si>
  <si>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</si>
  <si>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</si>
  <si>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</si>
  <si>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</si>
  <si>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</si>
  <si>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</si>
  <si>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</si>
  <si>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</si>
  <si>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</si>
  <si>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</si>
  <si>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</si>
  <si>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</si>
  <si>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</si>
  <si>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</si>
  <si>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</si>
  <si>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</si>
  <si>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</si>
  <si>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</si>
  <si>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</si>
  <si>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</si>
  <si>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</si>
  <si>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</si>
  <si>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</si>
  <si>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</si>
  <si>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</si>
  <si>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</si>
  <si>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</si>
  <si>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</si>
  <si>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</si>
  <si>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</si>
  <si>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</si>
  <si>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</si>
  <si>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</si>
  <si>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</si>
  <si>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</si>
  <si>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</si>
  <si>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</si>
  <si>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</si>
  <si>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</si>
  <si>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</si>
  <si>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</si>
  <si>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</si>
  <si>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</si>
  <si>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</si>
  <si>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</si>
  <si>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</si>
  <si>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</si>
  <si>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</si>
  <si>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</si>
  <si>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</si>
  <si>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</si>
  <si>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</si>
  <si>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</si>
  <si>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</si>
  <si>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</si>
  <si>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</si>
  <si>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</si>
  <si>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</si>
  <si>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</si>
  <si>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</si>
  <si>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</si>
  <si>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</si>
  <si>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</si>
  <si>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</si>
  <si>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</si>
  <si>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</si>
  <si>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</si>
  <si>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</si>
  <si>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</si>
  <si>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</si>
  <si>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</si>
  <si>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</si>
  <si>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</si>
  <si>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</si>
  <si>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</si>
  <si>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</si>
  <si>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</si>
  <si>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</si>
  <si>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</si>
  <si>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</si>
  <si>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</si>
  <si>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</si>
  <si>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</si>
  <si>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</si>
  <si>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</si>
  <si>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</si>
  <si>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</si>
  <si>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</si>
  <si>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</si>
  <si>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</si>
  <si>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</si>
  <si>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</si>
  <si>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</si>
  <si>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</si>
  <si>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</si>
  <si>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</si>
  <si>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</si>
  <si>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</si>
  <si>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</si>
  <si>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</si>
  <si>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</si>
  <si>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</si>
  <si>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</si>
  <si>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</si>
  <si>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</si>
  <si>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</si>
  <si>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</si>
  <si>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</si>
  <si>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(Laminated)- 3.5 x 0.5 x 1.0</t>
  </si>
  <si>
    <t>Podium (Laminated)- 2.0 x 0.4 x 1.0</t>
  </si>
  <si>
    <t>Cabinate (Laminated)- 1.0 x 0.5 x 1.0</t>
  </si>
  <si>
    <t>Opt Nr:-  1</t>
  </si>
  <si>
    <t>Date:- 26-05-2026</t>
  </si>
  <si>
    <t>CENTAUR</t>
  </si>
  <si>
    <t>CPHI 2026</t>
  </si>
  <si>
    <t>11M X 9M</t>
  </si>
  <si>
    <t>99 SQM</t>
  </si>
  <si>
    <t>4M</t>
  </si>
  <si>
    <t>October 6–8, 2026</t>
  </si>
  <si>
    <t>MILAN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</si>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</sst>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1047750</xdr:colOff>
      <xdr:row>266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2DA55D-B37E-4209-9EE8-1C4FDC118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875"/>
          <a:ext cx="2105025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4"/>
  <sheetViews>
    <sheetView tabSelected="1" zoomScaleNormal="100" zoomScaleSheetLayoutView="85" workbookViewId="0">
      <pane ySplit="1" topLeftCell="A2" activePane="bottomLeft" state="frozen"/>
      <selection pane="bottomLeft" activeCell="C76" sqref="C76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47" bestFit="1" customWidth="1"/>
    <col min="12" max="16384" width="9.140625" style="2"/>
  </cols>
  <sheetData>
    <row r="1" spans="1:11" s="1" customFormat="1" ht="21" customHeight="1" x14ac:dyDescent="0.25">
      <c r="A1" s="31" t="s">
        <v>272</v>
      </c>
      <c r="B1" s="31" t="s">
        <v>273</v>
      </c>
      <c r="C1" s="19" t="s">
        <v>46</v>
      </c>
      <c r="D1" s="19" t="s">
        <v>131</v>
      </c>
      <c r="E1" s="20" t="s">
        <v>263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3" t="s">
        <v>263</v>
      </c>
    </row>
    <row r="2" spans="1:11" s="4" customFormat="1" ht="15.95" customHeight="1" x14ac:dyDescent="0.25">
      <c r="A2" s="21" t="s">
        <v>140</v>
      </c>
      <c r="B2" s="4" t="s">
        <v>274</v>
      </c>
      <c r="C2" s="26" t="s">
        <v>151</v>
      </c>
      <c r="D2" s="27">
        <f>SUM(E3:E11)</f>
        <v>2786.13</v>
      </c>
      <c r="E2" s="48"/>
      <c r="F2" s="27"/>
      <c r="G2" s="27"/>
      <c r="H2" s="27"/>
      <c r="I2" s="27"/>
      <c r="J2" s="28"/>
      <c r="K2" s="44"/>
    </row>
    <row r="3" spans="1:11" ht="15.95" hidden="1" customHeight="1" x14ac:dyDescent="0.25">
      <c r="C3" s="7" t="s">
        <v>160</v>
      </c>
      <c r="D3" s="7"/>
      <c r="E3" s="8">
        <f t="shared" ref="E3:E11" si="0">I3*K3</f>
        <v>283.14</v>
      </c>
      <c r="F3" s="8"/>
      <c r="G3" s="8"/>
      <c r="H3" s="8"/>
      <c r="I3" s="9">
        <v>99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2377.44</v>
      </c>
      <c r="F8" s="8"/>
      <c r="G8" s="8"/>
      <c r="H8" s="8"/>
      <c r="I8" s="9">
        <v>104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125.55</v>
      </c>
      <c r="F9" s="8"/>
      <c r="G9" s="8"/>
      <c r="H9" s="8"/>
      <c r="I9" s="9">
        <v>31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275</v>
      </c>
      <c r="C12" s="26" t="s">
        <v>194</v>
      </c>
      <c r="D12" s="49">
        <f>SUM(E13:E15)</f>
        <v>0</v>
      </c>
      <c r="E12" s="27"/>
      <c r="F12" s="27"/>
      <c r="G12" s="27"/>
      <c r="H12" s="27"/>
      <c r="I12" s="27"/>
      <c r="J12" s="28"/>
      <c r="K12" s="44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280</v>
      </c>
      <c r="C16" s="26" t="s">
        <v>184</v>
      </c>
      <c r="D16" s="27">
        <f>SUM(E17:E85)</f>
        <v>5704.71</v>
      </c>
      <c r="E16" s="48"/>
      <c r="F16" s="27"/>
      <c r="G16" s="27"/>
      <c r="H16" s="27"/>
      <c r="I16" s="27"/>
      <c r="J16" s="28"/>
      <c r="K16" s="44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610.74</v>
      </c>
      <c r="F33" s="8">
        <v>1</v>
      </c>
      <c r="G33" s="8">
        <v>0.1</v>
      </c>
      <c r="H33" s="8">
        <v>4</v>
      </c>
      <c r="I33" s="9">
        <v>9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1943.9699999999998</v>
      </c>
      <c r="F34" s="8">
        <v>1</v>
      </c>
      <c r="G34" s="8">
        <v>0.1</v>
      </c>
      <c r="H34" s="8">
        <v>4</v>
      </c>
      <c r="I34" s="9">
        <v>21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79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2:11" ht="15.95" hidden="1" customHeight="1" x14ac:dyDescent="0.25">
      <c r="B64" s="29" t="s">
        <v>249</v>
      </c>
      <c r="C64" s="7" t="s">
        <v>31</v>
      </c>
      <c r="D64" s="7"/>
      <c r="E64" s="8">
        <f t="shared" ref="E64" si="3">I64*K64</f>
        <v>1386</v>
      </c>
      <c r="F64" s="8">
        <v>1</v>
      </c>
      <c r="G64" s="8">
        <v>0.2</v>
      </c>
      <c r="H64" s="8">
        <v>4</v>
      </c>
      <c r="I64" s="9">
        <v>11</v>
      </c>
      <c r="J64" s="10" t="s">
        <v>156</v>
      </c>
      <c r="K64" s="30">
        <v>126</v>
      </c>
    </row>
    <row r="65" spans="2:11" ht="15.95" hidden="1" customHeight="1" x14ac:dyDescent="0.25">
      <c r="B65" s="29"/>
      <c r="C65" s="7" t="s">
        <v>31</v>
      </c>
      <c r="D65" s="7"/>
      <c r="E65" s="8">
        <f t="shared" si="2"/>
        <v>1764</v>
      </c>
      <c r="F65" s="8">
        <v>1</v>
      </c>
      <c r="G65" s="8">
        <v>0.2</v>
      </c>
      <c r="H65" s="8">
        <v>4</v>
      </c>
      <c r="I65" s="9">
        <v>14</v>
      </c>
      <c r="J65" s="10" t="s">
        <v>156</v>
      </c>
      <c r="K65" s="30">
        <v>126</v>
      </c>
    </row>
    <row r="66" spans="2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2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2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2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2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2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2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2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2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2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2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2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2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2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2:11" ht="15.95" hidden="1" customHeight="1" x14ac:dyDescent="0.25">
      <c r="C80" s="7" t="s">
        <v>95</v>
      </c>
      <c r="D80" s="7"/>
      <c r="E80" s="8">
        <f t="shared" ref="E80:E85" si="4">I80*K80</f>
        <v>0</v>
      </c>
      <c r="F80" s="8">
        <v>1</v>
      </c>
      <c r="G80" s="8">
        <v>0.2</v>
      </c>
      <c r="H80" s="8">
        <v>6</v>
      </c>
      <c r="I80" s="9">
        <v>0</v>
      </c>
      <c r="J80" s="10" t="s">
        <v>156</v>
      </c>
      <c r="K80" s="30">
        <v>41.67</v>
      </c>
    </row>
    <row r="81" spans="1:11" ht="15.95" hidden="1" customHeight="1" x14ac:dyDescent="0.25">
      <c r="C81" s="7" t="s">
        <v>96</v>
      </c>
      <c r="D81" s="7"/>
      <c r="E81" s="8">
        <f t="shared" si="4"/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83.33</v>
      </c>
    </row>
    <row r="82" spans="1:11" ht="15.95" hidden="1" customHeight="1" x14ac:dyDescent="0.25">
      <c r="B82" s="29" t="s">
        <v>249</v>
      </c>
      <c r="C82" s="7" t="s">
        <v>173</v>
      </c>
      <c r="D82" s="7"/>
      <c r="E82" s="8">
        <f t="shared" si="4"/>
        <v>0</v>
      </c>
      <c r="F82" s="8">
        <v>1</v>
      </c>
      <c r="G82" s="8"/>
      <c r="H82" s="8"/>
      <c r="I82" s="9">
        <v>0</v>
      </c>
      <c r="J82" s="10" t="s">
        <v>111</v>
      </c>
      <c r="K82" s="30">
        <v>47.62</v>
      </c>
    </row>
    <row r="83" spans="1:11" ht="15.95" hidden="1" customHeight="1" x14ac:dyDescent="0.25">
      <c r="B83" s="29" t="s">
        <v>249</v>
      </c>
      <c r="C83" s="7" t="s">
        <v>174</v>
      </c>
      <c r="D83" s="7"/>
      <c r="E83" s="8">
        <f t="shared" si="4"/>
        <v>0</v>
      </c>
      <c r="F83" s="8">
        <v>1</v>
      </c>
      <c r="G83" s="8"/>
      <c r="H83" s="8"/>
      <c r="I83" s="9">
        <v>0</v>
      </c>
      <c r="J83" s="10" t="s">
        <v>169</v>
      </c>
      <c r="K83" s="30">
        <v>190.48</v>
      </c>
    </row>
    <row r="84" spans="1:11" ht="15.95" hidden="1" customHeight="1" x14ac:dyDescent="0.25">
      <c r="B84" s="29" t="s">
        <v>249</v>
      </c>
      <c r="C84" s="7" t="s">
        <v>175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C85" s="7" t="s">
        <v>176</v>
      </c>
      <c r="D85" s="7"/>
      <c r="E85" s="8">
        <f t="shared" si="4"/>
        <v>0</v>
      </c>
      <c r="F85" s="8">
        <v>1</v>
      </c>
      <c r="G85" s="8">
        <v>0.2</v>
      </c>
      <c r="H85" s="8">
        <v>1</v>
      </c>
      <c r="I85" s="9">
        <v>0</v>
      </c>
      <c r="J85" s="10" t="s">
        <v>111</v>
      </c>
      <c r="K85" s="30">
        <v>32.14</v>
      </c>
    </row>
    <row r="86" spans="1:11" s="4" customFormat="1" ht="15.95" customHeight="1" x14ac:dyDescent="0.25">
      <c r="A86" s="21" t="s">
        <v>145</v>
      </c>
      <c r="B86" s="4" t="s">
        <v>279</v>
      </c>
      <c r="C86" s="26" t="s">
        <v>195</v>
      </c>
      <c r="D86" s="27">
        <f>SUM(E87:E106)</f>
        <v>0</v>
      </c>
      <c r="E86" s="48"/>
      <c r="F86" s="27"/>
      <c r="G86" s="27"/>
      <c r="H86" s="27"/>
      <c r="I86" s="27"/>
      <c r="J86" s="28"/>
      <c r="K86" s="44"/>
    </row>
    <row r="87" spans="1:11" s="22" customFormat="1" ht="15.95" hidden="1" customHeight="1" x14ac:dyDescent="0.25">
      <c r="B87" s="29" t="s">
        <v>249</v>
      </c>
      <c r="C87" s="23" t="s">
        <v>170</v>
      </c>
      <c r="D87" s="23"/>
      <c r="E87" s="24">
        <f t="shared" ref="E87:E106" si="5">I87*K87</f>
        <v>0</v>
      </c>
      <c r="F87" s="24"/>
      <c r="G87" s="24"/>
      <c r="H87" s="24"/>
      <c r="I87" s="24">
        <v>0</v>
      </c>
      <c r="J87" s="25" t="s">
        <v>166</v>
      </c>
      <c r="K87" s="45">
        <v>25</v>
      </c>
    </row>
    <row r="88" spans="1:11" s="22" customFormat="1" ht="15.95" hidden="1" customHeight="1" x14ac:dyDescent="0.25">
      <c r="B88" s="29" t="s">
        <v>249</v>
      </c>
      <c r="C88" s="23" t="s">
        <v>192</v>
      </c>
      <c r="D88" s="23"/>
      <c r="E88" s="24">
        <f t="shared" si="5"/>
        <v>0</v>
      </c>
      <c r="F88" s="24"/>
      <c r="G88" s="24"/>
      <c r="H88" s="24"/>
      <c r="I88" s="24">
        <v>0</v>
      </c>
      <c r="J88" s="25" t="s">
        <v>166</v>
      </c>
      <c r="K88" s="45">
        <v>10</v>
      </c>
    </row>
    <row r="89" spans="1:11" s="22" customFormat="1" ht="15.95" hidden="1" customHeight="1" x14ac:dyDescent="0.25">
      <c r="B89" s="29" t="s">
        <v>249</v>
      </c>
      <c r="C89" s="23" t="s">
        <v>193</v>
      </c>
      <c r="D89" s="23"/>
      <c r="E89" s="24">
        <f t="shared" si="5"/>
        <v>0</v>
      </c>
      <c r="F89" s="24"/>
      <c r="G89" s="24"/>
      <c r="H89" s="24"/>
      <c r="I89" s="24">
        <v>0</v>
      </c>
      <c r="J89" s="25" t="s">
        <v>166</v>
      </c>
      <c r="K89" s="45">
        <v>2</v>
      </c>
    </row>
    <row r="90" spans="1:11" s="4" customFormat="1" ht="15.95" hidden="1" customHeight="1" x14ac:dyDescent="0.25">
      <c r="B90" s="29" t="s">
        <v>249</v>
      </c>
      <c r="C90" s="7" t="s">
        <v>250</v>
      </c>
      <c r="D90" s="7"/>
      <c r="E90" s="24">
        <f t="shared" si="5"/>
        <v>0</v>
      </c>
      <c r="F90" s="8"/>
      <c r="G90" s="8"/>
      <c r="H90" s="8"/>
      <c r="I90" s="8">
        <v>0</v>
      </c>
      <c r="J90" s="10" t="s">
        <v>166</v>
      </c>
      <c r="K90" s="45">
        <v>800</v>
      </c>
    </row>
    <row r="91" spans="1:11" s="4" customFormat="1" ht="15.95" hidden="1" customHeight="1" x14ac:dyDescent="0.25">
      <c r="B91" s="29" t="s">
        <v>249</v>
      </c>
      <c r="C91" s="7" t="s">
        <v>251</v>
      </c>
      <c r="D91" s="7"/>
      <c r="E91" s="24">
        <f t="shared" si="5"/>
        <v>0</v>
      </c>
      <c r="F91" s="8"/>
      <c r="G91" s="8"/>
      <c r="H91" s="8"/>
      <c r="I91" s="8">
        <v>0</v>
      </c>
      <c r="J91" s="10" t="s">
        <v>166</v>
      </c>
      <c r="K91" s="45">
        <v>1210</v>
      </c>
    </row>
    <row r="92" spans="1:11" s="4" customFormat="1" ht="15.95" hidden="1" customHeight="1" x14ac:dyDescent="0.25">
      <c r="B92" s="29" t="s">
        <v>249</v>
      </c>
      <c r="C92" s="7" t="s">
        <v>261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5">
        <v>1820</v>
      </c>
    </row>
    <row r="93" spans="1:11" s="4" customFormat="1" ht="15.95" hidden="1" customHeight="1" x14ac:dyDescent="0.25">
      <c r="B93" s="29" t="s">
        <v>249</v>
      </c>
      <c r="C93" s="7" t="s">
        <v>262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5">
        <v>830</v>
      </c>
    </row>
    <row r="94" spans="1:11" s="4" customFormat="1" ht="15.95" hidden="1" customHeight="1" x14ac:dyDescent="0.25">
      <c r="B94" s="42"/>
      <c r="C94" s="7" t="s">
        <v>24</v>
      </c>
      <c r="D94" s="7"/>
      <c r="E94" s="24">
        <f t="shared" si="5"/>
        <v>0</v>
      </c>
      <c r="F94" s="8">
        <v>4</v>
      </c>
      <c r="G94" s="8">
        <v>4</v>
      </c>
      <c r="H94" s="8">
        <v>1</v>
      </c>
      <c r="I94" s="8">
        <v>0</v>
      </c>
      <c r="J94" s="10" t="s">
        <v>166</v>
      </c>
      <c r="K94" s="45">
        <v>714.29</v>
      </c>
    </row>
    <row r="95" spans="1:11" s="4" customFormat="1" ht="15.95" hidden="1" customHeight="1" x14ac:dyDescent="0.25">
      <c r="B95" s="42"/>
      <c r="C95" s="7" t="s">
        <v>23</v>
      </c>
      <c r="D95" s="7"/>
      <c r="E95" s="24">
        <f t="shared" si="5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5">
        <v>1000</v>
      </c>
    </row>
    <row r="96" spans="1:11" s="4" customFormat="1" ht="15.95" hidden="1" customHeight="1" x14ac:dyDescent="0.25">
      <c r="B96" s="42"/>
      <c r="C96" s="7" t="s">
        <v>177</v>
      </c>
      <c r="D96" s="7"/>
      <c r="E96" s="24">
        <f t="shared" si="5"/>
        <v>0</v>
      </c>
      <c r="F96" s="8">
        <v>4</v>
      </c>
      <c r="G96" s="8">
        <v>1</v>
      </c>
      <c r="H96" s="8">
        <v>1</v>
      </c>
      <c r="I96" s="8">
        <v>0</v>
      </c>
      <c r="J96" s="10" t="s">
        <v>166</v>
      </c>
      <c r="K96" s="45">
        <v>250</v>
      </c>
    </row>
    <row r="97" spans="1:11" s="4" customFormat="1" ht="15.95" hidden="1" customHeight="1" x14ac:dyDescent="0.25">
      <c r="B97" s="42"/>
      <c r="C97" s="7" t="s">
        <v>22</v>
      </c>
      <c r="D97" s="7"/>
      <c r="E97" s="24">
        <f t="shared" si="5"/>
        <v>0</v>
      </c>
      <c r="F97" s="8">
        <v>6</v>
      </c>
      <c r="G97" s="8">
        <v>4</v>
      </c>
      <c r="H97" s="8">
        <v>1</v>
      </c>
      <c r="I97" s="8">
        <v>0</v>
      </c>
      <c r="J97" s="10" t="s">
        <v>166</v>
      </c>
      <c r="K97" s="45">
        <v>1166.67</v>
      </c>
    </row>
    <row r="98" spans="1:11" s="4" customFormat="1" ht="15.95" hidden="1" customHeight="1" x14ac:dyDescent="0.25">
      <c r="B98" s="42"/>
      <c r="C98" s="7" t="s">
        <v>133</v>
      </c>
      <c r="D98" s="7"/>
      <c r="E98" s="24">
        <f t="shared" si="5"/>
        <v>0</v>
      </c>
      <c r="F98" s="8">
        <v>1</v>
      </c>
      <c r="G98" s="8">
        <v>0.2</v>
      </c>
      <c r="H98" s="8">
        <v>1</v>
      </c>
      <c r="I98" s="8">
        <v>0</v>
      </c>
      <c r="J98" s="10" t="s">
        <v>166</v>
      </c>
      <c r="K98" s="45">
        <v>35.71</v>
      </c>
    </row>
    <row r="99" spans="1:11" s="4" customFormat="1" ht="15.95" hidden="1" customHeight="1" x14ac:dyDescent="0.25">
      <c r="B99" s="29" t="s">
        <v>249</v>
      </c>
      <c r="C99" s="7" t="s">
        <v>114</v>
      </c>
      <c r="D99" s="7"/>
      <c r="E99" s="24">
        <f t="shared" si="5"/>
        <v>0</v>
      </c>
      <c r="F99" s="8">
        <v>1</v>
      </c>
      <c r="G99" s="8">
        <v>0.1</v>
      </c>
      <c r="H99" s="8">
        <v>1</v>
      </c>
      <c r="I99" s="8">
        <v>0</v>
      </c>
      <c r="J99" s="10" t="s">
        <v>111</v>
      </c>
      <c r="K99" s="45">
        <v>23.33</v>
      </c>
    </row>
    <row r="100" spans="1:11" s="4" customFormat="1" ht="15.95" hidden="1" customHeight="1" x14ac:dyDescent="0.25">
      <c r="B100" s="29" t="s">
        <v>249</v>
      </c>
      <c r="C100" s="7" t="s">
        <v>116</v>
      </c>
      <c r="D100" s="7"/>
      <c r="E100" s="24">
        <f t="shared" si="5"/>
        <v>0</v>
      </c>
      <c r="F100" s="8">
        <v>0</v>
      </c>
      <c r="G100" s="8">
        <v>0</v>
      </c>
      <c r="H100" s="8">
        <v>0</v>
      </c>
      <c r="I100" s="8">
        <v>0</v>
      </c>
      <c r="J100" s="10" t="s">
        <v>166</v>
      </c>
      <c r="K100" s="45">
        <v>12.86</v>
      </c>
    </row>
    <row r="101" spans="1:11" s="4" customFormat="1" ht="15.95" hidden="1" customHeight="1" x14ac:dyDescent="0.25">
      <c r="B101" s="29" t="s">
        <v>249</v>
      </c>
      <c r="C101" s="7" t="s">
        <v>117</v>
      </c>
      <c r="D101" s="7"/>
      <c r="E101" s="24">
        <f t="shared" si="5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5">
        <v>11.9</v>
      </c>
    </row>
    <row r="102" spans="1:11" s="4" customFormat="1" ht="15.95" hidden="1" customHeight="1" x14ac:dyDescent="0.25">
      <c r="B102" s="29" t="s">
        <v>249</v>
      </c>
      <c r="C102" s="7" t="s">
        <v>118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5">
        <v>9.52</v>
      </c>
    </row>
    <row r="103" spans="1:11" s="4" customFormat="1" ht="15.95" hidden="1" customHeight="1" x14ac:dyDescent="0.25">
      <c r="C103" s="7" t="s">
        <v>252</v>
      </c>
      <c r="D103" s="7"/>
      <c r="E103" s="24">
        <f t="shared" si="5"/>
        <v>0</v>
      </c>
      <c r="F103" s="8">
        <v>1</v>
      </c>
      <c r="G103" s="8">
        <v>0</v>
      </c>
      <c r="H103" s="8">
        <v>1</v>
      </c>
      <c r="I103" s="8">
        <v>0</v>
      </c>
      <c r="J103" s="10" t="s">
        <v>111</v>
      </c>
      <c r="K103" s="45">
        <v>15.48</v>
      </c>
    </row>
    <row r="104" spans="1:11" s="4" customFormat="1" ht="15.95" hidden="1" customHeight="1" x14ac:dyDescent="0.25">
      <c r="C104" s="7" t="s">
        <v>115</v>
      </c>
      <c r="D104" s="7"/>
      <c r="E104" s="24">
        <f t="shared" si="5"/>
        <v>0</v>
      </c>
      <c r="F104" s="8">
        <v>1</v>
      </c>
      <c r="G104" s="8">
        <v>0.5</v>
      </c>
      <c r="H104" s="8">
        <v>1</v>
      </c>
      <c r="I104" s="8">
        <v>0</v>
      </c>
      <c r="J104" s="10" t="s">
        <v>111</v>
      </c>
      <c r="K104" s="45">
        <v>16.07</v>
      </c>
    </row>
    <row r="105" spans="1:11" s="4" customFormat="1" ht="15.95" hidden="1" customHeight="1" x14ac:dyDescent="0.25">
      <c r="C105" s="7" t="s">
        <v>119</v>
      </c>
      <c r="D105" s="7"/>
      <c r="E105" s="24">
        <f>I105*K105</f>
        <v>0</v>
      </c>
      <c r="F105" s="8">
        <v>1.5</v>
      </c>
      <c r="G105" s="8">
        <v>1.5</v>
      </c>
      <c r="H105" s="8">
        <v>1.5</v>
      </c>
      <c r="I105" s="8">
        <v>0</v>
      </c>
      <c r="J105" s="10" t="s">
        <v>166</v>
      </c>
      <c r="K105" s="45">
        <v>2142.86</v>
      </c>
    </row>
    <row r="106" spans="1:11" s="4" customFormat="1" ht="15.95" hidden="1" customHeight="1" x14ac:dyDescent="0.25">
      <c r="C106" s="7" t="s">
        <v>134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166</v>
      </c>
      <c r="K106" s="45">
        <v>11.9</v>
      </c>
    </row>
    <row r="107" spans="1:11" s="4" customFormat="1" ht="15.95" customHeight="1" x14ac:dyDescent="0.25">
      <c r="A107" s="21" t="s">
        <v>141</v>
      </c>
      <c r="B107" s="4" t="s">
        <v>276</v>
      </c>
      <c r="C107" s="26" t="s">
        <v>196</v>
      </c>
      <c r="D107" s="27">
        <f>SUM(E108:E131)</f>
        <v>828.62</v>
      </c>
      <c r="E107" s="48"/>
      <c r="F107" s="27"/>
      <c r="G107" s="27"/>
      <c r="H107" s="27"/>
      <c r="I107" s="27"/>
      <c r="J107" s="28"/>
      <c r="K107" s="44"/>
    </row>
    <row r="108" spans="1:11" s="4" customFormat="1" ht="15.95" hidden="1" customHeight="1" x14ac:dyDescent="0.25">
      <c r="C108" s="7" t="s">
        <v>265</v>
      </c>
      <c r="D108" s="7"/>
      <c r="E108" s="8">
        <f t="shared" ref="E108:E131" si="6">I108*K108</f>
        <v>0</v>
      </c>
      <c r="F108" s="8">
        <v>2.5</v>
      </c>
      <c r="G108" s="8">
        <v>1</v>
      </c>
      <c r="H108" s="8">
        <v>1</v>
      </c>
      <c r="I108" s="8">
        <v>0</v>
      </c>
      <c r="J108" s="10" t="s">
        <v>166</v>
      </c>
      <c r="K108" s="30">
        <v>262.86</v>
      </c>
    </row>
    <row r="109" spans="1:11" s="4" customFormat="1" ht="15.95" hidden="1" customHeight="1" x14ac:dyDescent="0.25">
      <c r="C109" s="7" t="s">
        <v>254</v>
      </c>
      <c r="D109" s="7"/>
      <c r="E109" s="8">
        <f t="shared" si="6"/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564.6</v>
      </c>
    </row>
    <row r="110" spans="1:11" s="4" customFormat="1" ht="15.95" hidden="1" customHeight="1" x14ac:dyDescent="0.25">
      <c r="C110" s="7" t="s">
        <v>266</v>
      </c>
      <c r="D110" s="7"/>
      <c r="E110" s="8">
        <f t="shared" ref="E110:E112" si="7">I110*K110</f>
        <v>0</v>
      </c>
      <c r="F110" s="8">
        <v>2.5</v>
      </c>
      <c r="G110" s="8">
        <v>0.5</v>
      </c>
      <c r="H110" s="8">
        <v>1</v>
      </c>
      <c r="I110" s="8">
        <v>0</v>
      </c>
      <c r="J110" s="10" t="s">
        <v>166</v>
      </c>
      <c r="K110" s="30">
        <v>358.69</v>
      </c>
    </row>
    <row r="111" spans="1:11" s="4" customFormat="1" ht="15.95" hidden="1" customHeight="1" x14ac:dyDescent="0.25">
      <c r="C111" s="7" t="s">
        <v>269</v>
      </c>
      <c r="D111" s="7"/>
      <c r="E111" s="8">
        <f t="shared" si="7"/>
        <v>423.86</v>
      </c>
      <c r="F111" s="8">
        <v>3.5</v>
      </c>
      <c r="G111" s="8">
        <v>0.5</v>
      </c>
      <c r="H111" s="8">
        <v>1</v>
      </c>
      <c r="I111" s="8">
        <v>1</v>
      </c>
      <c r="J111" s="10" t="s">
        <v>166</v>
      </c>
      <c r="K111" s="30">
        <v>423.86</v>
      </c>
    </row>
    <row r="112" spans="1:11" s="4" customFormat="1" ht="15.95" hidden="1" customHeight="1" x14ac:dyDescent="0.25">
      <c r="C112" s="7" t="s">
        <v>270</v>
      </c>
      <c r="D112" s="7"/>
      <c r="E112" s="8">
        <f t="shared" si="7"/>
        <v>250</v>
      </c>
      <c r="F112" s="8">
        <v>2</v>
      </c>
      <c r="G112" s="8">
        <v>0.4</v>
      </c>
      <c r="H112" s="8">
        <v>1</v>
      </c>
      <c r="I112" s="8">
        <v>1</v>
      </c>
      <c r="J112" s="10" t="s">
        <v>166</v>
      </c>
      <c r="K112" s="30">
        <v>250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6"/>
        <v>154.76</v>
      </c>
      <c r="F113" s="8">
        <v>1</v>
      </c>
      <c r="G113" s="8">
        <v>0.5</v>
      </c>
      <c r="H113" s="8">
        <v>1</v>
      </c>
      <c r="I113" s="8">
        <v>1</v>
      </c>
      <c r="J113" s="10" t="s">
        <v>166</v>
      </c>
      <c r="K113" s="30">
        <v>154.76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277</v>
      </c>
      <c r="C132" s="26" t="s">
        <v>204</v>
      </c>
      <c r="D132" s="27">
        <f>SUM(E133:E142)</f>
        <v>352.86250000000001</v>
      </c>
      <c r="E132" s="48"/>
      <c r="F132" s="27"/>
      <c r="G132" s="27"/>
      <c r="H132" s="27"/>
      <c r="I132" s="27"/>
      <c r="J132" s="28"/>
      <c r="K132" s="44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50</v>
      </c>
      <c r="F134" s="8"/>
      <c r="G134" s="8"/>
      <c r="H134" s="8"/>
      <c r="I134" s="8">
        <v>1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267</v>
      </c>
      <c r="D135" s="7"/>
      <c r="E135" s="8">
        <f t="shared" si="8"/>
        <v>267.86250000000001</v>
      </c>
      <c r="F135" s="8">
        <v>1</v>
      </c>
      <c r="G135" s="8">
        <v>0</v>
      </c>
      <c r="H135" s="8">
        <v>2</v>
      </c>
      <c r="I135" s="8">
        <v>2.25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278</v>
      </c>
      <c r="C143" s="26" t="s">
        <v>205</v>
      </c>
      <c r="D143" s="27">
        <f>SUM(E144:E151)</f>
        <v>920.69</v>
      </c>
      <c r="E143" s="48"/>
      <c r="F143" s="27"/>
      <c r="G143" s="27"/>
      <c r="H143" s="27"/>
      <c r="I143" s="27"/>
      <c r="J143" s="28"/>
      <c r="K143" s="44"/>
    </row>
    <row r="144" spans="1:11" s="4" customFormat="1" ht="15.95" hidden="1" customHeight="1" x14ac:dyDescent="0.25">
      <c r="C144" s="7" t="s">
        <v>264</v>
      </c>
      <c r="D144" s="7"/>
      <c r="E144" s="8">
        <f t="shared" ref="E144:E151" si="9">I144*K144</f>
        <v>358.69</v>
      </c>
      <c r="F144" s="8">
        <v>4</v>
      </c>
      <c r="G144" s="8">
        <v>0.2</v>
      </c>
      <c r="H144" s="8">
        <v>0.7</v>
      </c>
      <c r="I144" s="8">
        <v>1</v>
      </c>
      <c r="J144" s="10" t="s">
        <v>166</v>
      </c>
      <c r="K144" s="30">
        <v>358.69</v>
      </c>
    </row>
    <row r="145" spans="2:11" s="4" customFormat="1" ht="15.95" hidden="1" customHeight="1" x14ac:dyDescent="0.25">
      <c r="C145" s="7" t="s">
        <v>264</v>
      </c>
      <c r="D145" s="7"/>
      <c r="E145" s="8">
        <f t="shared" ref="E145" si="10">I145*K145</f>
        <v>240</v>
      </c>
      <c r="F145" s="8">
        <v>1</v>
      </c>
      <c r="G145" s="8">
        <v>0.2</v>
      </c>
      <c r="H145" s="8">
        <v>0.7</v>
      </c>
      <c r="I145" s="8">
        <v>2</v>
      </c>
      <c r="J145" s="10" t="s">
        <v>166</v>
      </c>
      <c r="K145" s="30">
        <v>120</v>
      </c>
    </row>
    <row r="146" spans="2:11" s="4" customFormat="1" ht="15.95" hidden="1" customHeight="1" x14ac:dyDescent="0.25">
      <c r="C146" s="7" t="s">
        <v>86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166</v>
      </c>
      <c r="K146" s="30">
        <v>219.05</v>
      </c>
    </row>
    <row r="147" spans="2:11" s="4" customFormat="1" ht="15.95" hidden="1" customHeight="1" x14ac:dyDescent="0.25">
      <c r="C147" s="7" t="s">
        <v>180</v>
      </c>
      <c r="D147" s="7"/>
      <c r="E147" s="8">
        <f t="shared" si="9"/>
        <v>72</v>
      </c>
      <c r="F147" s="8">
        <v>0</v>
      </c>
      <c r="G147" s="8">
        <v>0</v>
      </c>
      <c r="H147" s="8">
        <v>0</v>
      </c>
      <c r="I147" s="8">
        <v>24</v>
      </c>
      <c r="J147" s="10" t="s">
        <v>166</v>
      </c>
      <c r="K147" s="30">
        <v>3</v>
      </c>
    </row>
    <row r="148" spans="2:11" s="4" customFormat="1" ht="15.95" hidden="1" customHeight="1" x14ac:dyDescent="0.25">
      <c r="C148" s="7" t="s">
        <v>53</v>
      </c>
      <c r="D148" s="7"/>
      <c r="E148" s="8">
        <f t="shared" si="9"/>
        <v>50</v>
      </c>
      <c r="F148" s="8">
        <v>0</v>
      </c>
      <c r="G148" s="8">
        <v>0</v>
      </c>
      <c r="H148" s="8">
        <v>0</v>
      </c>
      <c r="I148" s="8">
        <v>2</v>
      </c>
      <c r="J148" s="10" t="s">
        <v>166</v>
      </c>
      <c r="K148" s="30">
        <v>25</v>
      </c>
    </row>
    <row r="149" spans="2:11" s="4" customFormat="1" ht="15.95" hidden="1" customHeight="1" x14ac:dyDescent="0.25">
      <c r="B149" s="29" t="s">
        <v>249</v>
      </c>
      <c r="C149" s="7" t="s">
        <v>72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111</v>
      </c>
      <c r="K149" s="30">
        <v>25</v>
      </c>
    </row>
    <row r="150" spans="2:11" s="4" customFormat="1" ht="15.95" hidden="1" customHeight="1" x14ac:dyDescent="0.25">
      <c r="C150" s="7" t="s">
        <v>91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25</v>
      </c>
    </row>
    <row r="151" spans="2:11" s="4" customFormat="1" ht="15.95" hidden="1" customHeight="1" x14ac:dyDescent="0.25">
      <c r="C151" s="7" t="s">
        <v>248</v>
      </c>
      <c r="D151" s="7"/>
      <c r="E151" s="8">
        <f t="shared" si="9"/>
        <v>200</v>
      </c>
      <c r="F151" s="8"/>
      <c r="G151" s="8"/>
      <c r="H151" s="8"/>
      <c r="I151" s="8">
        <v>10</v>
      </c>
      <c r="J151" s="10" t="s">
        <v>166</v>
      </c>
      <c r="K151" s="30">
        <v>20</v>
      </c>
    </row>
    <row r="152" spans="2:11" s="4" customFormat="1" ht="15.95" customHeight="1" x14ac:dyDescent="0.25">
      <c r="C152" s="26" t="s">
        <v>132</v>
      </c>
      <c r="D152" s="27">
        <f>SUM(E153:E165)</f>
        <v>1736.48</v>
      </c>
      <c r="E152" s="48"/>
      <c r="F152" s="27"/>
      <c r="G152" s="27"/>
      <c r="H152" s="27"/>
      <c r="I152" s="27"/>
      <c r="J152" s="28"/>
      <c r="K152" s="44"/>
    </row>
    <row r="153" spans="2:11" s="4" customFormat="1" ht="15.95" hidden="1" customHeight="1" x14ac:dyDescent="0.25">
      <c r="B153" s="29" t="s">
        <v>249</v>
      </c>
      <c r="C153" s="7" t="s">
        <v>19</v>
      </c>
      <c r="D153" s="7"/>
      <c r="E153" s="8">
        <f t="shared" ref="E153:E165" si="11">I153*K153</f>
        <v>178.5</v>
      </c>
      <c r="F153" s="8"/>
      <c r="G153" s="8"/>
      <c r="H153" s="8"/>
      <c r="I153" s="8">
        <v>15</v>
      </c>
      <c r="J153" s="10" t="s">
        <v>166</v>
      </c>
      <c r="K153" s="30">
        <v>11.9</v>
      </c>
    </row>
    <row r="154" spans="2:11" s="4" customFormat="1" ht="15.95" hidden="1" customHeight="1" x14ac:dyDescent="0.25">
      <c r="B154" s="29" t="s">
        <v>249</v>
      </c>
      <c r="C154" s="7" t="s">
        <v>62</v>
      </c>
      <c r="D154" s="7"/>
      <c r="E154" s="8">
        <f t="shared" si="11"/>
        <v>600</v>
      </c>
      <c r="F154" s="8"/>
      <c r="G154" s="8"/>
      <c r="H154" s="8"/>
      <c r="I154" s="8">
        <v>12</v>
      </c>
      <c r="J154" s="10" t="s">
        <v>166</v>
      </c>
      <c r="K154" s="30">
        <v>50</v>
      </c>
    </row>
    <row r="155" spans="2:11" s="4" customFormat="1" ht="15.95" hidden="1" customHeight="1" x14ac:dyDescent="0.25">
      <c r="B155" s="29" t="s">
        <v>249</v>
      </c>
      <c r="C155" s="7" t="s">
        <v>63</v>
      </c>
      <c r="D155" s="7"/>
      <c r="E155" s="8">
        <f t="shared" si="11"/>
        <v>0</v>
      </c>
      <c r="F155" s="8"/>
      <c r="G155" s="8"/>
      <c r="H155" s="8"/>
      <c r="I155" s="8">
        <v>0</v>
      </c>
      <c r="J155" s="10" t="s">
        <v>166</v>
      </c>
      <c r="K155" s="30">
        <v>65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166</v>
      </c>
      <c r="K156" s="30">
        <v>23.81</v>
      </c>
    </row>
    <row r="157" spans="2:11" s="4" customFormat="1" ht="15.95" hidden="1" customHeight="1" x14ac:dyDescent="0.25">
      <c r="C157" s="7" t="s">
        <v>83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166</v>
      </c>
      <c r="K157" s="30">
        <v>14.29</v>
      </c>
    </row>
    <row r="158" spans="2:11" s="4" customFormat="1" ht="15.95" hidden="1" customHeight="1" x14ac:dyDescent="0.25">
      <c r="B158" s="29" t="s">
        <v>249</v>
      </c>
      <c r="C158" s="7" t="s">
        <v>64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B159" s="29" t="s">
        <v>249</v>
      </c>
      <c r="C159" s="7" t="s">
        <v>18</v>
      </c>
      <c r="D159" s="7"/>
      <c r="E159" s="8">
        <f t="shared" si="11"/>
        <v>80</v>
      </c>
      <c r="F159" s="8"/>
      <c r="G159" s="8"/>
      <c r="H159" s="8"/>
      <c r="I159" s="8">
        <v>8</v>
      </c>
      <c r="J159" s="10" t="s">
        <v>166</v>
      </c>
      <c r="K159" s="30">
        <v>10</v>
      </c>
    </row>
    <row r="160" spans="2:11" s="4" customFormat="1" ht="15.95" hidden="1" customHeight="1" x14ac:dyDescent="0.25">
      <c r="C160" s="7" t="s">
        <v>51</v>
      </c>
      <c r="D160" s="7"/>
      <c r="E160" s="8">
        <f t="shared" si="11"/>
        <v>80</v>
      </c>
      <c r="F160" s="12"/>
      <c r="G160" s="12"/>
      <c r="H160" s="12"/>
      <c r="I160" s="8">
        <v>16</v>
      </c>
      <c r="J160" s="10" t="s">
        <v>166</v>
      </c>
      <c r="K160" s="30">
        <v>5</v>
      </c>
    </row>
    <row r="161" spans="2:11" s="4" customFormat="1" ht="15.95" hidden="1" customHeight="1" x14ac:dyDescent="0.25">
      <c r="B161" s="29" t="s">
        <v>249</v>
      </c>
      <c r="C161" s="7" t="s">
        <v>17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166</v>
      </c>
      <c r="K161" s="30">
        <v>11.9</v>
      </c>
    </row>
    <row r="162" spans="2:11" s="4" customFormat="1" ht="15.95" hidden="1" customHeight="1" x14ac:dyDescent="0.25">
      <c r="C162" s="7" t="s">
        <v>56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166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166</v>
      </c>
      <c r="K163" s="30">
        <v>2.38</v>
      </c>
    </row>
    <row r="164" spans="2:11" ht="15.95" hidden="1" customHeight="1" x14ac:dyDescent="0.25">
      <c r="C164" s="7" t="s">
        <v>188</v>
      </c>
      <c r="D164" s="7"/>
      <c r="E164" s="8">
        <f t="shared" si="11"/>
        <v>607.5</v>
      </c>
      <c r="F164" s="8"/>
      <c r="G164" s="8"/>
      <c r="H164" s="8"/>
      <c r="I164" s="8">
        <v>150</v>
      </c>
      <c r="J164" s="10" t="s">
        <v>150</v>
      </c>
      <c r="K164" s="30">
        <v>4.05</v>
      </c>
    </row>
    <row r="165" spans="2:11" s="4" customFormat="1" ht="15.95" hidden="1" customHeight="1" x14ac:dyDescent="0.25">
      <c r="C165" s="7" t="s">
        <v>158</v>
      </c>
      <c r="D165" s="7"/>
      <c r="E165" s="8">
        <f t="shared" si="11"/>
        <v>190.48</v>
      </c>
      <c r="F165" s="8"/>
      <c r="G165" s="8"/>
      <c r="H165" s="8"/>
      <c r="I165" s="8">
        <v>1</v>
      </c>
      <c r="J165" s="10" t="s">
        <v>166</v>
      </c>
      <c r="K165" s="30">
        <v>190.48</v>
      </c>
    </row>
    <row r="166" spans="2:11" s="4" customFormat="1" ht="15.95" customHeight="1" x14ac:dyDescent="0.25">
      <c r="C166" s="26" t="s">
        <v>206</v>
      </c>
      <c r="D166" s="27">
        <f>SUM(E167:E208)</f>
        <v>1620</v>
      </c>
      <c r="E166" s="48"/>
      <c r="F166" s="27"/>
      <c r="G166" s="27"/>
      <c r="H166" s="27"/>
      <c r="I166" s="27"/>
      <c r="J166" s="28"/>
      <c r="K166" s="44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2">I167*K167</f>
        <v>30</v>
      </c>
      <c r="F167" s="12"/>
      <c r="G167" s="12"/>
      <c r="H167" s="12"/>
      <c r="I167" s="8">
        <v>2</v>
      </c>
      <c r="J167" s="10" t="s">
        <v>166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2"/>
        <v>384</v>
      </c>
      <c r="F168" s="12"/>
      <c r="G168" s="12"/>
      <c r="H168" s="12"/>
      <c r="I168" s="8">
        <v>32</v>
      </c>
      <c r="J168" s="10" t="s">
        <v>166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2"/>
        <v>140</v>
      </c>
      <c r="F169" s="12"/>
      <c r="G169" s="12"/>
      <c r="H169" s="12"/>
      <c r="I169" s="8">
        <v>7</v>
      </c>
      <c r="J169" s="10" t="s">
        <v>166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2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81</v>
      </c>
      <c r="D171" s="7"/>
      <c r="E171" s="8">
        <f t="shared" si="12"/>
        <v>25</v>
      </c>
      <c r="F171" s="12"/>
      <c r="G171" s="12"/>
      <c r="H171" s="12"/>
      <c r="I171" s="8">
        <v>1</v>
      </c>
      <c r="J171" s="10" t="s">
        <v>166</v>
      </c>
      <c r="K171" s="30">
        <v>25</v>
      </c>
    </row>
    <row r="172" spans="2:11" s="4" customFormat="1" ht="15.95" hidden="1" customHeight="1" x14ac:dyDescent="0.25">
      <c r="C172" s="7" t="s">
        <v>179</v>
      </c>
      <c r="D172" s="7"/>
      <c r="E172" s="8">
        <f t="shared" si="12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166</v>
      </c>
      <c r="K172" s="30">
        <v>385</v>
      </c>
    </row>
    <row r="173" spans="2:11" s="4" customFormat="1" ht="15.95" hidden="1" customHeight="1" x14ac:dyDescent="0.25">
      <c r="C173" s="7" t="s">
        <v>80</v>
      </c>
      <c r="D173" s="7"/>
      <c r="E173" s="8">
        <f t="shared" si="12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130</v>
      </c>
    </row>
    <row r="174" spans="2:11" s="4" customFormat="1" ht="15.95" hidden="1" customHeight="1" x14ac:dyDescent="0.25">
      <c r="C174" s="7" t="s">
        <v>79</v>
      </c>
      <c r="D174" s="7"/>
      <c r="E174" s="8">
        <f t="shared" si="12"/>
        <v>0</v>
      </c>
      <c r="F174" s="12">
        <v>1.5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230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2"/>
        <v>260</v>
      </c>
      <c r="F175" s="12"/>
      <c r="G175" s="12"/>
      <c r="H175" s="12"/>
      <c r="I175" s="8">
        <v>4</v>
      </c>
      <c r="J175" s="10" t="s">
        <v>166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2"/>
        <v>0</v>
      </c>
      <c r="F176" s="12"/>
      <c r="G176" s="12"/>
      <c r="H176" s="12"/>
      <c r="I176" s="8">
        <v>0</v>
      </c>
      <c r="J176" s="10" t="s">
        <v>166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2"/>
        <v>360</v>
      </c>
      <c r="F177" s="12"/>
      <c r="G177" s="12"/>
      <c r="H177" s="12"/>
      <c r="I177" s="8">
        <v>3</v>
      </c>
      <c r="J177" s="10" t="s">
        <v>166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166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2"/>
        <v>40</v>
      </c>
      <c r="F179" s="12"/>
      <c r="G179" s="12"/>
      <c r="H179" s="12"/>
      <c r="I179" s="8">
        <v>5</v>
      </c>
      <c r="J179" s="10" t="s">
        <v>166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2"/>
        <v>30</v>
      </c>
      <c r="F180" s="12"/>
      <c r="G180" s="12"/>
      <c r="H180" s="12"/>
      <c r="I180" s="8">
        <v>2</v>
      </c>
      <c r="J180" s="10" t="s">
        <v>166</v>
      </c>
      <c r="K180" s="30">
        <v>15</v>
      </c>
    </row>
    <row r="181" spans="3:11" s="4" customFormat="1" ht="15.95" hidden="1" customHeight="1" x14ac:dyDescent="0.25">
      <c r="C181" s="7" t="s">
        <v>190</v>
      </c>
      <c r="D181" s="7"/>
      <c r="E181" s="8">
        <f t="shared" si="12"/>
        <v>70</v>
      </c>
      <c r="F181" s="12"/>
      <c r="G181" s="12"/>
      <c r="H181" s="12"/>
      <c r="I181" s="8">
        <v>2</v>
      </c>
      <c r="J181" s="10" t="s">
        <v>166</v>
      </c>
      <c r="K181" s="30">
        <v>35</v>
      </c>
    </row>
    <row r="182" spans="3:11" s="4" customFormat="1" ht="15.95" hidden="1" customHeight="1" x14ac:dyDescent="0.25">
      <c r="C182" s="7" t="s">
        <v>61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166</v>
      </c>
      <c r="K182" s="30">
        <v>85</v>
      </c>
    </row>
    <row r="183" spans="3:11" s="4" customFormat="1" ht="15.95" hidden="1" customHeight="1" x14ac:dyDescent="0.25">
      <c r="C183" s="7" t="s">
        <v>58</v>
      </c>
      <c r="D183" s="7"/>
      <c r="E183" s="8">
        <f t="shared" si="12"/>
        <v>35</v>
      </c>
      <c r="F183" s="12"/>
      <c r="G183" s="12"/>
      <c r="H183" s="12"/>
      <c r="I183" s="8">
        <v>1</v>
      </c>
      <c r="J183" s="10" t="s">
        <v>166</v>
      </c>
      <c r="K183" s="30">
        <v>35</v>
      </c>
    </row>
    <row r="184" spans="3:11" s="4" customFormat="1" ht="15.95" hidden="1" customHeight="1" x14ac:dyDescent="0.25">
      <c r="C184" s="7" t="s">
        <v>60</v>
      </c>
      <c r="D184" s="7"/>
      <c r="E184" s="8">
        <f t="shared" si="12"/>
        <v>0</v>
      </c>
      <c r="F184" s="12"/>
      <c r="G184" s="12"/>
      <c r="H184" s="12"/>
      <c r="I184" s="8">
        <v>0</v>
      </c>
      <c r="J184" s="10" t="s">
        <v>166</v>
      </c>
      <c r="K184" s="30">
        <v>25</v>
      </c>
    </row>
    <row r="185" spans="3:11" s="4" customFormat="1" ht="15.95" hidden="1" customHeight="1" x14ac:dyDescent="0.25">
      <c r="C185" s="7" t="s">
        <v>135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166</v>
      </c>
      <c r="K185" s="30">
        <v>35</v>
      </c>
    </row>
    <row r="186" spans="3:11" s="4" customFormat="1" ht="15.95" hidden="1" customHeight="1" x14ac:dyDescent="0.25">
      <c r="C186" s="7" t="s">
        <v>47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166</v>
      </c>
      <c r="K186" s="30">
        <v>12</v>
      </c>
    </row>
    <row r="187" spans="3:11" s="4" customFormat="1" ht="15.95" hidden="1" customHeight="1" x14ac:dyDescent="0.25">
      <c r="C187" s="7" t="s">
        <v>48</v>
      </c>
      <c r="D187" s="7"/>
      <c r="E187" s="8">
        <f t="shared" si="12"/>
        <v>50</v>
      </c>
      <c r="F187" s="12"/>
      <c r="G187" s="12"/>
      <c r="H187" s="12"/>
      <c r="I187" s="8">
        <v>2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54</v>
      </c>
      <c r="D188" s="7"/>
      <c r="E188" s="8">
        <f t="shared" si="12"/>
        <v>150</v>
      </c>
      <c r="F188" s="12"/>
      <c r="G188" s="12"/>
      <c r="H188" s="12"/>
      <c r="I188" s="8">
        <v>1</v>
      </c>
      <c r="J188" s="10" t="s">
        <v>166</v>
      </c>
      <c r="K188" s="30">
        <v>150</v>
      </c>
    </row>
    <row r="189" spans="3:11" s="4" customFormat="1" ht="15.95" hidden="1" customHeight="1" x14ac:dyDescent="0.25">
      <c r="C189" s="7" t="s">
        <v>207</v>
      </c>
      <c r="D189" s="7"/>
      <c r="E189" s="8">
        <f t="shared" si="12"/>
        <v>30</v>
      </c>
      <c r="F189" s="8"/>
      <c r="G189" s="8"/>
      <c r="H189" s="8"/>
      <c r="I189" s="8">
        <v>2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159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166</v>
      </c>
      <c r="K191" s="30">
        <v>600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2"/>
        <v>0</v>
      </c>
      <c r="F192" s="8"/>
      <c r="G192" s="8"/>
      <c r="H192" s="8"/>
      <c r="I192" s="8">
        <v>0</v>
      </c>
      <c r="J192" s="10" t="s">
        <v>166</v>
      </c>
      <c r="K192" s="30">
        <v>85</v>
      </c>
    </row>
    <row r="193" spans="2:11" s="4" customFormat="1" ht="15.95" hidden="1" customHeight="1" x14ac:dyDescent="0.25">
      <c r="C193" s="7" t="s">
        <v>257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166</v>
      </c>
      <c r="K193" s="30">
        <v>210</v>
      </c>
    </row>
    <row r="194" spans="2:11" s="4" customFormat="1" ht="15.95" hidden="1" customHeight="1" x14ac:dyDescent="0.25">
      <c r="C194" s="7" t="s">
        <v>87</v>
      </c>
      <c r="D194" s="7"/>
      <c r="E194" s="8">
        <f t="shared" si="12"/>
        <v>16</v>
      </c>
      <c r="F194" s="8"/>
      <c r="G194" s="8"/>
      <c r="H194" s="8"/>
      <c r="I194" s="8">
        <v>2</v>
      </c>
      <c r="J194" s="10" t="s">
        <v>166</v>
      </c>
      <c r="K194" s="30">
        <v>8</v>
      </c>
    </row>
    <row r="195" spans="2:11" s="4" customFormat="1" ht="15.95" hidden="1" customHeight="1" x14ac:dyDescent="0.25">
      <c r="C195" s="7" t="s">
        <v>73</v>
      </c>
      <c r="D195" s="7"/>
      <c r="E195" s="8">
        <f t="shared" si="12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C196" s="7" t="s">
        <v>84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166</v>
      </c>
      <c r="K196" s="30">
        <v>15</v>
      </c>
    </row>
    <row r="197" spans="2:11" s="4" customFormat="1" ht="15.95" hidden="1" customHeight="1" x14ac:dyDescent="0.25">
      <c r="B197" s="29" t="s">
        <v>249</v>
      </c>
      <c r="C197" s="7" t="s">
        <v>85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166</v>
      </c>
      <c r="K197" s="30">
        <v>25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166</v>
      </c>
      <c r="K198" s="30">
        <v>85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166</v>
      </c>
      <c r="K200" s="30">
        <v>5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166</v>
      </c>
      <c r="K201" s="30">
        <v>12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166</v>
      </c>
      <c r="K202" s="30">
        <v>25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166</v>
      </c>
      <c r="K203" s="30">
        <v>20</v>
      </c>
    </row>
    <row r="204" spans="2:11" s="4" customFormat="1" ht="15.95" hidden="1" customHeight="1" x14ac:dyDescent="0.25">
      <c r="C204" s="7" t="s">
        <v>121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166</v>
      </c>
      <c r="K204" s="30">
        <v>6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166</v>
      </c>
      <c r="K205" s="30">
        <v>3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166</v>
      </c>
      <c r="K206" s="30">
        <v>35</v>
      </c>
    </row>
    <row r="207" spans="2:11" s="4" customFormat="1" ht="15.95" hidden="1" customHeight="1" x14ac:dyDescent="0.25">
      <c r="C207" s="7" t="s">
        <v>247</v>
      </c>
      <c r="D207" s="7"/>
      <c r="E207" s="8">
        <f t="shared" si="12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246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166</v>
      </c>
      <c r="K208" s="30">
        <v>85</v>
      </c>
    </row>
    <row r="209" spans="3:11" s="4" customFormat="1" ht="15.95" customHeight="1" x14ac:dyDescent="0.25">
      <c r="C209" s="26" t="s">
        <v>183</v>
      </c>
      <c r="D209" s="27">
        <f>SUM(E210:E220)</f>
        <v>1922.43</v>
      </c>
      <c r="E209" s="48"/>
      <c r="F209" s="27"/>
      <c r="G209" s="27"/>
      <c r="H209" s="27"/>
      <c r="I209" s="27"/>
      <c r="J209" s="28"/>
      <c r="K209" s="44"/>
    </row>
    <row r="210" spans="3:11" s="4" customFormat="1" ht="15.95" hidden="1" customHeight="1" x14ac:dyDescent="0.25">
      <c r="C210" s="7" t="s">
        <v>244</v>
      </c>
      <c r="D210" s="7"/>
      <c r="E210" s="8">
        <f t="shared" ref="E210:E220" si="13">I210*K210</f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10.71</v>
      </c>
    </row>
    <row r="211" spans="3:11" s="4" customFormat="1" ht="15.95" hidden="1" customHeight="1" x14ac:dyDescent="0.25">
      <c r="C211" s="7" t="s">
        <v>243</v>
      </c>
      <c r="D211" s="7"/>
      <c r="E211" s="8">
        <f t="shared" si="13"/>
        <v>588.24</v>
      </c>
      <c r="F211" s="8">
        <v>1</v>
      </c>
      <c r="G211" s="8">
        <v>1</v>
      </c>
      <c r="H211" s="12"/>
      <c r="I211" s="8">
        <v>38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3"/>
        <v>789.48</v>
      </c>
      <c r="F212" s="8">
        <v>1</v>
      </c>
      <c r="G212" s="8">
        <v>1</v>
      </c>
      <c r="H212" s="12"/>
      <c r="I212" s="8">
        <v>51</v>
      </c>
      <c r="J212" s="10" t="s">
        <v>111</v>
      </c>
      <c r="K212" s="30">
        <v>15.48</v>
      </c>
    </row>
    <row r="213" spans="3:11" s="4" customFormat="1" ht="15.95" hidden="1" customHeight="1" x14ac:dyDescent="0.25">
      <c r="C213" s="7" t="s">
        <v>191</v>
      </c>
      <c r="D213" s="7"/>
      <c r="E213" s="8">
        <f t="shared" si="13"/>
        <v>78.599999999999994</v>
      </c>
      <c r="F213" s="8">
        <v>1</v>
      </c>
      <c r="G213" s="8">
        <v>1</v>
      </c>
      <c r="H213" s="12"/>
      <c r="I213" s="8">
        <v>6</v>
      </c>
      <c r="J213" s="10" t="s">
        <v>111</v>
      </c>
      <c r="K213" s="30">
        <v>13.1</v>
      </c>
    </row>
    <row r="214" spans="3:11" s="4" customFormat="1" ht="15.95" hidden="1" customHeight="1" x14ac:dyDescent="0.25">
      <c r="C214" s="7" t="s">
        <v>258</v>
      </c>
      <c r="D214" s="7"/>
      <c r="E214" s="8">
        <f t="shared" si="13"/>
        <v>380.96</v>
      </c>
      <c r="F214" s="8">
        <v>1</v>
      </c>
      <c r="G214" s="8">
        <v>1</v>
      </c>
      <c r="H214" s="12"/>
      <c r="I214" s="8">
        <v>4</v>
      </c>
      <c r="J214" s="10" t="s">
        <v>111</v>
      </c>
      <c r="K214" s="30">
        <v>95.24</v>
      </c>
    </row>
    <row r="215" spans="3:11" s="4" customFormat="1" ht="15.95" hidden="1" customHeight="1" x14ac:dyDescent="0.25">
      <c r="C215" s="7" t="s">
        <v>259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47.62</v>
      </c>
    </row>
    <row r="216" spans="3:11" s="4" customFormat="1" ht="15.95" hidden="1" customHeight="1" x14ac:dyDescent="0.25">
      <c r="C216" s="7" t="s">
        <v>71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35.71</v>
      </c>
    </row>
    <row r="217" spans="3:11" s="4" customFormat="1" ht="15.95" hidden="1" customHeight="1" x14ac:dyDescent="0.25">
      <c r="C217" s="7" t="s">
        <v>122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28.57</v>
      </c>
    </row>
    <row r="218" spans="3:11" s="4" customFormat="1" ht="15.95" hidden="1" customHeight="1" x14ac:dyDescent="0.25">
      <c r="C218" s="7" t="s">
        <v>52</v>
      </c>
      <c r="D218" s="7"/>
      <c r="E218" s="8">
        <f t="shared" si="13"/>
        <v>85.149999999999991</v>
      </c>
      <c r="F218" s="8">
        <v>1</v>
      </c>
      <c r="G218" s="8">
        <v>1</v>
      </c>
      <c r="H218" s="12"/>
      <c r="I218" s="8">
        <v>6.5</v>
      </c>
      <c r="J218" s="10" t="s">
        <v>111</v>
      </c>
      <c r="K218" s="30">
        <v>13.1</v>
      </c>
    </row>
    <row r="219" spans="3:11" s="4" customFormat="1" ht="15.95" hidden="1" customHeight="1" x14ac:dyDescent="0.25">
      <c r="C219" s="7" t="s">
        <v>245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10.71</v>
      </c>
    </row>
    <row r="221" spans="3:11" s="4" customFormat="1" ht="15.95" customHeight="1" x14ac:dyDescent="0.25">
      <c r="C221" s="26" t="s">
        <v>182</v>
      </c>
      <c r="D221" s="27">
        <f>SUM(E222:E260)</f>
        <v>220</v>
      </c>
      <c r="E221" s="48"/>
      <c r="F221" s="27"/>
      <c r="G221" s="27"/>
      <c r="H221" s="27"/>
      <c r="I221" s="27"/>
      <c r="J221" s="28"/>
      <c r="K221" s="44"/>
    </row>
    <row r="222" spans="3:11" s="4" customFormat="1" ht="15.95" hidden="1" customHeight="1" x14ac:dyDescent="0.25">
      <c r="C222" s="7" t="s">
        <v>21</v>
      </c>
      <c r="D222" s="7"/>
      <c r="E222" s="8">
        <f t="shared" ref="E222:E260" si="14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166</v>
      </c>
      <c r="K222" s="30">
        <v>320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4"/>
        <v>0</v>
      </c>
      <c r="F223" s="8"/>
      <c r="G223" s="8"/>
      <c r="H223" s="8"/>
      <c r="I223" s="8">
        <v>0</v>
      </c>
      <c r="J223" s="10" t="s">
        <v>166</v>
      </c>
      <c r="K223" s="30">
        <v>210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166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166</v>
      </c>
      <c r="K226" s="30">
        <v>110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166</v>
      </c>
      <c r="K227" s="30">
        <v>310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166</v>
      </c>
      <c r="K228" s="30">
        <v>160</v>
      </c>
    </row>
    <row r="229" spans="3:11" s="4" customFormat="1" ht="15.95" hidden="1" customHeight="1" x14ac:dyDescent="0.25">
      <c r="C229" s="7" t="s">
        <v>59</v>
      </c>
      <c r="D229" s="7"/>
      <c r="E229" s="8">
        <f t="shared" si="14"/>
        <v>0</v>
      </c>
      <c r="F229" s="12"/>
      <c r="G229" s="12"/>
      <c r="H229" s="12"/>
      <c r="I229" s="8">
        <v>0</v>
      </c>
      <c r="J229" s="10" t="s">
        <v>166</v>
      </c>
      <c r="K229" s="30">
        <v>10</v>
      </c>
    </row>
    <row r="230" spans="3:11" s="4" customFormat="1" ht="15.95" hidden="1" customHeight="1" x14ac:dyDescent="0.25">
      <c r="C230" s="7" t="s">
        <v>222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166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166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181</v>
      </c>
      <c r="D234" s="7"/>
      <c r="E234" s="8">
        <f t="shared" si="14"/>
        <v>220</v>
      </c>
      <c r="F234" s="8"/>
      <c r="G234" s="8"/>
      <c r="H234" s="8"/>
      <c r="I234" s="8">
        <v>1</v>
      </c>
      <c r="J234" s="10" t="s">
        <v>166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166</v>
      </c>
      <c r="K235" s="30">
        <v>250</v>
      </c>
    </row>
    <row r="236" spans="3:11" s="4" customFormat="1" ht="15.95" hidden="1" customHeight="1" x14ac:dyDescent="0.25">
      <c r="C236" s="7" t="s">
        <v>210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166</v>
      </c>
      <c r="K236" s="30">
        <v>390</v>
      </c>
    </row>
    <row r="237" spans="3:11" s="4" customFormat="1" ht="15.95" hidden="1" customHeight="1" x14ac:dyDescent="0.25">
      <c r="C237" s="7" t="s">
        <v>236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166</v>
      </c>
      <c r="K237" s="30">
        <v>460</v>
      </c>
    </row>
    <row r="238" spans="3:11" s="4" customFormat="1" ht="15.95" hidden="1" customHeight="1" x14ac:dyDescent="0.25">
      <c r="C238" s="7" t="s">
        <v>211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166</v>
      </c>
      <c r="K238" s="30">
        <v>850</v>
      </c>
    </row>
    <row r="239" spans="3:11" s="4" customFormat="1" ht="15.95" hidden="1" customHeight="1" x14ac:dyDescent="0.25">
      <c r="C239" s="7" t="s">
        <v>187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166</v>
      </c>
      <c r="K239" s="30">
        <v>1400</v>
      </c>
    </row>
    <row r="240" spans="3:11" s="4" customFormat="1" ht="15.95" hidden="1" customHeight="1" x14ac:dyDescent="0.25">
      <c r="C240" s="7" t="s">
        <v>238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166</v>
      </c>
      <c r="K240" s="30">
        <v>360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166</v>
      </c>
      <c r="K241" s="30">
        <v>550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166</v>
      </c>
      <c r="K242" s="30">
        <v>580</v>
      </c>
    </row>
    <row r="243" spans="3:11" s="4" customFormat="1" ht="15.95" hidden="1" customHeight="1" x14ac:dyDescent="0.25">
      <c r="C243" s="7" t="s">
        <v>234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166</v>
      </c>
      <c r="K243" s="30">
        <v>680</v>
      </c>
    </row>
    <row r="244" spans="3:11" s="4" customFormat="1" ht="15.95" hidden="1" customHeight="1" x14ac:dyDescent="0.25">
      <c r="C244" s="7" t="s">
        <v>239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166</v>
      </c>
      <c r="K244" s="30">
        <v>750</v>
      </c>
    </row>
    <row r="245" spans="3:11" s="4" customFormat="1" ht="15.95" hidden="1" customHeight="1" x14ac:dyDescent="0.25">
      <c r="C245" s="7" t="s">
        <v>235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166</v>
      </c>
      <c r="K245" s="30">
        <v>340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166</v>
      </c>
      <c r="K246" s="30">
        <v>160</v>
      </c>
    </row>
    <row r="247" spans="3:11" s="4" customFormat="1" ht="15.95" hidden="1" customHeight="1" x14ac:dyDescent="0.25">
      <c r="C247" s="7" t="s">
        <v>237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227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166</v>
      </c>
      <c r="K248" s="30">
        <v>130</v>
      </c>
    </row>
    <row r="249" spans="3:11" s="4" customFormat="1" ht="15.95" hidden="1" customHeight="1" x14ac:dyDescent="0.25">
      <c r="C249" s="7" t="s">
        <v>223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166</v>
      </c>
      <c r="K249" s="30">
        <v>400</v>
      </c>
    </row>
    <row r="250" spans="3:11" s="4" customFormat="1" ht="15.95" hidden="1" customHeight="1" x14ac:dyDescent="0.25">
      <c r="C250" s="7" t="s">
        <v>225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166</v>
      </c>
      <c r="K250" s="30">
        <v>260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166</v>
      </c>
      <c r="K251" s="30">
        <v>180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166</v>
      </c>
      <c r="K252" s="30">
        <v>120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166</v>
      </c>
      <c r="K253" s="30">
        <v>220</v>
      </c>
    </row>
    <row r="254" spans="3:11" s="4" customFormat="1" ht="15.95" hidden="1" customHeight="1" x14ac:dyDescent="0.25">
      <c r="C254" s="7" t="s">
        <v>226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166</v>
      </c>
      <c r="K254" s="30">
        <v>230</v>
      </c>
    </row>
    <row r="255" spans="3:11" s="4" customFormat="1" ht="15.95" hidden="1" customHeight="1" x14ac:dyDescent="0.25">
      <c r="C255" s="7" t="s">
        <v>228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229</v>
      </c>
      <c r="K255" s="30">
        <v>500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224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166</v>
      </c>
      <c r="K257" s="30">
        <v>260</v>
      </c>
    </row>
    <row r="258" spans="3:11" s="4" customFormat="1" ht="15.95" hidden="1" customHeight="1" x14ac:dyDescent="0.25">
      <c r="C258" s="7" t="s">
        <v>219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166</v>
      </c>
      <c r="K258" s="30">
        <v>6500</v>
      </c>
    </row>
    <row r="259" spans="3:11" s="4" customFormat="1" ht="15.95" hidden="1" customHeight="1" x14ac:dyDescent="0.25">
      <c r="C259" s="7" t="s">
        <v>221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166</v>
      </c>
      <c r="K259" s="30">
        <v>8800</v>
      </c>
    </row>
    <row r="260" spans="3:11" s="4" customFormat="1" ht="15.95" hidden="1" customHeight="1" x14ac:dyDescent="0.25">
      <c r="C260" s="7" t="s">
        <v>220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166</v>
      </c>
      <c r="K260" s="30">
        <v>1050</v>
      </c>
    </row>
    <row r="261" spans="3:11" s="22" customFormat="1" ht="15.95" customHeight="1" x14ac:dyDescent="0.25">
      <c r="C261" s="32" t="s">
        <v>148</v>
      </c>
      <c r="D261" s="33">
        <f>SUM(E262)</f>
        <v>14500</v>
      </c>
      <c r="E261" s="34"/>
      <c r="F261" s="35"/>
      <c r="G261" s="35"/>
      <c r="H261" s="35"/>
      <c r="I261" s="35"/>
      <c r="J261" s="36"/>
      <c r="K261" s="46"/>
    </row>
    <row r="262" spans="3:11" s="22" customFormat="1" ht="15.95" hidden="1" customHeight="1" x14ac:dyDescent="0.25">
      <c r="C262" s="37"/>
      <c r="D262" s="38"/>
      <c r="E262" s="39">
        <f>K262*I262</f>
        <v>14500</v>
      </c>
      <c r="F262" s="24"/>
      <c r="G262" s="24"/>
      <c r="H262" s="24"/>
      <c r="I262" s="24">
        <v>1</v>
      </c>
      <c r="J262" s="25" t="s">
        <v>166</v>
      </c>
      <c r="K262" s="45">
        <v>14500</v>
      </c>
    </row>
    <row r="263" spans="3:11" s="22" customFormat="1" ht="15.95" customHeight="1" x14ac:dyDescent="0.25">
      <c r="C263" s="32" t="s">
        <v>146</v>
      </c>
      <c r="D263" s="33">
        <f>SUM(E264)</f>
        <v>7000</v>
      </c>
      <c r="E263" s="34"/>
      <c r="F263" s="40"/>
      <c r="G263" s="40"/>
      <c r="H263" s="40"/>
      <c r="I263" s="35"/>
      <c r="J263" s="36"/>
      <c r="K263" s="46"/>
    </row>
    <row r="264" spans="3:11" s="22" customFormat="1" ht="15.95" hidden="1" customHeight="1" x14ac:dyDescent="0.25">
      <c r="C264" s="37"/>
      <c r="D264" s="38"/>
      <c r="E264" s="39">
        <f>I264*K264</f>
        <v>7000</v>
      </c>
      <c r="F264" s="41"/>
      <c r="G264" s="41"/>
      <c r="H264" s="41"/>
      <c r="I264" s="24">
        <v>4</v>
      </c>
      <c r="J264" s="25" t="s">
        <v>149</v>
      </c>
      <c r="K264" s="45">
        <v>1750</v>
      </c>
    </row>
    <row r="265" spans="3:11" s="22" customFormat="1" ht="15.95" customHeight="1" x14ac:dyDescent="0.25">
      <c r="C265" s="32" t="s">
        <v>268</v>
      </c>
      <c r="D265" s="33">
        <f>SUM(E266)</f>
        <v>800</v>
      </c>
      <c r="E265" s="34"/>
      <c r="F265" s="40"/>
      <c r="G265" s="40"/>
      <c r="H265" s="40"/>
      <c r="I265" s="35"/>
      <c r="J265" s="36"/>
      <c r="K265" s="46"/>
    </row>
    <row r="266" spans="3:11" s="22" customFormat="1" ht="15.95" hidden="1" customHeight="1" x14ac:dyDescent="0.25">
      <c r="C266" s="37"/>
      <c r="D266" s="38"/>
      <c r="E266" s="39">
        <f>I266*K266</f>
        <v>800</v>
      </c>
      <c r="F266" s="41"/>
      <c r="G266" s="41"/>
      <c r="H266" s="41"/>
      <c r="I266" s="24">
        <v>1</v>
      </c>
      <c r="J266" s="25" t="s">
        <v>166</v>
      </c>
      <c r="K266" s="45">
        <v>800</v>
      </c>
    </row>
    <row r="267" spans="3:11" s="22" customFormat="1" ht="15.95" customHeight="1" x14ac:dyDescent="0.25">
      <c r="C267" s="32" t="s">
        <v>147</v>
      </c>
      <c r="D267" s="33">
        <f>SUM(E268)</f>
        <v>9000</v>
      </c>
      <c r="E267" s="34"/>
      <c r="F267" s="40"/>
      <c r="G267" s="40"/>
      <c r="H267" s="40"/>
      <c r="I267" s="35"/>
      <c r="J267" s="36"/>
      <c r="K267" s="46"/>
    </row>
    <row r="268" spans="3:11" s="22" customFormat="1" ht="15.95" hidden="1" customHeight="1" x14ac:dyDescent="0.25">
      <c r="C268" s="37"/>
      <c r="D268" s="38"/>
      <c r="E268" s="39">
        <f>I268*K268</f>
        <v>9000</v>
      </c>
      <c r="F268" s="41"/>
      <c r="G268" s="41"/>
      <c r="H268" s="41"/>
      <c r="I268" s="24">
        <v>2</v>
      </c>
      <c r="J268" s="25" t="s">
        <v>166</v>
      </c>
      <c r="K268" s="45">
        <v>4500</v>
      </c>
    </row>
    <row r="269" spans="3:11" s="22" customFormat="1" ht="15.95" customHeight="1" x14ac:dyDescent="0.25">
      <c r="C269" s="32" t="s">
        <v>212</v>
      </c>
      <c r="D269" s="33">
        <f>SUM(E270)</f>
        <v>1200</v>
      </c>
      <c r="E269" s="34"/>
      <c r="F269" s="40"/>
      <c r="G269" s="40"/>
      <c r="H269" s="40"/>
      <c r="I269" s="35"/>
      <c r="J269" s="36"/>
      <c r="K269" s="46"/>
    </row>
    <row r="270" spans="3:11" s="22" customFormat="1" ht="15.95" hidden="1" customHeight="1" x14ac:dyDescent="0.25">
      <c r="C270" s="37"/>
      <c r="D270" s="38"/>
      <c r="E270" s="39">
        <f>I270*K270</f>
        <v>1200</v>
      </c>
      <c r="F270" s="41"/>
      <c r="G270" s="41"/>
      <c r="H270" s="41"/>
      <c r="I270" s="24">
        <v>1</v>
      </c>
      <c r="J270" s="25" t="s">
        <v>166</v>
      </c>
      <c r="K270" s="45">
        <v>1200</v>
      </c>
    </row>
    <row r="271" spans="3:11" s="22" customFormat="1" ht="15.95" customHeight="1" x14ac:dyDescent="0.25">
      <c r="C271" s="32" t="s">
        <v>260</v>
      </c>
      <c r="D271" s="33">
        <f>SUM(E272)</f>
        <v>1000</v>
      </c>
      <c r="E271" s="34"/>
      <c r="F271" s="40"/>
      <c r="G271" s="40"/>
      <c r="H271" s="40"/>
      <c r="I271" s="35"/>
      <c r="J271" s="36"/>
      <c r="K271" s="46"/>
    </row>
    <row r="272" spans="3:11" s="22" customFormat="1" ht="15.95" hidden="1" customHeight="1" x14ac:dyDescent="0.25">
      <c r="C272" s="37" t="s">
        <v>281</v>
      </c>
      <c r="D272" s="38"/>
      <c r="E272" s="39">
        <f>I272*K272</f>
        <v>1000</v>
      </c>
      <c r="F272" s="41"/>
      <c r="G272" s="41"/>
      <c r="H272" s="41"/>
      <c r="I272" s="24">
        <v>1</v>
      </c>
      <c r="J272" s="25" t="s">
        <v>166</v>
      </c>
      <c r="K272" s="45">
        <v>1000</v>
      </c>
    </row>
    <row r="273" spans="3:11" ht="15.95" customHeight="1" thickBot="1" x14ac:dyDescent="0.3">
      <c r="C273" s="18" t="s">
        <v>57</v>
      </c>
      <c r="D273" s="14">
        <f>SUM(D2:D272)</f>
        <v>49591.922500000001</v>
      </c>
      <c r="E273" s="15"/>
      <c r="F273" s="50"/>
      <c r="G273" s="50"/>
      <c r="H273" s="50"/>
      <c r="I273" s="50"/>
      <c r="J273" s="50"/>
      <c r="K273" s="50"/>
    </row>
    <row r="274" spans="3:11" ht="15.95" customHeight="1" thickTop="1" x14ac:dyDescent="0.25"/>
  </sheetData>
  <autoFilter ref="C1:K273" xr:uid="{00000000-0009-0000-0000-000000000000}">
    <filterColumn colId="1">
      <customFilters>
        <customFilter operator="notEqual" val=" "/>
      </customFilters>
    </filterColumn>
  </autoFilter>
  <mergeCells count="1">
    <mergeCell ref="F273:K273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2026-06-01T11:07:52Z</dcterms:modified>
</cp:coreProperties>
</file>