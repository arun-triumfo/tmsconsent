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Asteel Flash @ Electronica 2026\Option-2\"/>
    </mc:Choice>
  </mc:AlternateContent>
  <xr:revisionPtr revIDLastSave="0" documentId="13_ncr:1_{0076688C-9A16-4175-BF2F-9B14354E30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0" i="1" l="1"/>
  <c r="E95" i="1"/>
  <c r="E117" i="1"/>
  <c r="E137" i="1" l="1"/>
  <c r="E270" i="1" l="1"/>
  <c r="D269" i="1" s="1"/>
  <c r="E81" i="1" l="1"/>
  <c r="E80" i="1"/>
  <c r="E90" i="1" l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3" i="1"/>
  <c r="E114" i="1"/>
  <c r="E115" i="1"/>
  <c r="E116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1" i="1" l="1"/>
  <c r="E63" i="1" l="1"/>
  <c r="E59" i="1"/>
  <c r="E44" i="1" l="1"/>
  <c r="E40" i="1"/>
  <c r="E41" i="1"/>
  <c r="E153" i="1" l="1"/>
  <c r="E145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4" i="1"/>
  <c r="E65" i="1"/>
  <c r="E66" i="1"/>
  <c r="E67" i="1"/>
  <c r="E76" i="1"/>
  <c r="E77" i="1"/>
  <c r="E78" i="1"/>
  <c r="E111" i="1"/>
  <c r="E222" i="1"/>
  <c r="D221" i="1" s="1"/>
  <c r="D16" i="1" l="1"/>
  <c r="D152" i="1"/>
  <c r="D133" i="1"/>
  <c r="D144" i="1"/>
  <c r="D110" i="1"/>
  <c r="D271" i="1" l="1"/>
</calcChain>
</file>

<file path=xl/sharedStrings.xml><?xml version="1.0" encoding="utf-8"?>
<sst xmlns="http://schemas.openxmlformats.org/spreadsheetml/2006/main" count="585" uniqueCount="285">
  <si>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</si>
  <si>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</si>
  <si>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</si>
  <si>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</si>
  <si>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</si>
  <si>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</si>
  <si>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</si>
  <si>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</si>
  <si>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</si>
  <si>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</si>
  <si>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</si>
  <si>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</si>
  <si>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</si>
  <si>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</si>
  <si>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</si>
  <si>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</si>
  <si>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</si>
  <si>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</si>
  <si>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</si>
  <si>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</si>
  <si>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</si>
  <si>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</si>
  <si>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</si>
  <si>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</si>
  <si>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</si>
  <si>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</si>
  <si>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</si>
  <si>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</si>
  <si>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</si>
  <si>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</si>
  <si>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</si>
  <si>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</si>
  <si>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</si>
  <si>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</si>
  <si>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</si>
  <si>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</si>
  <si>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</si>
  <si>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</si>
  <si>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</si>
  <si>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</si>
  <si>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</si>
  <si>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</si>
  <si>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</si>
  <si>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</si>
  <si>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</si>
  <si>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</si>
  <si>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</si>
  <si>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</si>
  <si>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</si>
  <si>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</si>
  <si>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</si>
  <si>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</si>
  <si>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</si>
  <si>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</si>
  <si>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</si>
  <si>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</si>
  <si>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</si>
  <si>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</si>
  <si>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</si>
  <si>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</si>
  <si>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</si>
  <si>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</si>
  <si>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</si>
  <si>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</si>
  <si>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</si>
  <si>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</si>
  <si>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</si>
  <si>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</si>
  <si>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</si>
  <si>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</si>
  <si>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</si>
  <si>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</si>
  <si>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</si>
  <si>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</si>
  <si>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</si>
  <si>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</si>
  <si>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</si>
  <si>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</si>
  <si>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</si>
  <si>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</si>
  <si>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</si>
  <si>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</si>
  <si>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</si>
  <si>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</si>
  <si>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</si>
  <si>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</si>
  <si>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</si>
  <si>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</si>
  <si>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</si>
  <si>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</si>
  <si>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</si>
  <si>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</si>
  <si>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</si>
  <si>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</si>
  <si>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</si>
  <si>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</si>
  <si>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</si>
  <si>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</si>
  <si>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</si>
  <si>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</si>
  <si>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</si>
  <si>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</si>
  <si>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</si>
  <si>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</si>
  <si>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</si>
  <si>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</si>
  <si>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</si>
  <si>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</si>
  <si>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</si>
  <si>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</si>
  <si>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</si>
  <si>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</si>
  <si>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</si>
  <si>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</si>
  <si>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</si>
  <si>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</si>
  <si>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</si>
  <si>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</si>
  <si>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</si>
  <si>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</si>
  <si>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</si>
  <si>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</si>
  <si>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</si>
  <si>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</si>
  <si>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</si>
  <si>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</si>
  <si>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</si>
  <si>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</si>
  <si>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</si>
  <si>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</si>
  <si>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</si>
  <si>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</si>
  <si>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</si>
  <si>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</si>
  <si>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</si>
  <si>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</si>
  <si>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</si>
  <si>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</si>
  <si>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</si>
  <si>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</si>
  <si>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</si>
  <si>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</si>
  <si>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</si>
  <si>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</si>
  <si>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</si>
  <si>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</si>
  <si>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</si>
  <si>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</si>
  <si>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</si>
  <si>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</si>
  <si>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</si>
  <si>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</si>
  <si>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</si>
  <si>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</si>
  <si>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</si>
  <si>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</si>
  <si>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</si>
  <si>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</si>
  <si>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</si>
  <si>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</si>
  <si>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</si>
  <si>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</si>
  <si>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</si>
  <si>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</si>
  <si>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</si>
  <si>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</si>
  <si>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</si>
  <si>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</si>
  <si>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</si>
  <si>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</si>
  <si>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</si>
  <si>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</si>
  <si>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</si>
  <si>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</si>
  <si>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</si>
  <si>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</si>
  <si>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</si>
  <si>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</si>
  <si>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</si>
  <si>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</si>
  <si>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</si>
  <si>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</si>
  <si>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</si>
  <si>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</si>
  <si>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</si>
  <si>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</si>
  <si>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</si>
  <si>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</si>
  <si>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</si>
  <si>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</si>
  <si>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</si>
  <si>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</si>
  <si>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</si>
  <si>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</si>
  <si>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</si>
  <si>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</si>
  <si>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</si>
  <si>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</si>
  <si>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</si>
  <si>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</si>
  <si>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</si>
  <si>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</si>
  <si>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</si>
  <si>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</si>
  <si>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</si>
  <si>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</si>
  <si>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</si>
  <si>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</si>
  <si>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</si>
  <si>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</si>
  <si>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</si>
  <si>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</si>
  <si>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</si>
  <si>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</si>
  <si>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</si>
  <si>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</si>
  <si>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</si>
  <si>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</si>
  <si>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</si>
  <si>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</si>
  <si>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</si>
  <si>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</si>
  <si>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</si>
  <si>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</si>
  <si>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</si>
  <si>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</si>
  <si>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</si>
  <si>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</si>
  <si>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</si>
  <si>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</si>
  <si>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</si>
  <si>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</si>
  <si>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</si>
  <si>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</si>
  <si>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</si>
  <si>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</si>
  <si>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</si>
  <si>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</si>
  <si>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</si>
  <si>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</si>
  <si>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</si>
  <si>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</si>
  <si>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</si>
  <si>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</si>
  <si>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</si>
  <si>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</si>
  <si>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</si>
  <si>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</si>
  <si>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</si>
  <si>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</si>
  <si>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</si>
  <si>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</si>
  <si>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</si>
  <si>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</si>
  <si>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</si>
  <si>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</si>
  <si>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</si>
  <si>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</si>
  <si>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</si>
  <si>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</si>
  <si>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</si>
  <si>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</si>
  <si>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</si>
  <si>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</si>
  <si>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</si>
  <si>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</si>
  <si>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</si>
  <si>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</si>
  <si>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</si>
  <si>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</si>
  <si>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</si>
  <si>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Walls 6m( Single Side) (double deckor)</t>
  </si>
  <si>
    <t>Reception Counter (Laminated)  4.0 x 0.5 x 1.0</t>
  </si>
  <si>
    <t>Podium (Laminated)- 1.2 x 0.5 x 1.0</t>
  </si>
  <si>
    <t>Rectangular Hanging (4.5m x 2.5m x 1m H) Fabric with Modular frame</t>
  </si>
  <si>
    <t>Opt Nr:-  2</t>
  </si>
  <si>
    <t>Date:- 12-11-2025</t>
  </si>
  <si>
    <t>Asteel Flash</t>
  </si>
  <si>
    <t>ELECTRONICA 2026</t>
  </si>
  <si>
    <t>15M X 7M</t>
  </si>
  <si>
    <t>105+ 27= 132 SQM</t>
  </si>
  <si>
    <t>6M</t>
  </si>
  <si>
    <t>10-13 NOV, 2026</t>
  </si>
  <si>
    <t>MINICH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</si>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</sst>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1047750</xdr:colOff>
      <xdr:row>264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6C3DF5-E0BF-4918-A9A0-D7CF96AE6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314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C110" sqref="C110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277</v>
      </c>
      <c r="C2" s="26" t="s">
        <v>151</v>
      </c>
      <c r="D2" s="27">
        <f>SUM(E3:E11)</f>
        <v>4593.49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1047.2</v>
      </c>
      <c r="F4" s="8"/>
      <c r="G4" s="8"/>
      <c r="H4" s="8"/>
      <c r="I4" s="9">
        <v>110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2514.6</v>
      </c>
      <c r="F8" s="8"/>
      <c r="G8" s="8"/>
      <c r="H8" s="8"/>
      <c r="I8" s="9">
        <v>110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117.44999999999999</v>
      </c>
      <c r="F9" s="8"/>
      <c r="G9" s="8"/>
      <c r="H9" s="8"/>
      <c r="I9" s="9">
        <v>29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914.24</v>
      </c>
      <c r="F10" s="8"/>
      <c r="G10" s="8"/>
      <c r="H10" s="8"/>
      <c r="I10" s="9">
        <v>32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278</v>
      </c>
      <c r="C12" s="26" t="s">
        <v>194</v>
      </c>
      <c r="D12" s="52">
        <f>SUM(E13:E15)</f>
        <v>1075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810</v>
      </c>
      <c r="F15" s="8"/>
      <c r="G15" s="8"/>
      <c r="H15" s="8"/>
      <c r="I15" s="9">
        <v>1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283</v>
      </c>
      <c r="C16" s="26" t="s">
        <v>184</v>
      </c>
      <c r="D16" s="27">
        <f>SUM(E17:E87)</f>
        <v>7566.2449999999999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2011.44</v>
      </c>
      <c r="F30" s="8">
        <v>1</v>
      </c>
      <c r="G30" s="8">
        <v>0.1</v>
      </c>
      <c r="H30" s="8">
        <v>3.5</v>
      </c>
      <c r="I30" s="9">
        <v>24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B45" s="29" t="s">
        <v>249</v>
      </c>
      <c r="C45" s="7" t="s">
        <v>28</v>
      </c>
      <c r="D45" s="7"/>
      <c r="E45" s="8">
        <f t="shared" si="1"/>
        <v>1187.0999999999999</v>
      </c>
      <c r="F45" s="8">
        <v>1</v>
      </c>
      <c r="G45" s="8">
        <v>0.1</v>
      </c>
      <c r="H45" s="8">
        <v>6</v>
      </c>
      <c r="I45" s="9">
        <v>15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1266.54</v>
      </c>
      <c r="F46" s="8">
        <v>1</v>
      </c>
      <c r="G46" s="8">
        <v>0.1</v>
      </c>
      <c r="H46" s="8">
        <v>6</v>
      </c>
      <c r="I46" s="9">
        <v>11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B60" s="29" t="s">
        <v>249</v>
      </c>
      <c r="C60" s="7" t="s">
        <v>106</v>
      </c>
      <c r="D60" s="7"/>
      <c r="E60" s="8">
        <f t="shared" ref="E60" si="3">I60*K60</f>
        <v>614.28</v>
      </c>
      <c r="F60" s="8">
        <v>1</v>
      </c>
      <c r="G60" s="8">
        <v>0.2</v>
      </c>
      <c r="H60" s="8">
        <v>3.5</v>
      </c>
      <c r="I60" s="9">
        <v>6</v>
      </c>
      <c r="J60" s="10" t="s">
        <v>156</v>
      </c>
      <c r="K60" s="30">
        <v>102.38</v>
      </c>
    </row>
    <row r="61" spans="2:11" ht="15.95" hidden="1" customHeight="1" x14ac:dyDescent="0.25">
      <c r="B61" s="29"/>
      <c r="C61" s="7" t="s">
        <v>106</v>
      </c>
      <c r="D61" s="7"/>
      <c r="E61" s="8">
        <f t="shared" si="2"/>
        <v>204.76</v>
      </c>
      <c r="F61" s="8">
        <v>1</v>
      </c>
      <c r="G61" s="8">
        <v>0.2</v>
      </c>
      <c r="H61" s="8">
        <v>3.5</v>
      </c>
      <c r="I61" s="9">
        <v>2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271</v>
      </c>
      <c r="D76" s="7"/>
      <c r="E76" s="8">
        <f t="shared" si="2"/>
        <v>523.30500000000006</v>
      </c>
      <c r="F76" s="8">
        <v>1</v>
      </c>
      <c r="G76" s="8">
        <v>0.2</v>
      </c>
      <c r="H76" s="8">
        <v>6</v>
      </c>
      <c r="I76" s="9">
        <v>4.5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2"/>
        <v>282.59999999999997</v>
      </c>
      <c r="F80" s="24">
        <v>1</v>
      </c>
      <c r="G80" s="24"/>
      <c r="H80" s="24">
        <v>1</v>
      </c>
      <c r="I80" s="44">
        <v>36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1285.74</v>
      </c>
      <c r="F84" s="8">
        <v>1</v>
      </c>
      <c r="G84" s="8"/>
      <c r="H84" s="8"/>
      <c r="I84" s="9">
        <v>27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190.48</v>
      </c>
      <c r="F85" s="8">
        <v>1</v>
      </c>
      <c r="G85" s="8"/>
      <c r="H85" s="8"/>
      <c r="I85" s="9">
        <v>1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282</v>
      </c>
      <c r="C88" s="26" t="s">
        <v>195</v>
      </c>
      <c r="D88" s="27">
        <f>SUM(E89:E109)</f>
        <v>1306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9" si="5">I89*K89</f>
        <v>350</v>
      </c>
      <c r="F89" s="24"/>
      <c r="G89" s="24"/>
      <c r="H89" s="24"/>
      <c r="I89" s="24">
        <v>14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40</v>
      </c>
      <c r="F90" s="24"/>
      <c r="G90" s="24"/>
      <c r="H90" s="24"/>
      <c r="I90" s="24">
        <v>4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16</v>
      </c>
      <c r="F91" s="24"/>
      <c r="G91" s="24"/>
      <c r="H91" s="24"/>
      <c r="I91" s="24">
        <v>8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265</v>
      </c>
      <c r="D95" s="7"/>
      <c r="E95" s="24">
        <f t="shared" ref="E95" si="6">I95*K95</f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29"/>
      <c r="C96" s="7" t="s">
        <v>274</v>
      </c>
      <c r="D96" s="7"/>
      <c r="E96" s="24">
        <f t="shared" si="5"/>
        <v>900</v>
      </c>
      <c r="F96" s="8"/>
      <c r="G96" s="8"/>
      <c r="H96" s="8"/>
      <c r="I96" s="8">
        <v>1</v>
      </c>
      <c r="J96" s="10" t="s">
        <v>166</v>
      </c>
      <c r="K96" s="48">
        <v>900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279</v>
      </c>
      <c r="C110" s="26" t="s">
        <v>196</v>
      </c>
      <c r="D110" s="27">
        <f>SUM(E111:E132)</f>
        <v>888.14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268</v>
      </c>
      <c r="D111" s="7"/>
      <c r="E111" s="8">
        <f t="shared" ref="E111:E132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269</v>
      </c>
      <c r="D113" s="7"/>
      <c r="E113" s="8">
        <f t="shared" si="7"/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7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272</v>
      </c>
      <c r="D116" s="7"/>
      <c r="E116" s="8">
        <f t="shared" si="7"/>
        <v>423.86</v>
      </c>
      <c r="F116" s="8">
        <v>4</v>
      </c>
      <c r="G116" s="8">
        <v>0.5</v>
      </c>
      <c r="H116" s="8">
        <v>1</v>
      </c>
      <c r="I116" s="8">
        <v>1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273</v>
      </c>
      <c r="D117" s="7"/>
      <c r="E117" s="8">
        <f t="shared" ref="E117" si="8">I117*K117</f>
        <v>464.28</v>
      </c>
      <c r="F117" s="8">
        <v>1.2</v>
      </c>
      <c r="G117" s="8">
        <v>0.5</v>
      </c>
      <c r="H117" s="8">
        <v>1</v>
      </c>
      <c r="I117" s="8">
        <v>3</v>
      </c>
      <c r="J117" s="10" t="s">
        <v>166</v>
      </c>
      <c r="K117" s="30">
        <v>154.76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7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7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7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7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7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7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7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7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7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7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7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7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7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7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280</v>
      </c>
      <c r="C133" s="26" t="s">
        <v>204</v>
      </c>
      <c r="D133" s="27">
        <f>SUM(E134:E143)</f>
        <v>2985.5599999999995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9">I134*K134</f>
        <v>35</v>
      </c>
      <c r="F134" s="12"/>
      <c r="G134" s="12"/>
      <c r="H134" s="12"/>
      <c r="I134" s="8">
        <v>1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9"/>
        <v>100</v>
      </c>
      <c r="F135" s="8"/>
      <c r="G135" s="8"/>
      <c r="H135" s="8"/>
      <c r="I135" s="8">
        <v>2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270</v>
      </c>
      <c r="D136" s="7"/>
      <c r="E136" s="8">
        <f t="shared" si="9"/>
        <v>357.15</v>
      </c>
      <c r="F136" s="8">
        <v>1</v>
      </c>
      <c r="G136" s="8">
        <v>0</v>
      </c>
      <c r="H136" s="8">
        <v>2</v>
      </c>
      <c r="I136" s="8">
        <v>3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9"/>
        <v>171.42000000000002</v>
      </c>
      <c r="F137" s="8">
        <v>1</v>
      </c>
      <c r="G137" s="8">
        <v>1</v>
      </c>
      <c r="H137" s="8"/>
      <c r="I137" s="8">
        <v>6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9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9"/>
        <v>1711.25</v>
      </c>
      <c r="F139" s="8">
        <v>2</v>
      </c>
      <c r="G139" s="8">
        <v>0.2</v>
      </c>
      <c r="H139" s="8">
        <v>0.2</v>
      </c>
      <c r="I139" s="8">
        <v>12.5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9"/>
        <v>610.74</v>
      </c>
      <c r="F140" s="8">
        <v>1</v>
      </c>
      <c r="G140" s="8">
        <v>1</v>
      </c>
      <c r="H140" s="8">
        <v>0</v>
      </c>
      <c r="I140" s="8">
        <v>27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9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281</v>
      </c>
      <c r="C144" s="26" t="s">
        <v>205</v>
      </c>
      <c r="D144" s="27">
        <f>SUM(E145:E151)</f>
        <v>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267</v>
      </c>
      <c r="D145" s="7"/>
      <c r="E145" s="8">
        <f t="shared" ref="E145:E151" si="10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10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10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10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166</v>
      </c>
      <c r="K148" s="30">
        <v>25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10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10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1182.28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1">I153*K153</f>
        <v>142.80000000000001</v>
      </c>
      <c r="F153" s="8"/>
      <c r="G153" s="8"/>
      <c r="H153" s="8"/>
      <c r="I153" s="8">
        <v>12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1"/>
        <v>150</v>
      </c>
      <c r="F159" s="8"/>
      <c r="G159" s="8"/>
      <c r="H159" s="8"/>
      <c r="I159" s="8">
        <v>15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1"/>
        <v>175</v>
      </c>
      <c r="F160" s="12"/>
      <c r="G160" s="12"/>
      <c r="H160" s="12"/>
      <c r="I160" s="8">
        <v>35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1"/>
        <v>119</v>
      </c>
      <c r="F161" s="8"/>
      <c r="G161" s="8"/>
      <c r="H161" s="8"/>
      <c r="I161" s="8">
        <v>10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1"/>
        <v>405</v>
      </c>
      <c r="F164" s="8"/>
      <c r="G164" s="8"/>
      <c r="H164" s="8"/>
      <c r="I164" s="8">
        <v>100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1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921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2">I167*K167</f>
        <v>150</v>
      </c>
      <c r="F167" s="12"/>
      <c r="G167" s="12"/>
      <c r="H167" s="12"/>
      <c r="I167" s="8">
        <v>10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2"/>
        <v>372</v>
      </c>
      <c r="F168" s="12"/>
      <c r="G168" s="12"/>
      <c r="H168" s="12"/>
      <c r="I168" s="8">
        <v>31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2"/>
        <v>60</v>
      </c>
      <c r="F169" s="12"/>
      <c r="G169" s="12"/>
      <c r="H169" s="12"/>
      <c r="I169" s="8">
        <v>3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2"/>
        <v>30</v>
      </c>
      <c r="F170" s="12"/>
      <c r="G170" s="12"/>
      <c r="H170" s="12"/>
      <c r="I170" s="8">
        <v>2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2"/>
        <v>125</v>
      </c>
      <c r="F171" s="12"/>
      <c r="G171" s="12"/>
      <c r="H171" s="12"/>
      <c r="I171" s="8">
        <v>5</v>
      </c>
      <c r="J171" s="10" t="s">
        <v>166</v>
      </c>
      <c r="K171" s="30">
        <v>25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2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2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2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2"/>
        <v>48</v>
      </c>
      <c r="F179" s="12"/>
      <c r="G179" s="12"/>
      <c r="H179" s="12"/>
      <c r="I179" s="8">
        <v>6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2"/>
        <v>15</v>
      </c>
      <c r="F180" s="12"/>
      <c r="G180" s="12"/>
      <c r="H180" s="12"/>
      <c r="I180" s="8">
        <v>1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2"/>
        <v>70</v>
      </c>
      <c r="F181" s="12"/>
      <c r="G181" s="12"/>
      <c r="H181" s="12"/>
      <c r="I181" s="8">
        <v>2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2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2"/>
        <v>0</v>
      </c>
      <c r="F189" s="8"/>
      <c r="G189" s="8"/>
      <c r="H189" s="8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2"/>
        <v>16</v>
      </c>
      <c r="F194" s="8"/>
      <c r="G194" s="8"/>
      <c r="H194" s="8"/>
      <c r="I194" s="8">
        <v>2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2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1874.22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3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3"/>
        <v>1052.6400000000001</v>
      </c>
      <c r="F211" s="8">
        <v>1</v>
      </c>
      <c r="G211" s="8">
        <v>1</v>
      </c>
      <c r="H211" s="12"/>
      <c r="I211" s="8">
        <v>68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3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3"/>
        <v>65.5</v>
      </c>
      <c r="F213" s="8">
        <v>1</v>
      </c>
      <c r="G213" s="8">
        <v>1</v>
      </c>
      <c r="H213" s="12"/>
      <c r="I213" s="8">
        <v>5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3"/>
        <v>428.58</v>
      </c>
      <c r="F214" s="8">
        <v>1</v>
      </c>
      <c r="G214" s="8">
        <v>1</v>
      </c>
      <c r="H214" s="12"/>
      <c r="I214" s="8">
        <v>4.5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3"/>
        <v>327.5</v>
      </c>
      <c r="F218" s="8">
        <v>1</v>
      </c>
      <c r="G218" s="8">
        <v>1</v>
      </c>
      <c r="H218" s="12"/>
      <c r="I218" s="8">
        <v>25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500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500</v>
      </c>
      <c r="F235" s="8"/>
      <c r="G235" s="8"/>
      <c r="H235" s="8"/>
      <c r="I235" s="8">
        <v>2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14520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14520</v>
      </c>
      <c r="F262" s="24"/>
      <c r="G262" s="24"/>
      <c r="H262" s="24"/>
      <c r="I262" s="24">
        <v>132</v>
      </c>
      <c r="J262" s="25" t="s">
        <v>284</v>
      </c>
      <c r="K262" s="48">
        <v>110</v>
      </c>
    </row>
    <row r="263" spans="3:11" s="22" customFormat="1" ht="15.95" customHeight="1" x14ac:dyDescent="0.25">
      <c r="C263" s="32" t="s">
        <v>146</v>
      </c>
      <c r="D263" s="33">
        <f>SUM(E264)</f>
        <v>5000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5000</v>
      </c>
      <c r="F264" s="41"/>
      <c r="G264" s="41"/>
      <c r="H264" s="41"/>
      <c r="I264" s="24">
        <v>4</v>
      </c>
      <c r="J264" s="25" t="s">
        <v>149</v>
      </c>
      <c r="K264" s="48">
        <v>1250</v>
      </c>
    </row>
    <row r="265" spans="3:11" s="22" customFormat="1" ht="15.95" customHeight="1" x14ac:dyDescent="0.25">
      <c r="C265" s="32" t="s">
        <v>147</v>
      </c>
      <c r="D265" s="33">
        <f>SUM(E266)</f>
        <v>6000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6000</v>
      </c>
      <c r="F266" s="41"/>
      <c r="G266" s="41"/>
      <c r="H266" s="41"/>
      <c r="I266" s="24">
        <v>4</v>
      </c>
      <c r="J266" s="25" t="s">
        <v>166</v>
      </c>
      <c r="K266" s="48">
        <v>1500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263</v>
      </c>
      <c r="D269" s="33">
        <f>SUM(E270)</f>
        <v>2000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262</v>
      </c>
      <c r="D270" s="38"/>
      <c r="E270" s="39">
        <f>I270*K270</f>
        <v>2000</v>
      </c>
      <c r="F270" s="41"/>
      <c r="G270" s="41"/>
      <c r="H270" s="41"/>
      <c r="I270" s="24">
        <v>1</v>
      </c>
      <c r="J270" s="25" t="s">
        <v>166</v>
      </c>
      <c r="K270" s="48">
        <v>2000</v>
      </c>
    </row>
    <row r="271" spans="3:11" ht="15.95" customHeight="1" thickBot="1" x14ac:dyDescent="0.3">
      <c r="C271" s="18" t="s">
        <v>57</v>
      </c>
      <c r="D271" s="14">
        <f>SUM(D2:D270)</f>
        <v>51611.934999999998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2025-11-12T09:06:33Z</dcterms:modified>
</cp:coreProperties>
</file>