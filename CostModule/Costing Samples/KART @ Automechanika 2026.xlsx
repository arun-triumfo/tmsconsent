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KART @ Automechanika 2026\"/>
    </mc:Choice>
  </mc:AlternateContent>
  <xr:revisionPtr revIDLastSave="0" documentId="13_ncr:1_{0602A2B7-9DFC-4AFB-AB6F-EF8714C6F0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265" i="1" l="1"/>
  <c r="D264" i="1" s="1"/>
  <c r="E136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2" i="1" l="1"/>
</calcChain>
</file>

<file path=xl/sharedStrings.xml><?xml version="1.0" encoding="utf-8"?>
<sst xmlns="http://schemas.openxmlformats.org/spreadsheetml/2006/main" count="586" uniqueCount="284">
  <si>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</si>
  <si>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</si>
  <si>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</si>
  <si>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</si>
  <si>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</si>
  <si>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</si>
  <si>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</si>
  <si>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</si>
  <si>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</si>
  <si>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</si>
  <si>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</si>
  <si>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</si>
  <si>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</si>
  <si>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</si>
  <si>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</si>
  <si>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</si>
  <si>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</si>
  <si>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</si>
  <si>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</si>
  <si>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</si>
  <si>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</si>
  <si>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</si>
  <si>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</si>
  <si>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</si>
  <si>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</si>
  <si>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</si>
  <si>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</si>
  <si>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</si>
  <si>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</si>
  <si>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</si>
  <si>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</si>
  <si>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</si>
  <si>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</si>
  <si>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</si>
  <si>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</si>
  <si>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</si>
  <si>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</si>
  <si>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</si>
  <si>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</si>
  <si>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</si>
  <si>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</si>
  <si>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</si>
  <si>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</si>
  <si>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</si>
  <si>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</si>
  <si>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</si>
  <si>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</si>
  <si>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</si>
  <si>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</si>
  <si>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</si>
  <si>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</si>
  <si>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</si>
  <si>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</si>
  <si>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</si>
  <si>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</si>
  <si>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</si>
  <si>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</si>
  <si>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</si>
  <si>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</si>
  <si>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</si>
  <si>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</si>
  <si>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</si>
  <si>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</si>
  <si>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</si>
  <si>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</si>
  <si>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</si>
  <si>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</si>
  <si>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</si>
  <si>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</si>
  <si>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</si>
  <si>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</si>
  <si>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</si>
  <si>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</si>
  <si>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</si>
  <si>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</si>
  <si>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</si>
  <si>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</si>
  <si>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</si>
  <si>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</si>
  <si>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</si>
  <si>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</si>
  <si>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</si>
  <si>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</si>
  <si>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</si>
  <si>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</si>
  <si>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</si>
  <si>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</si>
  <si>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</si>
  <si>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</si>
  <si>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</si>
  <si>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</si>
  <si>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</si>
  <si>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</si>
  <si>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</si>
  <si>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</si>
  <si>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</si>
  <si>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</si>
  <si>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</si>
  <si>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</si>
  <si>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</si>
  <si>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</si>
  <si>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</si>
  <si>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</si>
  <si>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</si>
  <si>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</si>
  <si>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</si>
  <si>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</si>
  <si>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</si>
  <si>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</si>
  <si>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</si>
  <si>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</si>
  <si>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</si>
  <si>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</si>
  <si>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</si>
  <si>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</si>
  <si>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</si>
  <si>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</si>
  <si>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</si>
  <si>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</si>
  <si>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</si>
  <si>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</si>
  <si>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</si>
  <si>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</si>
  <si>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</si>
  <si>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</si>
  <si>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</si>
  <si>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</si>
  <si>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</si>
  <si>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</si>
  <si>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</si>
  <si>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</si>
  <si>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</si>
  <si>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</si>
  <si>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</si>
  <si>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</si>
  <si>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</si>
  <si>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</si>
  <si>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</si>
  <si>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</si>
  <si>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</si>
  <si>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</si>
  <si>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</si>
  <si>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</si>
  <si>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</si>
  <si>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</si>
  <si>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</si>
  <si>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</si>
  <si>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</si>
  <si>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</si>
  <si>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</si>
  <si>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</si>
  <si>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</si>
  <si>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</si>
  <si>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</si>
  <si>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</si>
  <si>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</si>
  <si>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</si>
  <si>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</si>
  <si>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</si>
  <si>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</si>
  <si>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</si>
  <si>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</si>
  <si>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</si>
  <si>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</si>
  <si>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</si>
  <si>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</si>
  <si>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</si>
  <si>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</si>
  <si>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</si>
  <si>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</si>
  <si>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</si>
  <si>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</si>
  <si>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</si>
  <si>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</si>
  <si>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</si>
  <si>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</si>
  <si>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</si>
  <si>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</si>
  <si>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</si>
  <si>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</si>
  <si>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</si>
  <si>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</si>
  <si>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</si>
  <si>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</si>
  <si>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</si>
  <si>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</si>
  <si>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</si>
  <si>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</si>
  <si>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</si>
  <si>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</si>
  <si>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</si>
  <si>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</si>
  <si>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</si>
  <si>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</si>
  <si>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</si>
  <si>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</si>
  <si>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</si>
  <si>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</si>
  <si>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</si>
  <si>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</si>
  <si>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</si>
  <si>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</si>
  <si>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</si>
  <si>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</si>
  <si>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</si>
  <si>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</si>
  <si>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</si>
  <si>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</si>
  <si>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</si>
  <si>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</si>
  <si>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</si>
  <si>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</si>
  <si>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</si>
  <si>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</si>
  <si>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</si>
  <si>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</si>
  <si>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</si>
  <si>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</si>
  <si>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</si>
  <si>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</si>
  <si>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</si>
  <si>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</si>
  <si>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</si>
  <si>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</si>
  <si>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</si>
  <si>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</si>
  <si>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</si>
  <si>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</si>
  <si>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</si>
  <si>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</si>
  <si>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</si>
  <si>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</si>
  <si>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</si>
  <si>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</si>
  <si>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</si>
  <si>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</si>
  <si>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</si>
  <si>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</si>
  <si>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</si>
  <si>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</si>
  <si>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</si>
  <si>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</si>
  <si>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</si>
  <si>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</si>
  <si>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</si>
  <si>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</si>
  <si>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</si>
  <si>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</si>
  <si>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</si>
  <si>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</si>
  <si>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</si>
  <si>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</si>
  <si>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</si>
  <si>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</si>
  <si>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</si>
  <si>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</si>
  <si>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</si>
  <si>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</si>
  <si>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</si>
  <si>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</si>
  <si>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</si>
  <si>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</si>
  <si>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</si>
  <si>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</si>
  <si>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</si>
  <si>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</si>
  <si>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</si>
  <si>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</si>
  <si>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</si>
  <si>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</si>
  <si>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</si>
  <si>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(Laminated)- 1.0 x 0.5 x 1.0</t>
  </si>
  <si>
    <t xml:space="preserve">COFFEE TABLE </t>
  </si>
  <si>
    <t>Cabinate (Laminated)- 1.0 x 0.5 x 1.0</t>
  </si>
  <si>
    <t>Opt Nr:-  1</t>
  </si>
  <si>
    <t>Date:- 06-05-2026</t>
  </si>
  <si>
    <t>KART</t>
  </si>
  <si>
    <t>AUTOMECHANIKA 2026</t>
  </si>
  <si>
    <t>8.5M X 4.5M</t>
  </si>
  <si>
    <t>39 SQM</t>
  </si>
  <si>
    <t>4M</t>
  </si>
  <si>
    <t>8-12 September 2026</t>
  </si>
  <si>
    <t>FRANKFURT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</si>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</sst>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1052400</xdr:colOff>
      <xdr:row>265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C5A44-5D85-488F-B6CA-E87179A92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96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276</v>
      </c>
      <c r="C2" s="26" t="s">
        <v>150</v>
      </c>
      <c r="D2" s="27">
        <f>SUM(E3:E11)</f>
        <v>1558.9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571.59999999999991</v>
      </c>
      <c r="F5" s="8"/>
      <c r="G5" s="8"/>
      <c r="H5" s="8"/>
      <c r="I5" s="9">
        <v>40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914.4</v>
      </c>
      <c r="F8" s="8"/>
      <c r="G8" s="8"/>
      <c r="H8" s="8"/>
      <c r="I8" s="9">
        <v>40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72.899999999999991</v>
      </c>
      <c r="F9" s="8"/>
      <c r="G9" s="8"/>
      <c r="H9" s="8"/>
      <c r="I9" s="9">
        <v>18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277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SUM(E17:E86)</f>
        <v>2477.83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350</v>
      </c>
      <c r="F18" s="8">
        <v>1</v>
      </c>
      <c r="G18" s="8">
        <v>0.1</v>
      </c>
      <c r="H18" s="8">
        <v>2.5</v>
      </c>
      <c r="I18" s="9">
        <v>5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B59" s="29" t="s">
        <v>248</v>
      </c>
      <c r="C59" s="7" t="s">
        <v>104</v>
      </c>
      <c r="D59" s="7"/>
      <c r="E59" s="8">
        <f t="shared" si="2"/>
        <v>1238.1199999999999</v>
      </c>
      <c r="F59" s="8">
        <v>1</v>
      </c>
      <c r="G59" s="8">
        <v>0.2</v>
      </c>
      <c r="H59" s="8">
        <v>3.5</v>
      </c>
      <c r="I59" s="9">
        <v>13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si="2"/>
        <v>378</v>
      </c>
      <c r="F64" s="8">
        <v>1</v>
      </c>
      <c r="G64" s="8">
        <v>0.2</v>
      </c>
      <c r="H64" s="8">
        <v>4</v>
      </c>
      <c r="I64" s="9">
        <v>3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359.42</v>
      </c>
      <c r="F66" s="8">
        <v>1</v>
      </c>
      <c r="G66" s="8">
        <v>0.2</v>
      </c>
      <c r="H66" s="8">
        <v>4</v>
      </c>
      <c r="I66" s="9">
        <v>2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B76" s="29" t="s">
        <v>248</v>
      </c>
      <c r="C76" s="7" t="s">
        <v>27</v>
      </c>
      <c r="D76" s="7"/>
      <c r="E76" s="8">
        <f t="shared" si="2"/>
        <v>152.29</v>
      </c>
      <c r="F76" s="8">
        <v>1</v>
      </c>
      <c r="G76" s="8">
        <v>0.2</v>
      </c>
      <c r="H76" s="8">
        <v>6</v>
      </c>
      <c r="I76" s="9">
        <v>1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281</v>
      </c>
      <c r="C87" s="26" t="s">
        <v>194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263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1000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278</v>
      </c>
      <c r="C108" s="26" t="s">
        <v>195</v>
      </c>
      <c r="D108" s="27">
        <f>SUM(E109:E131)</f>
        <v>309.52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267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268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271</v>
      </c>
      <c r="D112" s="7"/>
      <c r="E112" s="8">
        <f t="shared" si="6"/>
        <v>154.76</v>
      </c>
      <c r="F112" s="8">
        <v>1</v>
      </c>
      <c r="G112" s="8">
        <v>0.5</v>
      </c>
      <c r="H112" s="8">
        <v>1</v>
      </c>
      <c r="I112" s="8">
        <v>1</v>
      </c>
      <c r="J112" s="10" t="s">
        <v>165</v>
      </c>
      <c r="K112" s="30">
        <v>154.76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165</v>
      </c>
      <c r="K113" s="30">
        <v>154.76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54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279</v>
      </c>
      <c r="C132" s="26" t="s">
        <v>203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48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269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280</v>
      </c>
      <c r="C143" s="26" t="s">
        <v>204</v>
      </c>
      <c r="D143" s="27">
        <f>SUM(E144:E150)</f>
        <v>45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266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165</v>
      </c>
      <c r="K144" s="30">
        <v>109.52</v>
      </c>
    </row>
    <row r="145" spans="2:11" s="4" customFormat="1" ht="15.95" hidden="1" customHeight="1" x14ac:dyDescent="0.25">
      <c r="C145" s="7" t="s">
        <v>85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165</v>
      </c>
      <c r="K145" s="30">
        <v>219.05</v>
      </c>
    </row>
    <row r="146" spans="2:11" s="4" customFormat="1" ht="15.95" hidden="1" customHeight="1" x14ac:dyDescent="0.25">
      <c r="C146" s="7" t="s">
        <v>179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165</v>
      </c>
      <c r="K146" s="30">
        <v>3</v>
      </c>
    </row>
    <row r="147" spans="2:11" s="4" customFormat="1" ht="15.95" hidden="1" customHeight="1" x14ac:dyDescent="0.25">
      <c r="C147" s="7" t="s">
        <v>52</v>
      </c>
      <c r="D147" s="7"/>
      <c r="E147" s="8">
        <f t="shared" si="8"/>
        <v>25</v>
      </c>
      <c r="F147" s="8">
        <v>0</v>
      </c>
      <c r="G147" s="8">
        <v>0</v>
      </c>
      <c r="H147" s="8">
        <v>0</v>
      </c>
      <c r="I147" s="8">
        <v>1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71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90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8"/>
        <v>20</v>
      </c>
      <c r="F150" s="8"/>
      <c r="G150" s="8"/>
      <c r="H150" s="8"/>
      <c r="I150" s="8">
        <v>1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530.48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9">I152*K152</f>
        <v>119</v>
      </c>
      <c r="F152" s="8"/>
      <c r="G152" s="8"/>
      <c r="H152" s="8"/>
      <c r="I152" s="8">
        <v>10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61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62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81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63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9"/>
        <v>90</v>
      </c>
      <c r="F158" s="8"/>
      <c r="G158" s="8"/>
      <c r="H158" s="8"/>
      <c r="I158" s="8">
        <v>9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50</v>
      </c>
      <c r="D159" s="7"/>
      <c r="E159" s="8">
        <f t="shared" si="9"/>
        <v>50</v>
      </c>
      <c r="F159" s="12"/>
      <c r="G159" s="12"/>
      <c r="H159" s="12"/>
      <c r="I159" s="8">
        <v>10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55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9"/>
        <v>81</v>
      </c>
      <c r="F163" s="8"/>
      <c r="G163" s="8"/>
      <c r="H163" s="8"/>
      <c r="I163" s="8">
        <v>20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492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60</v>
      </c>
      <c r="F166" s="12"/>
      <c r="G166" s="12"/>
      <c r="H166" s="12"/>
      <c r="I166" s="8">
        <v>4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15</v>
      </c>
      <c r="F169" s="12"/>
      <c r="G169" s="12"/>
      <c r="H169" s="12"/>
      <c r="I169" s="8">
        <v>1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79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78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170</v>
      </c>
      <c r="F175" s="12"/>
      <c r="G175" s="12"/>
      <c r="H175" s="12"/>
      <c r="I175" s="8">
        <v>2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24</v>
      </c>
      <c r="F178" s="12"/>
      <c r="G178" s="12"/>
      <c r="H178" s="12"/>
      <c r="I178" s="8">
        <v>3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60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57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272</v>
      </c>
      <c r="D186" s="7"/>
      <c r="E186" s="8">
        <f t="shared" si="10"/>
        <v>25</v>
      </c>
      <c r="F186" s="12"/>
      <c r="G186" s="12"/>
      <c r="H186" s="12"/>
      <c r="I186" s="8">
        <v>1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53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86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72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83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84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0"/>
        <v>85</v>
      </c>
      <c r="F207" s="8"/>
      <c r="G207" s="8"/>
      <c r="H207" s="8"/>
      <c r="I207" s="8">
        <v>1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452.5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1"/>
        <v>387</v>
      </c>
      <c r="F210" s="8">
        <v>1</v>
      </c>
      <c r="G210" s="8">
        <v>1</v>
      </c>
      <c r="H210" s="12"/>
      <c r="I210" s="8">
        <v>25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1"/>
        <v>65.5</v>
      </c>
      <c r="F212" s="8">
        <v>1</v>
      </c>
      <c r="G212" s="8">
        <v>1</v>
      </c>
      <c r="H212" s="12"/>
      <c r="I212" s="8">
        <v>5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70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51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390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58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2"/>
        <v>390</v>
      </c>
      <c r="F235" s="8"/>
      <c r="G235" s="8"/>
      <c r="H235" s="8"/>
      <c r="I235" s="8">
        <v>1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8500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8500</v>
      </c>
      <c r="F261" s="24"/>
      <c r="G261" s="24"/>
      <c r="H261" s="24"/>
      <c r="I261" s="24">
        <v>1</v>
      </c>
      <c r="J261" s="25" t="s">
        <v>165</v>
      </c>
      <c r="K261" s="48">
        <v>8500</v>
      </c>
    </row>
    <row r="262" spans="3:11" s="22" customFormat="1" ht="15.95" customHeight="1" x14ac:dyDescent="0.25">
      <c r="C262" s="32" t="s">
        <v>145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148</v>
      </c>
      <c r="K263" s="48">
        <v>1250</v>
      </c>
    </row>
    <row r="264" spans="3:11" s="22" customFormat="1" ht="15.95" customHeight="1" x14ac:dyDescent="0.25">
      <c r="C264" s="32" t="s">
        <v>270</v>
      </c>
      <c r="D264" s="33">
        <f>SUM(E265)</f>
        <v>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</v>
      </c>
      <c r="F265" s="41"/>
      <c r="G265" s="41"/>
      <c r="H265" s="41"/>
      <c r="I265" s="24">
        <v>1</v>
      </c>
      <c r="J265" s="25" t="s">
        <v>165</v>
      </c>
      <c r="K265" s="48">
        <v>500</v>
      </c>
    </row>
    <row r="266" spans="3:11" s="22" customFormat="1" ht="15.95" customHeight="1" x14ac:dyDescent="0.25">
      <c r="C266" s="32" t="s">
        <v>146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165</v>
      </c>
      <c r="K267" s="48">
        <v>1500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262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165</v>
      </c>
      <c r="K271" s="48">
        <v>1000</v>
      </c>
    </row>
    <row r="272" spans="3:11" ht="15.95" customHeight="1" thickBot="1" x14ac:dyDescent="0.3">
      <c r="C272" s="18" t="s">
        <v>56</v>
      </c>
      <c r="D272" s="14">
        <f>SUM(D2:D271)</f>
        <v>22991.23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2026-05-06T13:00:12Z</dcterms:modified>
</cp:coreProperties>
</file>