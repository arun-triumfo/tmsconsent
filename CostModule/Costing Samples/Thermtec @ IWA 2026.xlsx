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Thermtec @ IWA 2026\Standard Cost\"/>
    </mc:Choice>
  </mc:AlternateContent>
  <xr:revisionPtr revIDLastSave="0" documentId="13_ncr:1_{55CC5699-F734-4F27-A169-BED6061AA3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Europe!$C$1:$K$277</definedName>
    <definedName name="_xlnm.Print_Area" localSheetId="0">Europe!$A$1:$H$277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7" i="1" l="1"/>
  <c r="E95" i="1"/>
  <c r="E96" i="1"/>
  <c r="E116" i="1"/>
  <c r="E114" i="1"/>
  <c r="E113" i="1"/>
  <c r="E112" i="1"/>
  <c r="E226" i="1"/>
  <c r="D225" i="1" s="1"/>
  <c r="E140" i="1" l="1"/>
  <c r="E276" i="1" l="1"/>
  <c r="D275" i="1" s="1"/>
  <c r="E80" i="1" l="1"/>
  <c r="E79" i="1"/>
  <c r="E89" i="1" l="1"/>
  <c r="E90" i="1"/>
  <c r="E91" i="1"/>
  <c r="E92" i="1"/>
  <c r="E93" i="1"/>
  <c r="E94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8" i="1"/>
  <c r="E196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74" i="1" l="1"/>
  <c r="D273" i="1" s="1"/>
  <c r="E272" i="1"/>
  <c r="D271" i="1" s="1"/>
  <c r="E270" i="1"/>
  <c r="D269" i="1" s="1"/>
  <c r="E268" i="1"/>
  <c r="D267" i="1" s="1"/>
  <c r="E14" i="1" l="1"/>
  <c r="E88" i="1" l="1"/>
  <c r="D87" i="1" s="1"/>
  <c r="E15" i="1" l="1"/>
  <c r="E83" i="1" l="1"/>
  <c r="E84" i="1"/>
  <c r="E85" i="1"/>
  <c r="E214" i="1" l="1"/>
  <c r="E137" i="1"/>
  <c r="E170" i="1"/>
  <c r="D169" i="1" s="1"/>
  <c r="D213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6" i="1" l="1"/>
  <c r="E148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1" i="1"/>
  <c r="E228" i="1"/>
  <c r="D227" i="1" l="1"/>
  <c r="D16" i="1"/>
  <c r="D155" i="1"/>
  <c r="D136" i="1"/>
  <c r="D147" i="1"/>
  <c r="D110" i="1"/>
  <c r="D277" i="1" l="1"/>
</calcChain>
</file>

<file path=xl/sharedStrings.xml><?xml version="1.0" encoding="utf-8"?>
<sst xmlns="http://schemas.openxmlformats.org/spreadsheetml/2006/main" count="596" uniqueCount="290">
  <si>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</si>
  <si>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</si>
  <si>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</si>
  <si>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</si>
  <si>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</si>
  <si>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</si>
  <si>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</si>
  <si>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</si>
  <si>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</si>
  <si>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</si>
  <si>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</si>
  <si>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</si>
  <si>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</si>
  <si>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</si>
  <si>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</si>
  <si>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</si>
  <si>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</si>
  <si>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</si>
  <si>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</si>
  <si>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</si>
  <si>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</si>
  <si>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</si>
  <si>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</si>
  <si>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</si>
  <si>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</si>
  <si>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</si>
  <si>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</si>
  <si>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</si>
  <si>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</si>
  <si>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</si>
  <si>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</si>
  <si>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</si>
  <si>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</si>
  <si>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</si>
  <si>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</si>
  <si>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</si>
  <si>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</si>
  <si>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</si>
  <si>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</si>
  <si>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</si>
  <si>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</si>
  <si>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</si>
  <si>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</si>
  <si>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</si>
  <si>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</si>
  <si>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</si>
  <si>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</si>
  <si>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</si>
  <si>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</si>
  <si>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</si>
  <si>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</si>
  <si>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</si>
  <si>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</si>
  <si>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</si>
  <si>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</si>
  <si>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</si>
  <si>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</si>
  <si>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</si>
  <si>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</si>
  <si>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</si>
  <si>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</si>
  <si>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</si>
  <si>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</si>
  <si>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</si>
  <si>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</si>
  <si>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</si>
  <si>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</si>
  <si>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</si>
  <si>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</si>
  <si>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</si>
  <si>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</si>
  <si>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</si>
  <si>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</si>
  <si>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</si>
  <si>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</si>
  <si>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</si>
  <si>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</si>
  <si>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</si>
  <si>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</si>
  <si>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</si>
  <si>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</si>
  <si>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</si>
  <si>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</si>
  <si>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</si>
  <si>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</si>
  <si>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</si>
  <si>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</si>
  <si>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</si>
  <si>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</si>
  <si>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</si>
  <si>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</si>
  <si>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</si>
  <si>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</si>
  <si>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</si>
  <si>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</si>
  <si>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</si>
  <si>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</si>
  <si>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</si>
  <si>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</si>
  <si>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</si>
  <si>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</si>
  <si>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</si>
  <si>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</si>
  <si>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</si>
  <si>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</si>
  <si>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</si>
  <si>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</si>
  <si>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</si>
  <si>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</si>
  <si>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</si>
  <si>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</si>
  <si>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</si>
  <si>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</si>
  <si>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</si>
  <si>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</si>
  <si>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</si>
  <si>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</si>
  <si>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</si>
  <si>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</si>
  <si>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</si>
  <si>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</si>
  <si>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</si>
  <si>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</si>
  <si>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</si>
  <si>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</si>
  <si>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</si>
  <si>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</si>
  <si>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</si>
  <si>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</si>
  <si>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</si>
  <si>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</si>
  <si>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</si>
  <si>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</si>
  <si>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</si>
  <si>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</si>
  <si>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</si>
  <si>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</si>
  <si>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</si>
  <si>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</si>
  <si>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</si>
  <si>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</si>
  <si>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</si>
  <si>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</si>
  <si>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</si>
  <si>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</si>
  <si>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</si>
  <si>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</si>
  <si>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</si>
  <si>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</si>
  <si>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</si>
  <si>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</si>
  <si>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</si>
  <si>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</si>
  <si>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</si>
  <si>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</si>
  <si>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</si>
  <si>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</si>
  <si>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</si>
  <si>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</si>
  <si>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</si>
  <si>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</si>
  <si>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</si>
  <si>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</si>
  <si>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</si>
  <si>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</si>
  <si>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</si>
  <si>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</si>
  <si>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</si>
  <si>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</si>
  <si>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</si>
  <si>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</si>
  <si>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</si>
  <si>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</si>
  <si>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</si>
  <si>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</si>
  <si>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</si>
  <si>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</si>
  <si>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</si>
  <si>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</si>
  <si>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</si>
  <si>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</si>
  <si>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</si>
  <si>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</si>
  <si>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</si>
  <si>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</si>
  <si>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</si>
  <si>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</si>
  <si>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</si>
  <si>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</si>
  <si>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</si>
  <si>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</si>
  <si>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</si>
  <si>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</si>
  <si>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</si>
  <si>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</si>
  <si>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</si>
  <si>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</si>
  <si>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</si>
  <si>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</si>
  <si>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</si>
  <si>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</si>
  <si>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</si>
  <si>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</si>
  <si>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</si>
  <si>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</si>
  <si>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</si>
  <si>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</si>
  <si>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</si>
  <si>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</si>
  <si>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</si>
  <si>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</si>
  <si>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</si>
  <si>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</si>
  <si>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</si>
  <si>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</si>
  <si>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</si>
  <si>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</si>
  <si>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</si>
  <si>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</si>
  <si>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</si>
  <si>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</si>
  <si>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</si>
  <si>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</si>
  <si>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</si>
  <si>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</si>
  <si>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</si>
  <si>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</si>
  <si>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</si>
  <si>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</si>
  <si>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</si>
  <si>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</si>
  <si>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</si>
  <si>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</si>
  <si>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</si>
  <si>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</si>
  <si>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</si>
  <si>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</si>
  <si>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</si>
  <si>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</si>
  <si>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</si>
  <si>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</si>
  <si>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</si>
  <si>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</si>
  <si>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</si>
  <si>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</si>
  <si>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</si>
  <si>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</si>
  <si>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</si>
  <si>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</si>
  <si>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</si>
  <si>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</si>
  <si>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</si>
  <si>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</si>
  <si>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</si>
  <si>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</si>
  <si>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</si>
  <si>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</si>
  <si>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</si>
  <si>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</si>
  <si>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</si>
  <si>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</si>
  <si>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</si>
  <si>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</si>
  <si>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</si>
  <si>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</si>
  <si>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</si>
  <si>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</si>
  <si>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</si>
  <si>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</si>
  <si>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</si>
  <si>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</si>
  <si>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STAINLESS STEEL EDGE LOGO</t>
  </si>
  <si>
    <t xml:space="preserve">3D CUT LETTER WITH LED  </t>
  </si>
  <si>
    <t>Product Display Cabinate (Spray Painted)- 2.0 x 0.8 x 1.0</t>
  </si>
  <si>
    <t>Product Display Cabinate (Wood + Glass)- 3.0 x 0.8 x 1.0</t>
  </si>
  <si>
    <t>Reception Counter (Wood + Glass)- 3.5 x 0.5 x 1.0</t>
  </si>
  <si>
    <t>Bar Counter (Spray Painted)- 4.3 x 0.5 x 1.0</t>
  </si>
  <si>
    <t>Wooden Hanging (12m x 6m)</t>
  </si>
  <si>
    <t>Fabric Hanging Hanging (5m x 5m x 1.5m)</t>
  </si>
  <si>
    <t>DRINKING WATER (1L)</t>
  </si>
  <si>
    <t>Opt Nr:-  1</t>
  </si>
  <si>
    <t>Date:- 16-12-2025</t>
  </si>
  <si>
    <t>THERMTEC</t>
  </si>
  <si>
    <t>IWA 2026</t>
  </si>
  <si>
    <t>12.4M X 12M</t>
  </si>
  <si>
    <t>148 SQM</t>
  </si>
  <si>
    <t>5M</t>
  </si>
  <si>
    <t>26 FEB-01 MAR, 2026</t>
  </si>
  <si>
    <t>NUREMBERG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</si>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</sst>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1</xdr:col>
      <xdr:colOff>1056046</xdr:colOff>
      <xdr:row>268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7098DE-4927-48DC-B29A-7E64F7B3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3321" cy="138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8"/>
  <sheetViews>
    <sheetView tabSelected="1" zoomScaleNormal="100" zoomScaleSheetLayoutView="85" workbookViewId="0">
      <pane ySplit="1" topLeftCell="A2" activePane="bottomLeft" state="frozen"/>
      <selection pane="bottomLeft" activeCell="D279" sqref="D27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280</v>
      </c>
      <c r="B1" s="31" t="s">
        <v>281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282</v>
      </c>
      <c r="C2" s="26" t="s">
        <v>151</v>
      </c>
      <c r="D2" s="27">
        <f>SUM(E3:E11)</f>
        <v>429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429</v>
      </c>
      <c r="F3" s="8"/>
      <c r="G3" s="8"/>
      <c r="H3" s="8"/>
      <c r="I3" s="9">
        <v>150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283</v>
      </c>
      <c r="C12" s="26" t="s">
        <v>194</v>
      </c>
      <c r="D12" s="52">
        <f>SUM(E13:E15)</f>
        <v>630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288</v>
      </c>
      <c r="C16" s="26" t="s">
        <v>184</v>
      </c>
      <c r="D16" s="27">
        <f>SUM(E17:E86)</f>
        <v>4657.1350000000002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2158.8449999999998</v>
      </c>
      <c r="F42" s="8">
        <v>1</v>
      </c>
      <c r="G42" s="8">
        <v>0.1</v>
      </c>
      <c r="H42" s="8">
        <v>5</v>
      </c>
      <c r="I42" s="9">
        <v>19.5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389.72</v>
      </c>
      <c r="F56" s="8">
        <v>1</v>
      </c>
      <c r="G56" s="8">
        <v>0.2</v>
      </c>
      <c r="H56" s="8">
        <v>3</v>
      </c>
      <c r="I56" s="9">
        <v>4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866.61</v>
      </c>
      <c r="F63" s="8">
        <v>1</v>
      </c>
      <c r="G63" s="8">
        <v>0.2</v>
      </c>
      <c r="H63" s="8">
        <v>4</v>
      </c>
      <c r="I63" s="9">
        <v>9</v>
      </c>
      <c r="J63" s="10" t="s">
        <v>156</v>
      </c>
      <c r="K63" s="30">
        <v>96.29</v>
      </c>
    </row>
    <row r="64" spans="2:11" ht="15.95" hidden="1" customHeight="1" x14ac:dyDescent="0.25">
      <c r="B64" s="29" t="s">
        <v>249</v>
      </c>
      <c r="C64" s="7" t="s">
        <v>31</v>
      </c>
      <c r="D64" s="7"/>
      <c r="E64" s="8">
        <f t="shared" si="2"/>
        <v>504</v>
      </c>
      <c r="F64" s="8">
        <v>1</v>
      </c>
      <c r="G64" s="8">
        <v>0.2</v>
      </c>
      <c r="H64" s="8">
        <v>4</v>
      </c>
      <c r="I64" s="9">
        <v>4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B72" s="29" t="s">
        <v>249</v>
      </c>
      <c r="C72" s="7" t="s">
        <v>68</v>
      </c>
      <c r="D72" s="7"/>
      <c r="E72" s="8">
        <f t="shared" si="2"/>
        <v>580.96</v>
      </c>
      <c r="F72" s="8">
        <v>1</v>
      </c>
      <c r="G72" s="8">
        <v>0.2</v>
      </c>
      <c r="H72" s="8">
        <v>5</v>
      </c>
      <c r="I72" s="9">
        <v>4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157</v>
      </c>
      <c r="F80" s="24">
        <v>1</v>
      </c>
      <c r="G80" s="24"/>
      <c r="H80" s="24">
        <v>1</v>
      </c>
      <c r="I80" s="44">
        <v>10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287</v>
      </c>
      <c r="C87" s="26" t="s">
        <v>195</v>
      </c>
      <c r="D87" s="27">
        <f>SUM(E88:E109)</f>
        <v>4052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9" si="4">I88*K88</f>
        <v>1200</v>
      </c>
      <c r="F88" s="24"/>
      <c r="G88" s="24"/>
      <c r="H88" s="24"/>
      <c r="I88" s="24">
        <v>48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120</v>
      </c>
      <c r="F89" s="24"/>
      <c r="G89" s="24"/>
      <c r="H89" s="24"/>
      <c r="I89" s="24">
        <v>12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32</v>
      </c>
      <c r="F90" s="24"/>
      <c r="G90" s="24"/>
      <c r="H90" s="24"/>
      <c r="I90" s="24">
        <v>16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277</v>
      </c>
      <c r="D95" s="7"/>
      <c r="E95" s="24">
        <f t="shared" si="4"/>
        <v>1000</v>
      </c>
      <c r="F95" s="8"/>
      <c r="G95" s="8"/>
      <c r="H95" s="8"/>
      <c r="I95" s="8">
        <v>1</v>
      </c>
      <c r="J95" s="10" t="s">
        <v>166</v>
      </c>
      <c r="K95" s="48">
        <v>1000</v>
      </c>
    </row>
    <row r="96" spans="1:11" s="4" customFormat="1" ht="15.95" hidden="1" customHeight="1" x14ac:dyDescent="0.25">
      <c r="B96" s="42"/>
      <c r="C96" s="7" t="s">
        <v>278</v>
      </c>
      <c r="D96" s="7"/>
      <c r="E96" s="24">
        <f t="shared" ref="E96" si="5">I96*K96</f>
        <v>1700</v>
      </c>
      <c r="F96" s="8"/>
      <c r="G96" s="8"/>
      <c r="H96" s="8"/>
      <c r="I96" s="8">
        <v>1</v>
      </c>
      <c r="J96" s="10" t="s">
        <v>166</v>
      </c>
      <c r="K96" s="48">
        <v>1700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4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4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4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4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4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4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4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4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4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284</v>
      </c>
      <c r="C110" s="26" t="s">
        <v>196</v>
      </c>
      <c r="D110" s="27">
        <f>SUM(E111:E135)</f>
        <v>3164.6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268</v>
      </c>
      <c r="D111" s="7"/>
      <c r="E111" s="8">
        <f t="shared" ref="E111:E135" si="6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ref="E112:E114" si="7">I112*K112</f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7"/>
        <v>1750</v>
      </c>
      <c r="F113" s="8">
        <v>2</v>
      </c>
      <c r="G113" s="8">
        <v>0.8</v>
      </c>
      <c r="H113" s="8">
        <v>1</v>
      </c>
      <c r="I113" s="8">
        <v>5</v>
      </c>
      <c r="J113" s="10" t="s">
        <v>166</v>
      </c>
      <c r="K113" s="30">
        <v>350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7"/>
        <v>400</v>
      </c>
      <c r="F114" s="8">
        <v>3</v>
      </c>
      <c r="G114" s="8">
        <v>0.8</v>
      </c>
      <c r="H114" s="8">
        <v>1</v>
      </c>
      <c r="I114" s="8">
        <v>1</v>
      </c>
      <c r="J114" s="10" t="s">
        <v>166</v>
      </c>
      <c r="K114" s="30">
        <v>400</v>
      </c>
    </row>
    <row r="115" spans="2:11" s="4" customFormat="1" ht="15.95" hidden="1" customHeight="1" x14ac:dyDescent="0.25">
      <c r="C115" s="7" t="s">
        <v>275</v>
      </c>
      <c r="D115" s="7"/>
      <c r="E115" s="8">
        <f t="shared" si="6"/>
        <v>450</v>
      </c>
      <c r="F115" s="8">
        <v>3.5</v>
      </c>
      <c r="G115" s="8">
        <v>0.5</v>
      </c>
      <c r="H115" s="8">
        <v>1</v>
      </c>
      <c r="I115" s="8">
        <v>1</v>
      </c>
      <c r="J115" s="10" t="s">
        <v>166</v>
      </c>
      <c r="K115" s="30">
        <v>450</v>
      </c>
    </row>
    <row r="116" spans="2:11" s="4" customFormat="1" ht="15.95" hidden="1" customHeight="1" x14ac:dyDescent="0.25">
      <c r="C116" s="7" t="s">
        <v>276</v>
      </c>
      <c r="D116" s="7"/>
      <c r="E116" s="8">
        <f t="shared" si="6"/>
        <v>564.6</v>
      </c>
      <c r="F116" s="8">
        <v>4.3</v>
      </c>
      <c r="G116" s="8">
        <v>0.5</v>
      </c>
      <c r="H116" s="8">
        <v>1</v>
      </c>
      <c r="I116" s="8">
        <v>1</v>
      </c>
      <c r="J116" s="10" t="s">
        <v>166</v>
      </c>
      <c r="K116" s="30">
        <v>564.6</v>
      </c>
    </row>
    <row r="117" spans="2:11" s="4" customFormat="1" ht="15.95" hidden="1" customHeight="1" x14ac:dyDescent="0.25">
      <c r="C117" s="7" t="s">
        <v>269</v>
      </c>
      <c r="D117" s="7"/>
      <c r="E117" s="8">
        <f t="shared" si="6"/>
        <v>0</v>
      </c>
      <c r="F117" s="8">
        <v>2.5</v>
      </c>
      <c r="G117" s="8">
        <v>0.5</v>
      </c>
      <c r="H117" s="8">
        <v>1</v>
      </c>
      <c r="I117" s="8">
        <v>0</v>
      </c>
      <c r="J117" s="10" t="s">
        <v>166</v>
      </c>
      <c r="K117" s="30">
        <v>358.69</v>
      </c>
    </row>
    <row r="118" spans="2:11" s="4" customFormat="1" ht="15.95" hidden="1" customHeight="1" x14ac:dyDescent="0.25">
      <c r="C118" s="7" t="s">
        <v>255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302.29000000000002</v>
      </c>
    </row>
    <row r="119" spans="2:11" s="4" customFormat="1" ht="15.95" hidden="1" customHeight="1" x14ac:dyDescent="0.25">
      <c r="C119" s="7" t="s">
        <v>253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604.02</v>
      </c>
    </row>
    <row r="120" spans="2:11" s="4" customFormat="1" ht="15.95" hidden="1" customHeight="1" x14ac:dyDescent="0.25">
      <c r="C120" s="7" t="s">
        <v>256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423.86</v>
      </c>
    </row>
    <row r="121" spans="2:11" s="4" customFormat="1" ht="15.95" hidden="1" customHeight="1" x14ac:dyDescent="0.25">
      <c r="C121" s="7" t="s">
        <v>157</v>
      </c>
      <c r="D121" s="7"/>
      <c r="E121" s="8">
        <f t="shared" si="6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166</v>
      </c>
      <c r="K121" s="30">
        <v>595.24</v>
      </c>
    </row>
    <row r="122" spans="2:11" s="4" customFormat="1" ht="15.95" hidden="1" customHeight="1" x14ac:dyDescent="0.25">
      <c r="C122" s="7" t="s">
        <v>197</v>
      </c>
      <c r="D122" s="7"/>
      <c r="E122" s="8">
        <f t="shared" si="6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166</v>
      </c>
      <c r="K122" s="30">
        <v>161.9</v>
      </c>
    </row>
    <row r="123" spans="2:11" s="4" customFormat="1" ht="15.95" hidden="1" customHeight="1" x14ac:dyDescent="0.25">
      <c r="C123" s="7" t="s">
        <v>198</v>
      </c>
      <c r="D123" s="7"/>
      <c r="E123" s="8">
        <f t="shared" si="6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166</v>
      </c>
      <c r="K123" s="30">
        <v>190.48</v>
      </c>
    </row>
    <row r="124" spans="2:11" s="4" customFormat="1" ht="15.95" hidden="1" customHeight="1" x14ac:dyDescent="0.25">
      <c r="C124" s="7" t="s">
        <v>199</v>
      </c>
      <c r="D124" s="7"/>
      <c r="E124" s="8">
        <f t="shared" si="6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166</v>
      </c>
      <c r="K124" s="30">
        <v>216.67</v>
      </c>
    </row>
    <row r="125" spans="2:11" s="4" customFormat="1" ht="15.95" hidden="1" customHeight="1" x14ac:dyDescent="0.25">
      <c r="C125" s="7" t="s">
        <v>200</v>
      </c>
      <c r="D125" s="7"/>
      <c r="E125" s="8">
        <f t="shared" si="6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166</v>
      </c>
      <c r="K125" s="30">
        <v>154.76</v>
      </c>
    </row>
    <row r="126" spans="2:11" s="4" customFormat="1" ht="15.95" hidden="1" customHeight="1" x14ac:dyDescent="0.25">
      <c r="C126" s="7" t="s">
        <v>201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177.98</v>
      </c>
    </row>
    <row r="127" spans="2:11" s="4" customFormat="1" ht="15.95" hidden="1" customHeight="1" x14ac:dyDescent="0.25">
      <c r="C127" s="7" t="s">
        <v>202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260.12</v>
      </c>
    </row>
    <row r="128" spans="2:11" s="4" customFormat="1" ht="15.95" hidden="1" customHeight="1" x14ac:dyDescent="0.25">
      <c r="B128" s="29" t="s">
        <v>249</v>
      </c>
      <c r="C128" s="7" t="s">
        <v>120</v>
      </c>
      <c r="D128" s="7"/>
      <c r="E128" s="8">
        <f t="shared" si="6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166</v>
      </c>
      <c r="K128" s="30">
        <v>210</v>
      </c>
    </row>
    <row r="129" spans="1:11" s="4" customFormat="1" ht="15.95" hidden="1" customHeight="1" x14ac:dyDescent="0.25">
      <c r="C129" s="7" t="s">
        <v>125</v>
      </c>
      <c r="D129" s="7"/>
      <c r="E129" s="8">
        <f t="shared" si="6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166</v>
      </c>
      <c r="K129" s="30">
        <v>223.81</v>
      </c>
    </row>
    <row r="130" spans="1:11" s="4" customFormat="1" ht="15.95" hidden="1" customHeight="1" x14ac:dyDescent="0.25">
      <c r="C130" s="7" t="s">
        <v>126</v>
      </c>
      <c r="D130" s="7"/>
      <c r="E130" s="8">
        <f t="shared" si="6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166</v>
      </c>
      <c r="K130" s="30">
        <v>65</v>
      </c>
    </row>
    <row r="131" spans="1:11" s="4" customFormat="1" ht="15.95" hidden="1" customHeight="1" x14ac:dyDescent="0.25">
      <c r="C131" s="7" t="s">
        <v>127</v>
      </c>
      <c r="D131" s="7"/>
      <c r="E131" s="8">
        <f t="shared" si="6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166</v>
      </c>
      <c r="K131" s="30">
        <v>35</v>
      </c>
    </row>
    <row r="132" spans="1:11" s="4" customFormat="1" ht="15.95" hidden="1" customHeight="1" x14ac:dyDescent="0.25">
      <c r="B132" s="29" t="s">
        <v>249</v>
      </c>
      <c r="C132" s="7" t="s">
        <v>55</v>
      </c>
      <c r="D132" s="7"/>
      <c r="E132" s="8">
        <f t="shared" si="6"/>
        <v>0</v>
      </c>
      <c r="F132" s="8"/>
      <c r="G132" s="8"/>
      <c r="H132" s="8"/>
      <c r="I132" s="8">
        <v>0</v>
      </c>
      <c r="J132" s="10" t="s">
        <v>166</v>
      </c>
      <c r="K132" s="30">
        <v>12</v>
      </c>
    </row>
    <row r="133" spans="1:11" s="4" customFormat="1" ht="15.95" hidden="1" customHeight="1" x14ac:dyDescent="0.25">
      <c r="C133" s="7" t="s">
        <v>130</v>
      </c>
      <c r="D133" s="7"/>
      <c r="E133" s="8">
        <f t="shared" si="6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111</v>
      </c>
      <c r="K133" s="30">
        <v>21.9</v>
      </c>
    </row>
    <row r="134" spans="1:11" s="4" customFormat="1" ht="15.95" hidden="1" customHeight="1" x14ac:dyDescent="0.25">
      <c r="C134" s="7" t="s">
        <v>203</v>
      </c>
      <c r="D134" s="7"/>
      <c r="E134" s="8">
        <f t="shared" si="6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166</v>
      </c>
      <c r="K134" s="30">
        <v>177.98</v>
      </c>
    </row>
    <row r="135" spans="1:11" s="4" customFormat="1" ht="15.95" hidden="1" customHeight="1" x14ac:dyDescent="0.25">
      <c r="C135" s="7" t="s">
        <v>178</v>
      </c>
      <c r="D135" s="7"/>
      <c r="E135" s="8">
        <f t="shared" si="6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166</v>
      </c>
      <c r="K135" s="30">
        <v>383.33</v>
      </c>
    </row>
    <row r="136" spans="1:11" s="4" customFormat="1" ht="15.95" customHeight="1" x14ac:dyDescent="0.25">
      <c r="A136" s="21" t="s">
        <v>143</v>
      </c>
      <c r="B136" s="4" t="s">
        <v>285</v>
      </c>
      <c r="C136" s="26" t="s">
        <v>204</v>
      </c>
      <c r="D136" s="27">
        <f>SUM(E137:E146)</f>
        <v>606.4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249</v>
      </c>
      <c r="C137" s="7" t="s">
        <v>49</v>
      </c>
      <c r="D137" s="7"/>
      <c r="E137" s="8">
        <f t="shared" ref="E137:E146" si="8">I137*K137</f>
        <v>35</v>
      </c>
      <c r="F137" s="12"/>
      <c r="G137" s="12"/>
      <c r="H137" s="12"/>
      <c r="I137" s="8">
        <v>1</v>
      </c>
      <c r="J137" s="10" t="s">
        <v>166</v>
      </c>
      <c r="K137" s="30">
        <v>35</v>
      </c>
    </row>
    <row r="138" spans="1:11" s="4" customFormat="1" ht="15.95" hidden="1" customHeight="1" x14ac:dyDescent="0.25">
      <c r="B138" s="29" t="s">
        <v>249</v>
      </c>
      <c r="C138" s="7" t="s">
        <v>50</v>
      </c>
      <c r="D138" s="7"/>
      <c r="E138" s="8">
        <f t="shared" si="8"/>
        <v>0</v>
      </c>
      <c r="F138" s="8"/>
      <c r="G138" s="8"/>
      <c r="H138" s="8"/>
      <c r="I138" s="8">
        <v>0</v>
      </c>
      <c r="J138" s="10" t="s">
        <v>166</v>
      </c>
      <c r="K138" s="30">
        <v>50</v>
      </c>
    </row>
    <row r="139" spans="1:11" s="4" customFormat="1" ht="15.95" hidden="1" customHeight="1" x14ac:dyDescent="0.25">
      <c r="B139" s="29" t="s">
        <v>249</v>
      </c>
      <c r="C139" s="7" t="s">
        <v>270</v>
      </c>
      <c r="D139" s="7"/>
      <c r="E139" s="8">
        <f t="shared" si="8"/>
        <v>0</v>
      </c>
      <c r="F139" s="8">
        <v>1</v>
      </c>
      <c r="G139" s="8">
        <v>0</v>
      </c>
      <c r="H139" s="8">
        <v>2</v>
      </c>
      <c r="I139" s="8">
        <v>0</v>
      </c>
      <c r="J139" s="10" t="s">
        <v>166</v>
      </c>
      <c r="K139" s="30">
        <v>119.05</v>
      </c>
    </row>
    <row r="140" spans="1:11" s="4" customFormat="1" ht="15.95" hidden="1" customHeight="1" x14ac:dyDescent="0.25">
      <c r="C140" s="7" t="s">
        <v>122</v>
      </c>
      <c r="D140" s="7"/>
      <c r="E140" s="8">
        <f t="shared" si="8"/>
        <v>571.4</v>
      </c>
      <c r="F140" s="8">
        <v>1</v>
      </c>
      <c r="G140" s="8">
        <v>1</v>
      </c>
      <c r="H140" s="8"/>
      <c r="I140" s="8">
        <v>20</v>
      </c>
      <c r="J140" s="10" t="s">
        <v>111</v>
      </c>
      <c r="K140" s="30">
        <v>28.57</v>
      </c>
    </row>
    <row r="141" spans="1:11" s="4" customFormat="1" ht="15.95" hidden="1" customHeight="1" x14ac:dyDescent="0.25">
      <c r="C141" s="7" t="s">
        <v>74</v>
      </c>
      <c r="D141" s="7"/>
      <c r="E141" s="8">
        <f t="shared" si="8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166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8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166</v>
      </c>
      <c r="K142" s="30">
        <v>136.9</v>
      </c>
    </row>
    <row r="143" spans="1:11" s="4" customFormat="1" ht="15.95" hidden="1" customHeight="1" x14ac:dyDescent="0.25">
      <c r="C143" s="7" t="s">
        <v>171</v>
      </c>
      <c r="D143" s="7"/>
      <c r="E143" s="8">
        <f t="shared" si="8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111</v>
      </c>
      <c r="K143" s="30">
        <v>22.62</v>
      </c>
    </row>
    <row r="144" spans="1:11" s="4" customFormat="1" ht="15.95" hidden="1" customHeight="1" x14ac:dyDescent="0.25">
      <c r="C144" s="7" t="s">
        <v>162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83.33</v>
      </c>
    </row>
    <row r="145" spans="1:11" s="4" customFormat="1" ht="15.95" hidden="1" customHeight="1" x14ac:dyDescent="0.25">
      <c r="C145" s="7" t="s">
        <v>163</v>
      </c>
      <c r="D145" s="7"/>
      <c r="E145" s="8">
        <f t="shared" si="8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32.14</v>
      </c>
    </row>
    <row r="146" spans="1:11" s="4" customFormat="1" ht="15.95" hidden="1" customHeight="1" x14ac:dyDescent="0.25">
      <c r="C146" s="7" t="s">
        <v>164</v>
      </c>
      <c r="D146" s="7"/>
      <c r="E146" s="8">
        <f t="shared" si="8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38.1</v>
      </c>
    </row>
    <row r="147" spans="1:11" s="4" customFormat="1" ht="15.95" customHeight="1" x14ac:dyDescent="0.25">
      <c r="A147" s="21" t="s">
        <v>142</v>
      </c>
      <c r="B147" s="4" t="s">
        <v>286</v>
      </c>
      <c r="C147" s="26" t="s">
        <v>205</v>
      </c>
      <c r="D147" s="27">
        <f>SUM(E148:E154)</f>
        <v>370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267</v>
      </c>
      <c r="D148" s="7"/>
      <c r="E148" s="8">
        <f t="shared" ref="E148:E154" si="9">I148*K148</f>
        <v>0</v>
      </c>
      <c r="F148" s="8">
        <v>2</v>
      </c>
      <c r="G148" s="8">
        <v>0.2</v>
      </c>
      <c r="H148" s="8">
        <v>0.2</v>
      </c>
      <c r="I148" s="8">
        <v>0</v>
      </c>
      <c r="J148" s="10" t="s">
        <v>166</v>
      </c>
      <c r="K148" s="30">
        <v>109.52</v>
      </c>
    </row>
    <row r="149" spans="1:11" s="4" customFormat="1" ht="15.95" hidden="1" customHeight="1" x14ac:dyDescent="0.25">
      <c r="C149" s="7" t="s">
        <v>86</v>
      </c>
      <c r="D149" s="7"/>
      <c r="E149" s="8">
        <f t="shared" si="9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166</v>
      </c>
      <c r="K149" s="30">
        <v>219.05</v>
      </c>
    </row>
    <row r="150" spans="1:11" s="4" customFormat="1" ht="15.95" hidden="1" customHeight="1" x14ac:dyDescent="0.25">
      <c r="C150" s="7" t="s">
        <v>180</v>
      </c>
      <c r="D150" s="7"/>
      <c r="E150" s="8">
        <f t="shared" si="9"/>
        <v>225</v>
      </c>
      <c r="F150" s="8">
        <v>0</v>
      </c>
      <c r="G150" s="8">
        <v>0</v>
      </c>
      <c r="H150" s="8">
        <v>0</v>
      </c>
      <c r="I150" s="8">
        <v>75</v>
      </c>
      <c r="J150" s="10" t="s">
        <v>166</v>
      </c>
      <c r="K150" s="30">
        <v>3</v>
      </c>
    </row>
    <row r="151" spans="1:11" s="4" customFormat="1" ht="15.95" hidden="1" customHeight="1" x14ac:dyDescent="0.25">
      <c r="C151" s="7" t="s">
        <v>53</v>
      </c>
      <c r="D151" s="7"/>
      <c r="E151" s="8">
        <f t="shared" si="9"/>
        <v>25</v>
      </c>
      <c r="F151" s="8">
        <v>0</v>
      </c>
      <c r="G151" s="8">
        <v>0</v>
      </c>
      <c r="H151" s="8">
        <v>0</v>
      </c>
      <c r="I151" s="8">
        <v>1</v>
      </c>
      <c r="J151" s="10" t="s">
        <v>166</v>
      </c>
      <c r="K151" s="30">
        <v>25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9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9"/>
        <v>120</v>
      </c>
      <c r="F154" s="8"/>
      <c r="G154" s="8"/>
      <c r="H154" s="8"/>
      <c r="I154" s="8">
        <v>6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1136.23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10">I156*K156</f>
        <v>119</v>
      </c>
      <c r="F156" s="8"/>
      <c r="G156" s="8"/>
      <c r="H156" s="8"/>
      <c r="I156" s="8">
        <v>10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10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10"/>
        <v>160</v>
      </c>
      <c r="F162" s="8"/>
      <c r="G162" s="8"/>
      <c r="H162" s="8"/>
      <c r="I162" s="8">
        <v>16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10"/>
        <v>125</v>
      </c>
      <c r="F163" s="12"/>
      <c r="G163" s="12"/>
      <c r="H163" s="12"/>
      <c r="I163" s="8">
        <v>25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10"/>
        <v>238</v>
      </c>
      <c r="F164" s="8"/>
      <c r="G164" s="8"/>
      <c r="H164" s="8"/>
      <c r="I164" s="8">
        <v>20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10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10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10"/>
        <v>303.75</v>
      </c>
      <c r="F167" s="8"/>
      <c r="G167" s="8"/>
      <c r="H167" s="8"/>
      <c r="I167" s="8">
        <v>75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10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SUM(E170:E212)</f>
        <v>978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2" si="11">I170*K170</f>
        <v>15</v>
      </c>
      <c r="F170" s="12"/>
      <c r="G170" s="12"/>
      <c r="H170" s="12"/>
      <c r="I170" s="8">
        <v>1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1"/>
        <v>192</v>
      </c>
      <c r="F171" s="12"/>
      <c r="G171" s="12"/>
      <c r="H171" s="12"/>
      <c r="I171" s="8">
        <v>16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1"/>
        <v>80</v>
      </c>
      <c r="F172" s="12"/>
      <c r="G172" s="12"/>
      <c r="H172" s="12"/>
      <c r="I172" s="8">
        <v>4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1"/>
        <v>0</v>
      </c>
      <c r="F173" s="12"/>
      <c r="G173" s="12"/>
      <c r="H173" s="12"/>
      <c r="I173" s="8">
        <v>0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15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1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1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1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1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1"/>
        <v>40</v>
      </c>
      <c r="F182" s="12"/>
      <c r="G182" s="12"/>
      <c r="H182" s="12"/>
      <c r="I182" s="8">
        <v>5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1"/>
        <v>15</v>
      </c>
      <c r="F183" s="12"/>
      <c r="G183" s="12"/>
      <c r="H183" s="12"/>
      <c r="I183" s="8">
        <v>1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1"/>
        <v>105</v>
      </c>
      <c r="F184" s="12"/>
      <c r="G184" s="12"/>
      <c r="H184" s="12"/>
      <c r="I184" s="8">
        <v>3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1"/>
        <v>35</v>
      </c>
      <c r="F186" s="12"/>
      <c r="G186" s="12"/>
      <c r="H186" s="12"/>
      <c r="I186" s="8">
        <v>1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1"/>
        <v>0</v>
      </c>
      <c r="F191" s="12"/>
      <c r="G191" s="12"/>
      <c r="H191" s="12"/>
      <c r="I191" s="8">
        <v>0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159</v>
      </c>
      <c r="D193" s="7"/>
      <c r="E193" s="8">
        <f t="shared" si="11"/>
        <v>0</v>
      </c>
      <c r="F193" s="12"/>
      <c r="G193" s="12"/>
      <c r="H193" s="12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1"/>
        <v>0</v>
      </c>
      <c r="F194" s="12"/>
      <c r="G194" s="12"/>
      <c r="H194" s="12"/>
      <c r="I194" s="8">
        <v>0</v>
      </c>
      <c r="J194" s="10" t="s">
        <v>166</v>
      </c>
      <c r="K194" s="30">
        <v>600</v>
      </c>
    </row>
    <row r="195" spans="2:11" s="4" customFormat="1" ht="15.95" hidden="1" customHeight="1" x14ac:dyDescent="0.25">
      <c r="C195" s="7" t="s">
        <v>209</v>
      </c>
      <c r="D195" s="7"/>
      <c r="E195" s="8">
        <f t="shared" si="11"/>
        <v>85</v>
      </c>
      <c r="F195" s="8"/>
      <c r="G195" s="8"/>
      <c r="H195" s="8"/>
      <c r="I195" s="8">
        <v>1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257</v>
      </c>
      <c r="D196" s="7"/>
      <c r="E196" s="8">
        <f t="shared" si="11"/>
        <v>210</v>
      </c>
      <c r="F196" s="8"/>
      <c r="G196" s="8"/>
      <c r="H196" s="8"/>
      <c r="I196" s="8">
        <v>1</v>
      </c>
      <c r="J196" s="10" t="s">
        <v>166</v>
      </c>
      <c r="K196" s="30">
        <v>210</v>
      </c>
    </row>
    <row r="197" spans="2:11" s="4" customFormat="1" ht="15.95" hidden="1" customHeight="1" x14ac:dyDescent="0.25">
      <c r="C197" s="7" t="s">
        <v>279</v>
      </c>
      <c r="D197" s="7"/>
      <c r="E197" s="8">
        <f t="shared" ref="E197" si="12">I197*K197</f>
        <v>120</v>
      </c>
      <c r="F197" s="8"/>
      <c r="G197" s="8"/>
      <c r="H197" s="8"/>
      <c r="I197" s="8">
        <v>100</v>
      </c>
      <c r="J197" s="10" t="s">
        <v>166</v>
      </c>
      <c r="K197" s="30">
        <v>1.2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16</v>
      </c>
      <c r="F198" s="8"/>
      <c r="G198" s="8"/>
      <c r="H198" s="8"/>
      <c r="I198" s="8">
        <v>2</v>
      </c>
      <c r="J198" s="10" t="s">
        <v>166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B201" s="29" t="s">
        <v>249</v>
      </c>
      <c r="C201" s="7" t="s">
        <v>85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1"/>
        <v>5</v>
      </c>
      <c r="F204" s="8"/>
      <c r="G204" s="8"/>
      <c r="H204" s="8"/>
      <c r="I204" s="8">
        <v>1</v>
      </c>
      <c r="J204" s="10" t="s">
        <v>166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1"/>
        <v>60</v>
      </c>
      <c r="F208" s="8"/>
      <c r="G208" s="8"/>
      <c r="H208" s="8"/>
      <c r="I208" s="8">
        <v>10</v>
      </c>
      <c r="J208" s="10" t="s">
        <v>166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1"/>
        <v>0</v>
      </c>
      <c r="F209" s="8"/>
      <c r="G209" s="8"/>
      <c r="H209" s="8"/>
      <c r="I209" s="8">
        <v>0</v>
      </c>
      <c r="J209" s="10" t="s">
        <v>166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1"/>
        <v>0</v>
      </c>
      <c r="F210" s="8"/>
      <c r="G210" s="8"/>
      <c r="H210" s="8"/>
      <c r="I210" s="8">
        <v>0</v>
      </c>
      <c r="J210" s="10" t="s">
        <v>166</v>
      </c>
      <c r="K210" s="30">
        <v>35</v>
      </c>
    </row>
    <row r="211" spans="3:11" s="4" customFormat="1" ht="15.95" hidden="1" customHeight="1" x14ac:dyDescent="0.25">
      <c r="C211" s="7" t="s">
        <v>247</v>
      </c>
      <c r="D211" s="7"/>
      <c r="E211" s="8">
        <f t="shared" si="11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166</v>
      </c>
      <c r="K211" s="30">
        <v>20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1"/>
        <v>0</v>
      </c>
      <c r="F212" s="8"/>
      <c r="G212" s="8"/>
      <c r="H212" s="8"/>
      <c r="I212" s="8">
        <v>0</v>
      </c>
      <c r="J212" s="10" t="s">
        <v>166</v>
      </c>
      <c r="K212" s="30">
        <v>85</v>
      </c>
    </row>
    <row r="213" spans="3:11" s="4" customFormat="1" ht="15.95" customHeight="1" x14ac:dyDescent="0.25">
      <c r="C213" s="26" t="s">
        <v>183</v>
      </c>
      <c r="D213" s="27">
        <f>SUM(E214:E224)</f>
        <v>2196.88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244</v>
      </c>
      <c r="D214" s="7"/>
      <c r="E214" s="8">
        <f t="shared" ref="E214:E224" si="13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243</v>
      </c>
      <c r="D215" s="7"/>
      <c r="E215" s="8">
        <f t="shared" si="13"/>
        <v>1702.8</v>
      </c>
      <c r="F215" s="8">
        <v>1</v>
      </c>
      <c r="G215" s="8">
        <v>1</v>
      </c>
      <c r="H215" s="12"/>
      <c r="I215" s="8">
        <v>110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191</v>
      </c>
      <c r="D217" s="7"/>
      <c r="E217" s="8">
        <f t="shared" si="13"/>
        <v>65.5</v>
      </c>
      <c r="F217" s="8">
        <v>1</v>
      </c>
      <c r="G217" s="8">
        <v>1</v>
      </c>
      <c r="H217" s="12"/>
      <c r="I217" s="8">
        <v>5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258</v>
      </c>
      <c r="D218" s="7"/>
      <c r="E218" s="8">
        <f t="shared" si="13"/>
        <v>285.71999999999997</v>
      </c>
      <c r="F218" s="8">
        <v>1</v>
      </c>
      <c r="G218" s="8">
        <v>1</v>
      </c>
      <c r="H218" s="12"/>
      <c r="I218" s="8">
        <v>3</v>
      </c>
      <c r="J218" s="10" t="s">
        <v>111</v>
      </c>
      <c r="K218" s="30">
        <v>95.24</v>
      </c>
    </row>
    <row r="219" spans="3:11" s="4" customFormat="1" ht="15.95" hidden="1" customHeight="1" x14ac:dyDescent="0.25">
      <c r="C219" s="7" t="s">
        <v>259</v>
      </c>
      <c r="D219" s="7"/>
      <c r="E219" s="8">
        <f t="shared" si="13"/>
        <v>142.85999999999999</v>
      </c>
      <c r="F219" s="8">
        <v>1</v>
      </c>
      <c r="G219" s="8">
        <v>1</v>
      </c>
      <c r="H219" s="12"/>
      <c r="I219" s="8">
        <v>3</v>
      </c>
      <c r="J219" s="10" t="s">
        <v>111</v>
      </c>
      <c r="K219" s="30">
        <v>47.62</v>
      </c>
    </row>
    <row r="220" spans="3:11" s="4" customFormat="1" ht="15.95" hidden="1" customHeight="1" x14ac:dyDescent="0.25">
      <c r="C220" s="7" t="s">
        <v>71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35.71</v>
      </c>
    </row>
    <row r="221" spans="3:11" s="4" customFormat="1" ht="15.95" hidden="1" customHeight="1" x14ac:dyDescent="0.25">
      <c r="C221" s="7" t="s">
        <v>122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28.57</v>
      </c>
    </row>
    <row r="222" spans="3:11" s="4" customFormat="1" ht="15.95" hidden="1" customHeight="1" x14ac:dyDescent="0.25">
      <c r="C222" s="7" t="s">
        <v>52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13.1</v>
      </c>
    </row>
    <row r="223" spans="3:11" s="4" customFormat="1" ht="15.95" hidden="1" customHeight="1" x14ac:dyDescent="0.25">
      <c r="C223" s="7" t="s">
        <v>245</v>
      </c>
      <c r="D223" s="7"/>
      <c r="E223" s="8">
        <f t="shared" si="13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10.71</v>
      </c>
    </row>
    <row r="225" spans="3:11" s="4" customFormat="1" ht="15.95" customHeight="1" x14ac:dyDescent="0.25">
      <c r="C225" s="26" t="s">
        <v>271</v>
      </c>
      <c r="D225" s="27">
        <f>SUM(E226)</f>
        <v>3500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272</v>
      </c>
      <c r="D226" s="7"/>
      <c r="E226" s="8">
        <f t="shared" ref="E226" si="14">I226*K226</f>
        <v>3500</v>
      </c>
      <c r="F226" s="8">
        <v>1</v>
      </c>
      <c r="G226" s="8">
        <v>1</v>
      </c>
      <c r="H226" s="12"/>
      <c r="I226" s="8">
        <v>7</v>
      </c>
      <c r="J226" s="10" t="s">
        <v>111</v>
      </c>
      <c r="K226" s="30">
        <v>500</v>
      </c>
    </row>
    <row r="227" spans="3:11" s="4" customFormat="1" ht="15.95" customHeight="1" x14ac:dyDescent="0.25">
      <c r="C227" s="26" t="s">
        <v>182</v>
      </c>
      <c r="D227" s="27">
        <f>SUM(E228:E266)</f>
        <v>17190</v>
      </c>
      <c r="E227" s="51"/>
      <c r="F227" s="27"/>
      <c r="G227" s="27"/>
      <c r="H227" s="27"/>
      <c r="I227" s="27"/>
      <c r="J227" s="28"/>
      <c r="K227" s="47"/>
    </row>
    <row r="228" spans="3:11" s="4" customFormat="1" ht="15.95" hidden="1" customHeight="1" x14ac:dyDescent="0.25">
      <c r="C228" s="7" t="s">
        <v>21</v>
      </c>
      <c r="D228" s="7"/>
      <c r="E228" s="8">
        <f t="shared" ref="E228:E266" si="15">I228*K228</f>
        <v>0</v>
      </c>
      <c r="F228" s="12">
        <v>1.5</v>
      </c>
      <c r="G228" s="12">
        <v>1</v>
      </c>
      <c r="H228" s="12">
        <v>1</v>
      </c>
      <c r="I228" s="8">
        <v>0</v>
      </c>
      <c r="J228" s="10" t="s">
        <v>166</v>
      </c>
      <c r="K228" s="30">
        <v>320</v>
      </c>
    </row>
    <row r="229" spans="3:11" s="4" customFormat="1" ht="15.95" hidden="1" customHeight="1" x14ac:dyDescent="0.25">
      <c r="C229" s="7" t="s">
        <v>213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210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180</v>
      </c>
    </row>
    <row r="232" spans="3:11" s="4" customFormat="1" ht="15.95" hidden="1" customHeight="1" x14ac:dyDescent="0.25">
      <c r="C232" s="7" t="s">
        <v>216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166</v>
      </c>
      <c r="K232" s="30">
        <v>110</v>
      </c>
    </row>
    <row r="233" spans="3:11" s="4" customFormat="1" ht="15.95" hidden="1" customHeight="1" x14ac:dyDescent="0.25">
      <c r="C233" s="7" t="s">
        <v>217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166</v>
      </c>
      <c r="K233" s="30">
        <v>310</v>
      </c>
    </row>
    <row r="234" spans="3:11" s="4" customFormat="1" ht="15.95" hidden="1" customHeight="1" x14ac:dyDescent="0.25">
      <c r="C234" s="7" t="s">
        <v>218</v>
      </c>
      <c r="D234" s="7"/>
      <c r="E234" s="8">
        <f t="shared" si="15"/>
        <v>0</v>
      </c>
      <c r="F234" s="8"/>
      <c r="G234" s="8"/>
      <c r="H234" s="8"/>
      <c r="I234" s="8">
        <v>0</v>
      </c>
      <c r="J234" s="10" t="s">
        <v>166</v>
      </c>
      <c r="K234" s="30">
        <v>160</v>
      </c>
    </row>
    <row r="235" spans="3:11" s="4" customFormat="1" ht="15.95" hidden="1" customHeight="1" x14ac:dyDescent="0.25">
      <c r="C235" s="7" t="s">
        <v>59</v>
      </c>
      <c r="D235" s="7"/>
      <c r="E235" s="8">
        <f t="shared" si="15"/>
        <v>30</v>
      </c>
      <c r="F235" s="12"/>
      <c r="G235" s="12"/>
      <c r="H235" s="12"/>
      <c r="I235" s="8">
        <v>3</v>
      </c>
      <c r="J235" s="10" t="s">
        <v>166</v>
      </c>
      <c r="K235" s="30">
        <v>10</v>
      </c>
    </row>
    <row r="236" spans="3:11" s="4" customFormat="1" ht="15.95" hidden="1" customHeight="1" x14ac:dyDescent="0.25">
      <c r="C236" s="7" t="s">
        <v>222</v>
      </c>
      <c r="D236" s="7"/>
      <c r="E236" s="8">
        <f t="shared" si="15"/>
        <v>0</v>
      </c>
      <c r="F236" s="12"/>
      <c r="G236" s="12"/>
      <c r="H236" s="12"/>
      <c r="I236" s="8">
        <v>0</v>
      </c>
      <c r="J236" s="10" t="s">
        <v>166</v>
      </c>
      <c r="K236" s="30">
        <v>260</v>
      </c>
    </row>
    <row r="237" spans="3:11" s="4" customFormat="1" ht="15.95" hidden="1" customHeight="1" x14ac:dyDescent="0.25">
      <c r="C237" s="7" t="s">
        <v>3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180</v>
      </c>
    </row>
    <row r="238" spans="3:11" s="4" customFormat="1" ht="15.95" hidden="1" customHeight="1" x14ac:dyDescent="0.25">
      <c r="C238" s="7" t="s">
        <v>2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166</v>
      </c>
      <c r="K238" s="30">
        <v>200</v>
      </c>
    </row>
    <row r="239" spans="3:11" s="4" customFormat="1" ht="15.95" hidden="1" customHeight="1" x14ac:dyDescent="0.25">
      <c r="C239" s="7" t="s">
        <v>1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166</v>
      </c>
      <c r="K239" s="30">
        <v>220</v>
      </c>
    </row>
    <row r="240" spans="3:11" s="4" customFormat="1" ht="15.95" hidden="1" customHeight="1" x14ac:dyDescent="0.25">
      <c r="C240" s="7" t="s">
        <v>181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220</v>
      </c>
    </row>
    <row r="241" spans="3:11" s="4" customFormat="1" ht="15.95" hidden="1" customHeight="1" x14ac:dyDescent="0.25">
      <c r="C241" s="7" t="s">
        <v>0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250</v>
      </c>
    </row>
    <row r="242" spans="3:11" s="4" customFormat="1" ht="15.95" hidden="1" customHeight="1" x14ac:dyDescent="0.25">
      <c r="C242" s="7" t="s">
        <v>210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166</v>
      </c>
      <c r="K242" s="30">
        <v>390</v>
      </c>
    </row>
    <row r="243" spans="3:11" s="4" customFormat="1" ht="15.95" hidden="1" customHeight="1" x14ac:dyDescent="0.25">
      <c r="C243" s="7" t="s">
        <v>236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166</v>
      </c>
      <c r="K243" s="30">
        <v>460</v>
      </c>
    </row>
    <row r="244" spans="3:11" s="4" customFormat="1" ht="15.95" hidden="1" customHeight="1" x14ac:dyDescent="0.25">
      <c r="C244" s="7" t="s">
        <v>211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850</v>
      </c>
    </row>
    <row r="245" spans="3:11" s="4" customFormat="1" ht="15.95" hidden="1" customHeight="1" x14ac:dyDescent="0.25">
      <c r="C245" s="7" t="s">
        <v>187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1400</v>
      </c>
    </row>
    <row r="246" spans="3:11" s="4" customFormat="1" ht="15.95" hidden="1" customHeight="1" x14ac:dyDescent="0.25">
      <c r="C246" s="7" t="s">
        <v>238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360</v>
      </c>
    </row>
    <row r="247" spans="3:11" s="4" customFormat="1" ht="15.95" hidden="1" customHeight="1" x14ac:dyDescent="0.25">
      <c r="C247" s="7" t="s">
        <v>241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166</v>
      </c>
      <c r="K247" s="30">
        <v>550</v>
      </c>
    </row>
    <row r="248" spans="3:11" s="4" customFormat="1" ht="15.95" hidden="1" customHeight="1" x14ac:dyDescent="0.25">
      <c r="C248" s="7" t="s">
        <v>242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580</v>
      </c>
    </row>
    <row r="249" spans="3:11" s="4" customFormat="1" ht="15.95" hidden="1" customHeight="1" x14ac:dyDescent="0.25">
      <c r="C249" s="7" t="s">
        <v>234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680</v>
      </c>
    </row>
    <row r="250" spans="3:11" s="4" customFormat="1" ht="15.95" hidden="1" customHeight="1" x14ac:dyDescent="0.25">
      <c r="C250" s="7" t="s">
        <v>239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750</v>
      </c>
    </row>
    <row r="251" spans="3:11" s="4" customFormat="1" ht="15.95" hidden="1" customHeight="1" x14ac:dyDescent="0.25">
      <c r="C251" s="7" t="s">
        <v>235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340</v>
      </c>
    </row>
    <row r="252" spans="3:11" s="4" customFormat="1" ht="15.95" hidden="1" customHeight="1" x14ac:dyDescent="0.25">
      <c r="C252" s="7" t="s">
        <v>240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160</v>
      </c>
    </row>
    <row r="253" spans="3:11" s="4" customFormat="1" ht="15.95" hidden="1" customHeight="1" x14ac:dyDescent="0.25">
      <c r="C253" s="7" t="s">
        <v>237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130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130</v>
      </c>
    </row>
    <row r="255" spans="3:11" s="4" customFormat="1" ht="15.95" hidden="1" customHeight="1" x14ac:dyDescent="0.25">
      <c r="C255" s="7" t="s">
        <v>223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400</v>
      </c>
    </row>
    <row r="256" spans="3:11" s="4" customFormat="1" ht="15.95" hidden="1" customHeight="1" x14ac:dyDescent="0.25">
      <c r="C256" s="7" t="s">
        <v>225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5"/>
        <v>360</v>
      </c>
      <c r="F257" s="8"/>
      <c r="G257" s="8"/>
      <c r="H257" s="8"/>
      <c r="I257" s="8">
        <v>2</v>
      </c>
      <c r="J257" s="10" t="s">
        <v>166</v>
      </c>
      <c r="K257" s="30">
        <v>180</v>
      </c>
    </row>
    <row r="258" spans="3:11" s="4" customFormat="1" ht="15.95" hidden="1" customHeight="1" x14ac:dyDescent="0.25">
      <c r="C258" s="7" t="s">
        <v>232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166</v>
      </c>
      <c r="K258" s="30">
        <v>120</v>
      </c>
    </row>
    <row r="259" spans="3:11" s="4" customFormat="1" ht="15.95" hidden="1" customHeight="1" x14ac:dyDescent="0.25">
      <c r="C259" s="7" t="s">
        <v>233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220</v>
      </c>
    </row>
    <row r="260" spans="3:11" s="4" customFormat="1" ht="15.95" hidden="1" customHeight="1" x14ac:dyDescent="0.25">
      <c r="C260" s="7" t="s">
        <v>226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166</v>
      </c>
      <c r="K260" s="30">
        <v>230</v>
      </c>
    </row>
    <row r="261" spans="3:11" s="4" customFormat="1" ht="15.95" hidden="1" customHeight="1" x14ac:dyDescent="0.25">
      <c r="C261" s="7" t="s">
        <v>228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229</v>
      </c>
      <c r="K261" s="30">
        <v>500</v>
      </c>
    </row>
    <row r="262" spans="3:11" s="4" customFormat="1" ht="15.95" hidden="1" customHeight="1" x14ac:dyDescent="0.25">
      <c r="C262" s="7" t="s">
        <v>230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180</v>
      </c>
    </row>
    <row r="263" spans="3:11" s="4" customFormat="1" ht="15.95" hidden="1" customHeight="1" x14ac:dyDescent="0.25">
      <c r="C263" s="7" t="s">
        <v>224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260</v>
      </c>
    </row>
    <row r="264" spans="3:11" s="4" customFormat="1" ht="15.95" hidden="1" customHeight="1" x14ac:dyDescent="0.25">
      <c r="C264" s="7" t="s">
        <v>219</v>
      </c>
      <c r="D264" s="7"/>
      <c r="E264" s="8">
        <f t="shared" si="15"/>
        <v>0</v>
      </c>
      <c r="F264" s="8"/>
      <c r="G264" s="8"/>
      <c r="H264" s="8"/>
      <c r="I264" s="8">
        <v>0</v>
      </c>
      <c r="J264" s="10" t="s">
        <v>166</v>
      </c>
      <c r="K264" s="30">
        <v>6500</v>
      </c>
    </row>
    <row r="265" spans="3:11" s="4" customFormat="1" ht="15.95" hidden="1" customHeight="1" x14ac:dyDescent="0.25">
      <c r="C265" s="7" t="s">
        <v>221</v>
      </c>
      <c r="D265" s="7"/>
      <c r="E265" s="8">
        <f t="shared" si="15"/>
        <v>0</v>
      </c>
      <c r="F265" s="8"/>
      <c r="G265" s="8"/>
      <c r="H265" s="8"/>
      <c r="I265" s="8">
        <v>0</v>
      </c>
      <c r="J265" s="10" t="s">
        <v>166</v>
      </c>
      <c r="K265" s="30">
        <v>8800</v>
      </c>
    </row>
    <row r="266" spans="3:11" s="4" customFormat="1" ht="15.95" hidden="1" customHeight="1" x14ac:dyDescent="0.25">
      <c r="C266" s="7" t="s">
        <v>220</v>
      </c>
      <c r="D266" s="7"/>
      <c r="E266" s="8">
        <f t="shared" si="15"/>
        <v>16800</v>
      </c>
      <c r="F266" s="8">
        <v>2</v>
      </c>
      <c r="G266" s="8">
        <v>8</v>
      </c>
      <c r="H266" s="8"/>
      <c r="I266" s="8">
        <v>16</v>
      </c>
      <c r="J266" s="10" t="s">
        <v>166</v>
      </c>
      <c r="K266" s="30">
        <v>1050</v>
      </c>
    </row>
    <row r="267" spans="3:11" s="22" customFormat="1" ht="15.95" customHeight="1" x14ac:dyDescent="0.25">
      <c r="C267" s="32" t="s">
        <v>148</v>
      </c>
      <c r="D267" s="33">
        <f>SUM(E268)</f>
        <v>18500</v>
      </c>
      <c r="E267" s="34"/>
      <c r="F267" s="35"/>
      <c r="G267" s="35"/>
      <c r="H267" s="35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K268*I268</f>
        <v>18500</v>
      </c>
      <c r="F268" s="24"/>
      <c r="G268" s="24"/>
      <c r="H268" s="24"/>
      <c r="I268" s="24">
        <v>1</v>
      </c>
      <c r="J268" s="25" t="s">
        <v>166</v>
      </c>
      <c r="K268" s="48">
        <v>18500</v>
      </c>
    </row>
    <row r="269" spans="3:11" s="22" customFormat="1" ht="15.95" customHeight="1" x14ac:dyDescent="0.25">
      <c r="C269" s="32" t="s">
        <v>146</v>
      </c>
      <c r="D269" s="33">
        <f>SUM(E270)</f>
        <v>5000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5000</v>
      </c>
      <c r="F270" s="41"/>
      <c r="G270" s="41"/>
      <c r="H270" s="41"/>
      <c r="I270" s="24">
        <v>4</v>
      </c>
      <c r="J270" s="25" t="s">
        <v>149</v>
      </c>
      <c r="K270" s="48">
        <v>1250</v>
      </c>
    </row>
    <row r="271" spans="3:11" s="22" customFormat="1" ht="15.95" customHeight="1" x14ac:dyDescent="0.25">
      <c r="C271" s="32" t="s">
        <v>147</v>
      </c>
      <c r="D271" s="33">
        <f>SUM(E272)</f>
        <v>6000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6000</v>
      </c>
      <c r="F272" s="41"/>
      <c r="G272" s="41"/>
      <c r="H272" s="41"/>
      <c r="I272" s="24">
        <v>4</v>
      </c>
      <c r="J272" s="25" t="s">
        <v>166</v>
      </c>
      <c r="K272" s="48">
        <v>1500</v>
      </c>
    </row>
    <row r="273" spans="3:11" s="22" customFormat="1" ht="15.95" customHeight="1" x14ac:dyDescent="0.25">
      <c r="C273" s="32" t="s">
        <v>212</v>
      </c>
      <c r="D273" s="33">
        <f>SUM(E274)</f>
        <v>1200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1200</v>
      </c>
      <c r="F274" s="41"/>
      <c r="G274" s="41"/>
      <c r="H274" s="41"/>
      <c r="I274" s="24">
        <v>1</v>
      </c>
      <c r="J274" s="25" t="s">
        <v>166</v>
      </c>
      <c r="K274" s="48">
        <v>1200</v>
      </c>
    </row>
    <row r="275" spans="3:11" s="22" customFormat="1" ht="15.95" customHeight="1" x14ac:dyDescent="0.25">
      <c r="C275" s="32" t="s">
        <v>263</v>
      </c>
      <c r="D275" s="33">
        <f>SUM(E276)</f>
        <v>1000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 t="s">
        <v>289</v>
      </c>
      <c r="D276" s="38"/>
      <c r="E276" s="39">
        <f>I276*K276</f>
        <v>1000</v>
      </c>
      <c r="F276" s="41"/>
      <c r="G276" s="41"/>
      <c r="H276" s="41"/>
      <c r="I276" s="24">
        <v>1</v>
      </c>
      <c r="J276" s="25" t="s">
        <v>166</v>
      </c>
      <c r="K276" s="48">
        <v>1000</v>
      </c>
    </row>
    <row r="277" spans="3:11" ht="15.95" customHeight="1" thickBot="1" x14ac:dyDescent="0.3">
      <c r="C277" s="18" t="s">
        <v>57</v>
      </c>
      <c r="D277" s="14">
        <f>SUM(D2:D276)</f>
        <v>70610.244999999995</v>
      </c>
      <c r="E277" s="15"/>
      <c r="F277" s="53"/>
      <c r="G277" s="53"/>
      <c r="H277" s="53"/>
      <c r="I277" s="53"/>
      <c r="J277" s="53"/>
      <c r="K277" s="53"/>
    </row>
    <row r="278" spans="3:11" ht="15.95" customHeight="1" thickTop="1" x14ac:dyDescent="0.25"/>
  </sheetData>
  <autoFilter ref="C1:K277" xr:uid="{00000000-0009-0000-0000-000000000000}">
    <filterColumn colId="1">
      <customFilters>
        <customFilter operator="notEqual" val=" "/>
      </customFilters>
    </filterColumn>
  </autoFilter>
  <mergeCells count="1">
    <mergeCell ref="F277:K277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2025-12-16T09:55:12Z</dcterms:modified>
</cp:coreProperties>
</file>