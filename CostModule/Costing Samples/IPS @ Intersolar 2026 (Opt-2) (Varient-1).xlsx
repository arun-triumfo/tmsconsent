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IPS @ Intersolar 2026\Option-2\Variation-1\Standard Cost\"/>
    </mc:Choice>
  </mc:AlternateContent>
  <xr:revisionPtr revIDLastSave="0" documentId="13_ncr:1_{760FF071-12A9-42D0-9520-7C976FCC57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146" i="1"/>
  <c r="E112" i="1"/>
  <c r="E18" i="1"/>
  <c r="E137" i="1" l="1"/>
  <c r="E271" i="1" l="1"/>
  <c r="D270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9" i="1" l="1"/>
  <c r="D88" i="1" s="1"/>
  <c r="E15" i="1" l="1"/>
  <c r="E84" i="1" l="1"/>
  <c r="E85" i="1"/>
  <c r="E86" i="1"/>
  <c r="E211" i="1" l="1"/>
  <c r="E134" i="1"/>
  <c r="E168" i="1"/>
  <c r="D167" i="1" s="1"/>
  <c r="D210" i="1" l="1"/>
  <c r="E87" i="1" l="1"/>
  <c r="E6" i="1" l="1"/>
  <c r="E22" i="1" l="1"/>
  <c r="E23" i="1"/>
  <c r="E24" i="1"/>
  <c r="E25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4" i="1" l="1"/>
  <c r="E145" i="1" l="1"/>
  <c r="E68" i="1" l="1"/>
  <c r="E69" i="1"/>
  <c r="E72" i="1"/>
  <c r="E75" i="1"/>
  <c r="E30" i="1"/>
  <c r="E31" i="1"/>
  <c r="E9" i="1"/>
  <c r="E8" i="1"/>
  <c r="E7" i="1"/>
  <c r="D2" i="1" l="1"/>
  <c r="E17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3" i="1"/>
  <c r="D222" i="1" s="1"/>
  <c r="D16" i="1" l="1"/>
  <c r="D153" i="1"/>
  <c r="D133" i="1"/>
  <c r="D144" i="1"/>
  <c r="D109" i="1"/>
  <c r="D272" i="1" l="1"/>
</calcChain>
</file>

<file path=xl/sharedStrings.xml><?xml version="1.0" encoding="utf-8"?>
<sst xmlns="http://schemas.openxmlformats.org/spreadsheetml/2006/main" count="589" uniqueCount="283">
  <si>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</si>
  <si>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</si>
  <si>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</si>
  <si>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</si>
  <si>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</si>
  <si>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</si>
  <si>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</si>
  <si>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</si>
  <si>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</si>
  <si>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</si>
  <si>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</si>
  <si>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</si>
  <si>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</si>
  <si>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</si>
  <si>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</si>
  <si>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</si>
  <si>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</si>
  <si>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</si>
  <si>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</si>
  <si>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</si>
  <si>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</si>
  <si>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</si>
  <si>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</si>
  <si>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</si>
  <si>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</si>
  <si>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</si>
  <si>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</si>
  <si>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</si>
  <si>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</si>
  <si>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</si>
  <si>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</si>
  <si>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</si>
  <si>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</si>
  <si>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</si>
  <si>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</si>
  <si>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</si>
  <si>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</si>
  <si>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</si>
  <si>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</si>
  <si>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</si>
  <si>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</si>
  <si>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</si>
  <si>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</si>
  <si>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</si>
  <si>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</si>
  <si>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</si>
  <si>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</si>
  <si>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</si>
  <si>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</si>
  <si>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</si>
  <si>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</si>
  <si>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</si>
  <si>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</si>
  <si>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</si>
  <si>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</si>
  <si>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</si>
  <si>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</si>
  <si>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</si>
  <si>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</si>
  <si>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</si>
  <si>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</si>
  <si>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</si>
  <si>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</si>
  <si>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</si>
  <si>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</si>
  <si>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</si>
  <si>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</si>
  <si>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</si>
  <si>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</si>
  <si>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</si>
  <si>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</si>
  <si>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</si>
  <si>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</si>
  <si>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</si>
  <si>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</si>
  <si>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</si>
  <si>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</si>
  <si>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</si>
  <si>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</si>
  <si>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</si>
  <si>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</si>
  <si>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</si>
  <si>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</si>
  <si>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</si>
  <si>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</si>
  <si>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</si>
  <si>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</si>
  <si>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</si>
  <si>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</si>
  <si>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</si>
  <si>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</si>
  <si>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</si>
  <si>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</si>
  <si>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</si>
  <si>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</si>
  <si>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</si>
  <si>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</si>
  <si>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</si>
  <si>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</si>
  <si>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</si>
  <si>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</si>
  <si>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</si>
  <si>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</si>
  <si>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</si>
  <si>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</si>
  <si>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</si>
  <si>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</si>
  <si>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</si>
  <si>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</si>
  <si>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</si>
  <si>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</si>
  <si>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</si>
  <si>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</si>
  <si>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</si>
  <si>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</si>
  <si>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</si>
  <si>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</si>
  <si>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</si>
  <si>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</si>
  <si>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</si>
  <si>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</si>
  <si>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</si>
  <si>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</si>
  <si>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</si>
  <si>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</si>
  <si>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</si>
  <si>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</si>
  <si>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</si>
  <si>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</si>
  <si>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</si>
  <si>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</si>
  <si>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</si>
  <si>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</si>
  <si>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</si>
  <si>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</si>
  <si>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</si>
  <si>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</si>
  <si>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</si>
  <si>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</si>
  <si>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</si>
  <si>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</si>
  <si>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</si>
  <si>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</si>
  <si>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</si>
  <si>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</si>
  <si>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</si>
  <si>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</si>
  <si>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</si>
  <si>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</si>
  <si>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</si>
  <si>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</si>
  <si>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</si>
  <si>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</si>
  <si>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</si>
  <si>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</si>
  <si>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</si>
  <si>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</si>
  <si>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</si>
  <si>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</si>
  <si>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</si>
  <si>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</si>
  <si>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</si>
  <si>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</si>
  <si>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</si>
  <si>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</si>
  <si>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</si>
  <si>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</si>
  <si>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</si>
  <si>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</si>
  <si>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</si>
  <si>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</si>
  <si>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</si>
  <si>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</si>
  <si>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</si>
  <si>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</si>
  <si>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</si>
  <si>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</si>
  <si>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</si>
  <si>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</si>
  <si>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</si>
  <si>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</si>
  <si>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</si>
  <si>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</si>
  <si>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</si>
  <si>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</si>
  <si>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</si>
  <si>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</si>
  <si>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</si>
  <si>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</si>
  <si>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</si>
  <si>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</si>
  <si>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</si>
  <si>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</si>
  <si>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</si>
  <si>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</si>
  <si>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</si>
  <si>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</si>
  <si>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</si>
  <si>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</si>
  <si>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</si>
  <si>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</si>
  <si>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</si>
  <si>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</si>
  <si>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</si>
  <si>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</si>
  <si>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</si>
  <si>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</si>
  <si>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</si>
  <si>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</si>
  <si>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</si>
  <si>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</si>
  <si>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</si>
  <si>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</si>
  <si>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</si>
  <si>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</si>
  <si>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</si>
  <si>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</si>
  <si>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</si>
  <si>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</si>
  <si>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</si>
  <si>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</si>
  <si>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</si>
  <si>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</si>
  <si>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</si>
  <si>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</si>
  <si>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</si>
  <si>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</si>
  <si>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</si>
  <si>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</si>
  <si>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</si>
  <si>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</si>
  <si>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</si>
  <si>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</si>
  <si>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</si>
  <si>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</si>
  <si>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</si>
  <si>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</si>
  <si>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</si>
  <si>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</si>
  <si>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</si>
  <si>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</si>
  <si>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</si>
  <si>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</si>
  <si>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</si>
  <si>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</si>
  <si>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</si>
  <si>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</si>
  <si>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</si>
  <si>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</si>
  <si>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</si>
  <si>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</si>
  <si>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</si>
  <si>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</si>
  <si>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</si>
  <si>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</si>
  <si>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</si>
  <si>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</si>
  <si>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</si>
  <si>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</si>
  <si>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</si>
  <si>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</si>
  <si>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</si>
  <si>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</si>
  <si>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</si>
  <si>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</si>
  <si>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</si>
  <si>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</si>
  <si>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</si>
  <si>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</si>
  <si>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</si>
  <si>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</si>
  <si>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</si>
  <si>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Podium (Laminated)- 0.5 x 0.5 x 1.0</t>
  </si>
  <si>
    <t>Reck (Laminated)- 1.0 x 0.4 x 2.0</t>
  </si>
  <si>
    <t>Date:- 14-01-2026</t>
  </si>
  <si>
    <t>IPS</t>
  </si>
  <si>
    <t>INTERSOLAR 2026</t>
  </si>
  <si>
    <t>12M X 5M</t>
  </si>
  <si>
    <t>6M</t>
  </si>
  <si>
    <t>60+ 28= 88 SQM</t>
  </si>
  <si>
    <t>23-25 JUN, 2026</t>
  </si>
  <si>
    <t>MUNICH</t>
  </si>
  <si>
    <t>Opt Nr:- 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</si>
</sst>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1031818</xdr:colOff>
      <xdr:row>265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81B2E5-431E-49BE-BD77-29D3DAB1F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89093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K264" sqref="K26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282</v>
      </c>
      <c r="B1" s="31" t="s">
        <v>274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275</v>
      </c>
      <c r="C2" s="26" t="s">
        <v>151</v>
      </c>
      <c r="D2" s="27">
        <f>SUM(E3:E11)</f>
        <v>963.30000000000007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171.6</v>
      </c>
      <c r="F3" s="8"/>
      <c r="G3" s="8"/>
      <c r="H3" s="8"/>
      <c r="I3" s="9">
        <v>60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791.7</v>
      </c>
      <c r="F11" s="8"/>
      <c r="G11" s="8"/>
      <c r="H11" s="8"/>
      <c r="I11" s="9">
        <v>35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276</v>
      </c>
      <c r="C12" s="26" t="s">
        <v>194</v>
      </c>
      <c r="D12" s="52">
        <f>SUM(E13:E15)</f>
        <v>810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810</v>
      </c>
      <c r="F15" s="8"/>
      <c r="G15" s="8"/>
      <c r="H15" s="8"/>
      <c r="I15" s="9">
        <v>1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281</v>
      </c>
      <c r="C16" s="26" t="s">
        <v>184</v>
      </c>
      <c r="D16" s="27">
        <f>SUM(E17:E87)</f>
        <v>6825.5899999999992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ref="E18" si="2">I18*K18</f>
        <v>1540</v>
      </c>
      <c r="F18" s="8">
        <v>1</v>
      </c>
      <c r="G18" s="8">
        <v>0.1</v>
      </c>
      <c r="H18" s="8">
        <v>2.5</v>
      </c>
      <c r="I18" s="9">
        <v>22</v>
      </c>
      <c r="J18" s="10" t="s">
        <v>154</v>
      </c>
      <c r="K18" s="30">
        <v>70</v>
      </c>
    </row>
    <row r="19" spans="2:11" ht="15.95" hidden="1" customHeight="1" x14ac:dyDescent="0.25">
      <c r="B19" s="29"/>
      <c r="C19" s="7" t="s">
        <v>41</v>
      </c>
      <c r="D19" s="7"/>
      <c r="E19" s="8">
        <f t="shared" si="1"/>
        <v>420</v>
      </c>
      <c r="F19" s="8">
        <v>1</v>
      </c>
      <c r="G19" s="8">
        <v>0.1</v>
      </c>
      <c r="H19" s="8">
        <v>2.5</v>
      </c>
      <c r="I19" s="9">
        <v>6</v>
      </c>
      <c r="J19" s="10" t="s">
        <v>154</v>
      </c>
      <c r="K19" s="30">
        <v>70</v>
      </c>
    </row>
    <row r="20" spans="2:11" ht="15.95" hidden="1" customHeight="1" x14ac:dyDescent="0.25">
      <c r="B20" s="29" t="s">
        <v>249</v>
      </c>
      <c r="C20" s="7" t="s">
        <v>38</v>
      </c>
      <c r="D20" s="7"/>
      <c r="E20" s="8">
        <f t="shared" si="1"/>
        <v>145.72</v>
      </c>
      <c r="F20" s="8">
        <v>1</v>
      </c>
      <c r="G20" s="8">
        <v>0.1</v>
      </c>
      <c r="H20" s="8">
        <v>2.5</v>
      </c>
      <c r="I20" s="9">
        <v>2</v>
      </c>
      <c r="J20" s="10" t="s">
        <v>154</v>
      </c>
      <c r="K20" s="30">
        <v>72.86</v>
      </c>
    </row>
    <row r="21" spans="2:11" ht="15.95" hidden="1" customHeight="1" x14ac:dyDescent="0.25">
      <c r="C21" s="7" t="s">
        <v>37</v>
      </c>
      <c r="D21" s="7"/>
      <c r="E21" s="8">
        <f t="shared" si="1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154</v>
      </c>
      <c r="K21" s="30">
        <v>97.71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214.29</v>
      </c>
    </row>
    <row r="23" spans="2:11" ht="15.95" hidden="1" customHeight="1" x14ac:dyDescent="0.25">
      <c r="C23" s="7" t="s">
        <v>137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333.33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99.52</v>
      </c>
    </row>
    <row r="25" spans="2:11" ht="15.95" hidden="1" customHeight="1" x14ac:dyDescent="0.25">
      <c r="C25" s="7" t="s">
        <v>129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199.05</v>
      </c>
    </row>
    <row r="26" spans="2:11" ht="15.95" hidden="1" customHeight="1" x14ac:dyDescent="0.25">
      <c r="B26" s="29" t="s">
        <v>249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62.86</v>
      </c>
    </row>
    <row r="27" spans="2:11" ht="15.95" hidden="1" customHeight="1" x14ac:dyDescent="0.25">
      <c r="B27" s="29" t="s">
        <v>249</v>
      </c>
      <c r="C27" s="7" t="s">
        <v>35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69.709999999999994</v>
      </c>
    </row>
    <row r="28" spans="2:11" ht="15.95" hidden="1" customHeight="1" x14ac:dyDescent="0.25">
      <c r="C28" s="7" t="s">
        <v>99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2:11" ht="15.95" hidden="1" customHeight="1" x14ac:dyDescent="0.25">
      <c r="B30" s="29" t="s">
        <v>249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2:11" ht="15.95" hidden="1" customHeight="1" x14ac:dyDescent="0.25">
      <c r="B31" s="29" t="s">
        <v>249</v>
      </c>
      <c r="C31" s="7" t="s">
        <v>66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B46" s="29" t="s">
        <v>249</v>
      </c>
      <c r="C46" s="7" t="s">
        <v>28</v>
      </c>
      <c r="D46" s="7"/>
      <c r="E46" s="8">
        <f t="shared" si="1"/>
        <v>949.68000000000006</v>
      </c>
      <c r="F46" s="8">
        <v>1</v>
      </c>
      <c r="G46" s="8">
        <v>0.1</v>
      </c>
      <c r="H46" s="8">
        <v>6</v>
      </c>
      <c r="I46" s="9">
        <v>12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2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2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B56" s="29" t="s">
        <v>249</v>
      </c>
      <c r="C56" s="7" t="s">
        <v>36</v>
      </c>
      <c r="D56" s="7"/>
      <c r="E56" s="8">
        <f t="shared" si="3"/>
        <v>241.70999999999998</v>
      </c>
      <c r="F56" s="8">
        <v>1</v>
      </c>
      <c r="G56" s="8">
        <v>0.2</v>
      </c>
      <c r="H56" s="8">
        <v>3</v>
      </c>
      <c r="I56" s="9">
        <v>3</v>
      </c>
      <c r="J56" s="10" t="s">
        <v>156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B76" s="29" t="s">
        <v>249</v>
      </c>
      <c r="C76" s="7" t="s">
        <v>28</v>
      </c>
      <c r="D76" s="7"/>
      <c r="E76" s="8">
        <f t="shared" si="3"/>
        <v>1395.48</v>
      </c>
      <c r="F76" s="8">
        <v>1</v>
      </c>
      <c r="G76" s="8">
        <v>0.2</v>
      </c>
      <c r="H76" s="8">
        <v>6</v>
      </c>
      <c r="I76" s="9">
        <v>12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609.16</v>
      </c>
      <c r="F77" s="8">
        <v>1</v>
      </c>
      <c r="G77" s="8">
        <v>0.2</v>
      </c>
      <c r="H77" s="8">
        <v>6</v>
      </c>
      <c r="I77" s="9">
        <v>4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1333.36</v>
      </c>
      <c r="F84" s="8">
        <v>1</v>
      </c>
      <c r="G84" s="8"/>
      <c r="H84" s="8"/>
      <c r="I84" s="9">
        <v>28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190.48</v>
      </c>
      <c r="F85" s="8">
        <v>1</v>
      </c>
      <c r="G85" s="8"/>
      <c r="H85" s="8"/>
      <c r="I85" s="9">
        <v>1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22" t="s">
        <v>280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277</v>
      </c>
      <c r="C109" s="26" t="s">
        <v>196</v>
      </c>
      <c r="D109" s="27">
        <f>SUM(E110:E132)</f>
        <v>1251.49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3" si="7">I112*K112</f>
        <v>358.69</v>
      </c>
      <c r="F112" s="8">
        <v>2.5</v>
      </c>
      <c r="G112" s="8">
        <v>0.5</v>
      </c>
      <c r="H112" s="8">
        <v>1</v>
      </c>
      <c r="I112" s="8">
        <v>1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119</v>
      </c>
      <c r="F113" s="8">
        <v>0.5</v>
      </c>
      <c r="G113" s="8">
        <v>0.5</v>
      </c>
      <c r="H113" s="8">
        <v>1</v>
      </c>
      <c r="I113" s="8">
        <v>1</v>
      </c>
      <c r="J113" s="10" t="s">
        <v>166</v>
      </c>
      <c r="K113" s="30">
        <v>119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6"/>
        <v>773.8</v>
      </c>
      <c r="F114" s="8">
        <v>1</v>
      </c>
      <c r="G114" s="8">
        <v>0.4</v>
      </c>
      <c r="H114" s="8">
        <v>2</v>
      </c>
      <c r="I114" s="8">
        <v>5</v>
      </c>
      <c r="J114" s="10" t="s">
        <v>166</v>
      </c>
      <c r="K114" s="30">
        <v>154.76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279</v>
      </c>
      <c r="C133" s="26" t="s">
        <v>204</v>
      </c>
      <c r="D133" s="27">
        <f>SUM(E134:E143)</f>
        <v>1411.66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8">I134*K134</f>
        <v>70</v>
      </c>
      <c r="F134" s="12"/>
      <c r="G134" s="12"/>
      <c r="H134" s="12"/>
      <c r="I134" s="8">
        <v>2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271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821.40000000000009</v>
      </c>
      <c r="F139" s="8">
        <v>2</v>
      </c>
      <c r="G139" s="8">
        <v>0.2</v>
      </c>
      <c r="H139" s="8">
        <v>0.2</v>
      </c>
      <c r="I139" s="8">
        <v>6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8"/>
        <v>520.26</v>
      </c>
      <c r="F140" s="8">
        <v>1</v>
      </c>
      <c r="G140" s="8">
        <v>1</v>
      </c>
      <c r="H140" s="8">
        <v>0</v>
      </c>
      <c r="I140" s="8">
        <v>23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278</v>
      </c>
      <c r="C144" s="26" t="s">
        <v>205</v>
      </c>
      <c r="D144" s="27">
        <f>SUM(E145:E152)</f>
        <v>683.71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268</v>
      </c>
      <c r="D145" s="7"/>
      <c r="E145" s="8">
        <f t="shared" ref="E145:E152" si="9">I145*K145</f>
        <v>238</v>
      </c>
      <c r="F145" s="8">
        <v>1</v>
      </c>
      <c r="G145" s="8">
        <v>0.2</v>
      </c>
      <c r="H145" s="8">
        <v>0.8</v>
      </c>
      <c r="I145" s="8">
        <v>2</v>
      </c>
      <c r="J145" s="10" t="s">
        <v>166</v>
      </c>
      <c r="K145" s="30">
        <v>119</v>
      </c>
    </row>
    <row r="146" spans="2:11" s="4" customFormat="1" ht="15.95" hidden="1" customHeight="1" x14ac:dyDescent="0.25">
      <c r="C146" s="7" t="s">
        <v>268</v>
      </c>
      <c r="D146" s="7"/>
      <c r="E146" s="8">
        <f t="shared" ref="E146" si="10">I146*K146</f>
        <v>285.70999999999998</v>
      </c>
      <c r="F146" s="8">
        <v>3</v>
      </c>
      <c r="G146" s="8">
        <v>0.2</v>
      </c>
      <c r="H146" s="8">
        <v>1</v>
      </c>
      <c r="I146" s="8">
        <v>1</v>
      </c>
      <c r="J146" s="10" t="s">
        <v>166</v>
      </c>
      <c r="K146" s="30">
        <v>285.70999999999998</v>
      </c>
    </row>
    <row r="147" spans="2:11" s="4" customFormat="1" ht="15.95" hidden="1" customHeight="1" x14ac:dyDescent="0.25">
      <c r="C147" s="7" t="s">
        <v>86</v>
      </c>
      <c r="D147" s="7"/>
      <c r="E147" s="8">
        <f t="shared" si="9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166</v>
      </c>
      <c r="K147" s="30">
        <v>219.05</v>
      </c>
    </row>
    <row r="148" spans="2:11" s="4" customFormat="1" ht="15.95" hidden="1" customHeight="1" x14ac:dyDescent="0.25">
      <c r="C148" s="7" t="s">
        <v>180</v>
      </c>
      <c r="D148" s="7"/>
      <c r="E148" s="8">
        <f t="shared" si="9"/>
        <v>60</v>
      </c>
      <c r="F148" s="8">
        <v>0</v>
      </c>
      <c r="G148" s="8">
        <v>0</v>
      </c>
      <c r="H148" s="8">
        <v>0</v>
      </c>
      <c r="I148" s="8">
        <v>20</v>
      </c>
      <c r="J148" s="10" t="s">
        <v>166</v>
      </c>
      <c r="K148" s="30">
        <v>3</v>
      </c>
    </row>
    <row r="149" spans="2:11" s="4" customFormat="1" ht="15.95" hidden="1" customHeight="1" x14ac:dyDescent="0.25">
      <c r="C149" s="7" t="s">
        <v>53</v>
      </c>
      <c r="D149" s="7"/>
      <c r="E149" s="8">
        <f t="shared" si="9"/>
        <v>100</v>
      </c>
      <c r="F149" s="8">
        <v>0</v>
      </c>
      <c r="G149" s="8">
        <v>0</v>
      </c>
      <c r="H149" s="8">
        <v>0</v>
      </c>
      <c r="I149" s="8">
        <v>2</v>
      </c>
      <c r="J149" s="10" t="s">
        <v>166</v>
      </c>
      <c r="K149" s="30">
        <v>50</v>
      </c>
    </row>
    <row r="150" spans="2:11" s="4" customFormat="1" ht="15.95" hidden="1" customHeight="1" x14ac:dyDescent="0.25">
      <c r="B150" s="29" t="s">
        <v>249</v>
      </c>
      <c r="C150" s="7" t="s">
        <v>72</v>
      </c>
      <c r="D150" s="7"/>
      <c r="E150" s="8">
        <f t="shared" si="9"/>
        <v>0</v>
      </c>
      <c r="F150" s="8">
        <v>0.5</v>
      </c>
      <c r="G150" s="8">
        <v>0.5</v>
      </c>
      <c r="H150" s="8"/>
      <c r="I150" s="8">
        <v>0</v>
      </c>
      <c r="J150" s="10" t="s">
        <v>111</v>
      </c>
      <c r="K150" s="30">
        <v>25</v>
      </c>
    </row>
    <row r="151" spans="2:11" s="4" customFormat="1" ht="15.95" hidden="1" customHeight="1" x14ac:dyDescent="0.25">
      <c r="C151" s="7" t="s">
        <v>91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166</v>
      </c>
      <c r="K151" s="30">
        <v>25</v>
      </c>
    </row>
    <row r="152" spans="2:11" s="4" customFormat="1" ht="15.95" hidden="1" customHeight="1" x14ac:dyDescent="0.25">
      <c r="C152" s="7" t="s">
        <v>248</v>
      </c>
      <c r="D152" s="7"/>
      <c r="E152" s="8">
        <f t="shared" si="9"/>
        <v>0</v>
      </c>
      <c r="F152" s="8"/>
      <c r="G152" s="8"/>
      <c r="H152" s="8"/>
      <c r="I152" s="8">
        <v>0</v>
      </c>
      <c r="J152" s="10" t="s">
        <v>166</v>
      </c>
      <c r="K152" s="30">
        <v>20</v>
      </c>
    </row>
    <row r="153" spans="2:11" s="4" customFormat="1" ht="15.95" customHeight="1" x14ac:dyDescent="0.25">
      <c r="C153" s="26" t="s">
        <v>132</v>
      </c>
      <c r="D153" s="27">
        <f>SUM(E154:E166)</f>
        <v>1172.46</v>
      </c>
      <c r="E153" s="51"/>
      <c r="F153" s="27"/>
      <c r="G153" s="27"/>
      <c r="H153" s="27"/>
      <c r="I153" s="27"/>
      <c r="J153" s="28"/>
      <c r="K153" s="47"/>
    </row>
    <row r="154" spans="2:11" s="4" customFormat="1" ht="15.95" hidden="1" customHeight="1" x14ac:dyDescent="0.25">
      <c r="B154" s="29" t="s">
        <v>249</v>
      </c>
      <c r="C154" s="7" t="s">
        <v>19</v>
      </c>
      <c r="D154" s="7"/>
      <c r="E154" s="8">
        <f t="shared" ref="E154:E166" si="11">I154*K154</f>
        <v>119</v>
      </c>
      <c r="F154" s="8"/>
      <c r="G154" s="8"/>
      <c r="H154" s="8"/>
      <c r="I154" s="8">
        <v>10</v>
      </c>
      <c r="J154" s="10" t="s">
        <v>166</v>
      </c>
      <c r="K154" s="30">
        <v>11.9</v>
      </c>
    </row>
    <row r="155" spans="2:11" s="4" customFormat="1" ht="15.95" hidden="1" customHeight="1" x14ac:dyDescent="0.25">
      <c r="B155" s="29" t="s">
        <v>249</v>
      </c>
      <c r="C155" s="7" t="s">
        <v>62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50</v>
      </c>
    </row>
    <row r="156" spans="2:11" s="4" customFormat="1" ht="15.95" hidden="1" customHeight="1" x14ac:dyDescent="0.25">
      <c r="B156" s="29" t="s">
        <v>249</v>
      </c>
      <c r="C156" s="7" t="s">
        <v>63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65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23.81</v>
      </c>
    </row>
    <row r="158" spans="2:11" s="4" customFormat="1" ht="15.95" hidden="1" customHeight="1" x14ac:dyDescent="0.25">
      <c r="C158" s="7" t="s">
        <v>83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14.29</v>
      </c>
    </row>
    <row r="159" spans="2:11" s="4" customFormat="1" ht="15.95" hidden="1" customHeight="1" x14ac:dyDescent="0.25">
      <c r="B159" s="29" t="s">
        <v>249</v>
      </c>
      <c r="C159" s="7" t="s">
        <v>64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B160" s="29" t="s">
        <v>249</v>
      </c>
      <c r="C160" s="7" t="s">
        <v>18</v>
      </c>
      <c r="D160" s="7"/>
      <c r="E160" s="8">
        <f t="shared" si="11"/>
        <v>320</v>
      </c>
      <c r="F160" s="8"/>
      <c r="G160" s="8"/>
      <c r="H160" s="8"/>
      <c r="I160" s="8">
        <v>32</v>
      </c>
      <c r="J160" s="10" t="s">
        <v>166</v>
      </c>
      <c r="K160" s="30">
        <v>10</v>
      </c>
    </row>
    <row r="161" spans="2:11" s="4" customFormat="1" ht="15.95" hidden="1" customHeight="1" x14ac:dyDescent="0.25">
      <c r="C161" s="7" t="s">
        <v>51</v>
      </c>
      <c r="D161" s="7"/>
      <c r="E161" s="8">
        <f t="shared" si="11"/>
        <v>150</v>
      </c>
      <c r="F161" s="12"/>
      <c r="G161" s="12"/>
      <c r="H161" s="12"/>
      <c r="I161" s="8">
        <v>30</v>
      </c>
      <c r="J161" s="10" t="s">
        <v>166</v>
      </c>
      <c r="K161" s="30">
        <v>5</v>
      </c>
    </row>
    <row r="162" spans="2:11" s="4" customFormat="1" ht="15.95" hidden="1" customHeight="1" x14ac:dyDescent="0.25">
      <c r="B162" s="29" t="s">
        <v>249</v>
      </c>
      <c r="C162" s="7" t="s">
        <v>17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11.9</v>
      </c>
    </row>
    <row r="163" spans="2:11" s="4" customFormat="1" ht="15.95" hidden="1" customHeight="1" x14ac:dyDescent="0.25">
      <c r="C163" s="7" t="s">
        <v>56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166</v>
      </c>
      <c r="K164" s="30">
        <v>2.38</v>
      </c>
    </row>
    <row r="165" spans="2:11" ht="15.95" hidden="1" customHeight="1" x14ac:dyDescent="0.25">
      <c r="C165" s="7" t="s">
        <v>188</v>
      </c>
      <c r="D165" s="7"/>
      <c r="E165" s="8">
        <f t="shared" si="11"/>
        <v>202.5</v>
      </c>
      <c r="F165" s="8"/>
      <c r="G165" s="8"/>
      <c r="H165" s="8"/>
      <c r="I165" s="8">
        <v>50</v>
      </c>
      <c r="J165" s="10" t="s">
        <v>150</v>
      </c>
      <c r="K165" s="30">
        <v>4.05</v>
      </c>
    </row>
    <row r="166" spans="2:11" s="4" customFormat="1" ht="15.95" hidden="1" customHeight="1" x14ac:dyDescent="0.25">
      <c r="C166" s="7" t="s">
        <v>158</v>
      </c>
      <c r="D166" s="7"/>
      <c r="E166" s="8">
        <f t="shared" si="11"/>
        <v>380.96</v>
      </c>
      <c r="F166" s="8"/>
      <c r="G166" s="8"/>
      <c r="H166" s="8"/>
      <c r="I166" s="8">
        <v>2</v>
      </c>
      <c r="J166" s="10" t="s">
        <v>166</v>
      </c>
      <c r="K166" s="30">
        <v>190.48</v>
      </c>
    </row>
    <row r="167" spans="2:11" s="4" customFormat="1" ht="15.95" customHeight="1" x14ac:dyDescent="0.25">
      <c r="C167" s="26" t="s">
        <v>206</v>
      </c>
      <c r="D167" s="27">
        <f>SUM(E168:E209)</f>
        <v>688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2">I168*K168</f>
        <v>45</v>
      </c>
      <c r="F168" s="12"/>
      <c r="G168" s="12"/>
      <c r="H168" s="12"/>
      <c r="I168" s="8">
        <v>3</v>
      </c>
      <c r="J168" s="10" t="s">
        <v>166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2"/>
        <v>312</v>
      </c>
      <c r="F169" s="12"/>
      <c r="G169" s="12"/>
      <c r="H169" s="12"/>
      <c r="I169" s="8">
        <v>26</v>
      </c>
      <c r="J169" s="10" t="s">
        <v>166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2"/>
        <v>100</v>
      </c>
      <c r="F170" s="12"/>
      <c r="G170" s="12"/>
      <c r="H170" s="12"/>
      <c r="I170" s="8">
        <v>5</v>
      </c>
      <c r="J170" s="10" t="s">
        <v>166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2"/>
        <v>45</v>
      </c>
      <c r="F171" s="12"/>
      <c r="G171" s="12"/>
      <c r="H171" s="12"/>
      <c r="I171" s="8">
        <v>3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81</v>
      </c>
      <c r="D172" s="7"/>
      <c r="E172" s="8">
        <f t="shared" si="12"/>
        <v>25</v>
      </c>
      <c r="F172" s="12"/>
      <c r="G172" s="12"/>
      <c r="H172" s="12"/>
      <c r="I172" s="8">
        <v>1</v>
      </c>
      <c r="J172" s="10" t="s">
        <v>166</v>
      </c>
      <c r="K172" s="30">
        <v>25</v>
      </c>
    </row>
    <row r="173" spans="2:11" s="4" customFormat="1" ht="15.95" hidden="1" customHeight="1" x14ac:dyDescent="0.25">
      <c r="C173" s="7" t="s">
        <v>179</v>
      </c>
      <c r="D173" s="7"/>
      <c r="E173" s="8">
        <f t="shared" si="12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166</v>
      </c>
      <c r="K173" s="30">
        <v>385</v>
      </c>
    </row>
    <row r="174" spans="2:11" s="4" customFormat="1" ht="15.95" hidden="1" customHeight="1" x14ac:dyDescent="0.25">
      <c r="C174" s="7" t="s">
        <v>80</v>
      </c>
      <c r="D174" s="7"/>
      <c r="E174" s="8">
        <f t="shared" si="12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130</v>
      </c>
    </row>
    <row r="175" spans="2:11" s="4" customFormat="1" ht="15.95" hidden="1" customHeight="1" x14ac:dyDescent="0.25">
      <c r="C175" s="7" t="s">
        <v>79</v>
      </c>
      <c r="D175" s="7"/>
      <c r="E175" s="8">
        <f t="shared" si="12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166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166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2"/>
        <v>40</v>
      </c>
      <c r="F180" s="12"/>
      <c r="G180" s="12"/>
      <c r="H180" s="12"/>
      <c r="I180" s="8">
        <v>5</v>
      </c>
      <c r="J180" s="10" t="s">
        <v>166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166</v>
      </c>
      <c r="K181" s="30">
        <v>15</v>
      </c>
    </row>
    <row r="182" spans="3:11" s="4" customFormat="1" ht="15.95" hidden="1" customHeight="1" x14ac:dyDescent="0.25">
      <c r="C182" s="7" t="s">
        <v>190</v>
      </c>
      <c r="D182" s="7"/>
      <c r="E182" s="8">
        <f t="shared" si="12"/>
        <v>70</v>
      </c>
      <c r="F182" s="12"/>
      <c r="G182" s="12"/>
      <c r="H182" s="12"/>
      <c r="I182" s="8">
        <v>2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61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166</v>
      </c>
      <c r="K183" s="30">
        <v>85</v>
      </c>
    </row>
    <row r="184" spans="3:11" s="4" customFormat="1" ht="15.95" hidden="1" customHeight="1" x14ac:dyDescent="0.25">
      <c r="C184" s="7" t="s">
        <v>58</v>
      </c>
      <c r="D184" s="7"/>
      <c r="E184" s="8">
        <f t="shared" si="12"/>
        <v>35</v>
      </c>
      <c r="F184" s="12"/>
      <c r="G184" s="12"/>
      <c r="H184" s="12"/>
      <c r="I184" s="8">
        <v>1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25</v>
      </c>
    </row>
    <row r="186" spans="3:11" s="4" customFormat="1" ht="15.95" hidden="1" customHeight="1" x14ac:dyDescent="0.25">
      <c r="C186" s="7" t="s">
        <v>135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12</v>
      </c>
    </row>
    <row r="188" spans="3:11" s="4" customFormat="1" ht="15.95" hidden="1" customHeight="1" x14ac:dyDescent="0.25">
      <c r="C188" s="7" t="s">
        <v>48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25</v>
      </c>
    </row>
    <row r="189" spans="3:11" s="4" customFormat="1" ht="15.95" hidden="1" customHeight="1" x14ac:dyDescent="0.25">
      <c r="C189" s="7" t="s">
        <v>54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166</v>
      </c>
      <c r="K189" s="30">
        <v>150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2"/>
        <v>0</v>
      </c>
      <c r="F190" s="8"/>
      <c r="G190" s="8"/>
      <c r="H190" s="8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159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166</v>
      </c>
      <c r="K192" s="30">
        <v>600</v>
      </c>
    </row>
    <row r="193" spans="2:11" s="4" customFormat="1" ht="15.95" hidden="1" customHeight="1" x14ac:dyDescent="0.25">
      <c r="C193" s="7" t="s">
        <v>209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85</v>
      </c>
    </row>
    <row r="194" spans="2:11" s="4" customFormat="1" ht="15.95" hidden="1" customHeight="1" x14ac:dyDescent="0.25">
      <c r="C194" s="7" t="s">
        <v>257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166</v>
      </c>
      <c r="K194" s="30">
        <v>210</v>
      </c>
    </row>
    <row r="195" spans="2:11" s="4" customFormat="1" ht="15.95" hidden="1" customHeight="1" x14ac:dyDescent="0.25">
      <c r="C195" s="7" t="s">
        <v>87</v>
      </c>
      <c r="D195" s="7"/>
      <c r="E195" s="8">
        <f t="shared" si="12"/>
        <v>16</v>
      </c>
      <c r="F195" s="8"/>
      <c r="G195" s="8"/>
      <c r="H195" s="8"/>
      <c r="I195" s="8">
        <v>2</v>
      </c>
      <c r="J195" s="10" t="s">
        <v>166</v>
      </c>
      <c r="K195" s="30">
        <v>8</v>
      </c>
    </row>
    <row r="196" spans="2:11" s="4" customFormat="1" ht="15.95" hidden="1" customHeight="1" x14ac:dyDescent="0.25">
      <c r="C196" s="7" t="s">
        <v>73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C197" s="7" t="s">
        <v>84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15</v>
      </c>
    </row>
    <row r="198" spans="2:11" s="4" customFormat="1" ht="15.95" hidden="1" customHeight="1" x14ac:dyDescent="0.25">
      <c r="B198" s="29" t="s">
        <v>249</v>
      </c>
      <c r="C198" s="7" t="s">
        <v>85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25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85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C201" s="7" t="s">
        <v>90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5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12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25</v>
      </c>
    </row>
    <row r="204" spans="2:11" s="4" customFormat="1" ht="15.95" hidden="1" customHeight="1" x14ac:dyDescent="0.25">
      <c r="C204" s="7" t="s">
        <v>94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20</v>
      </c>
    </row>
    <row r="205" spans="2:11" s="4" customFormat="1" ht="15.95" hidden="1" customHeight="1" x14ac:dyDescent="0.25">
      <c r="C205" s="7" t="s">
        <v>121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6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3</v>
      </c>
    </row>
    <row r="207" spans="2:11" s="4" customFormat="1" ht="15.95" hidden="1" customHeight="1" x14ac:dyDescent="0.25">
      <c r="C207" s="7" t="s">
        <v>124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166</v>
      </c>
      <c r="K207" s="30">
        <v>35</v>
      </c>
    </row>
    <row r="208" spans="2:11" s="4" customFormat="1" ht="15.95" hidden="1" customHeight="1" x14ac:dyDescent="0.25">
      <c r="C208" s="7" t="s">
        <v>247</v>
      </c>
      <c r="D208" s="7"/>
      <c r="E208" s="8">
        <f t="shared" si="12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166</v>
      </c>
      <c r="K208" s="30">
        <v>20</v>
      </c>
    </row>
    <row r="209" spans="3:11" s="4" customFormat="1" ht="15.95" hidden="1" customHeight="1" x14ac:dyDescent="0.25">
      <c r="C209" s="7" t="s">
        <v>246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166</v>
      </c>
      <c r="K209" s="30">
        <v>85</v>
      </c>
    </row>
    <row r="210" spans="3:11" s="4" customFormat="1" ht="15.95" customHeight="1" x14ac:dyDescent="0.25">
      <c r="C210" s="26" t="s">
        <v>183</v>
      </c>
      <c r="D210" s="27">
        <f>SUM(E211:E221)</f>
        <v>1147.8799999999999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244</v>
      </c>
      <c r="D211" s="7"/>
      <c r="E211" s="8">
        <f t="shared" ref="E211:E221" si="13">I211*K211</f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10.71</v>
      </c>
    </row>
    <row r="212" spans="3:11" s="4" customFormat="1" ht="15.95" hidden="1" customHeight="1" x14ac:dyDescent="0.25">
      <c r="C212" s="7" t="s">
        <v>243</v>
      </c>
      <c r="D212" s="7"/>
      <c r="E212" s="8">
        <f t="shared" si="13"/>
        <v>572.76</v>
      </c>
      <c r="F212" s="8">
        <v>1</v>
      </c>
      <c r="G212" s="8">
        <v>1</v>
      </c>
      <c r="H212" s="12"/>
      <c r="I212" s="8">
        <v>37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3"/>
        <v>61.92</v>
      </c>
      <c r="F213" s="8">
        <v>1</v>
      </c>
      <c r="G213" s="8">
        <v>1</v>
      </c>
      <c r="H213" s="12"/>
      <c r="I213" s="8">
        <v>4</v>
      </c>
      <c r="J213" s="10" t="s">
        <v>111</v>
      </c>
      <c r="K213" s="30">
        <v>15.48</v>
      </c>
    </row>
    <row r="214" spans="3:11" s="4" customFormat="1" ht="15.95" hidden="1" customHeight="1" x14ac:dyDescent="0.25">
      <c r="C214" s="7" t="s">
        <v>191</v>
      </c>
      <c r="D214" s="7"/>
      <c r="E214" s="8">
        <f t="shared" si="13"/>
        <v>117.89999999999999</v>
      </c>
      <c r="F214" s="8">
        <v>1</v>
      </c>
      <c r="G214" s="8">
        <v>1</v>
      </c>
      <c r="H214" s="12"/>
      <c r="I214" s="8">
        <v>9</v>
      </c>
      <c r="J214" s="10" t="s">
        <v>111</v>
      </c>
      <c r="K214" s="30">
        <v>13.1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3"/>
        <v>238.1</v>
      </c>
      <c r="F215" s="8">
        <v>1</v>
      </c>
      <c r="G215" s="8">
        <v>1</v>
      </c>
      <c r="H215" s="12"/>
      <c r="I215" s="8">
        <v>2.5</v>
      </c>
      <c r="J215" s="10" t="s">
        <v>111</v>
      </c>
      <c r="K215" s="30">
        <v>95.24</v>
      </c>
    </row>
    <row r="216" spans="3:11" s="4" customFormat="1" ht="15.95" hidden="1" customHeight="1" x14ac:dyDescent="0.25">
      <c r="C216" s="7" t="s">
        <v>259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47.62</v>
      </c>
    </row>
    <row r="217" spans="3:11" s="4" customFormat="1" ht="15.95" hidden="1" customHeight="1" x14ac:dyDescent="0.25">
      <c r="C217" s="7" t="s">
        <v>71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35.71</v>
      </c>
    </row>
    <row r="218" spans="3:11" s="4" customFormat="1" ht="15.95" hidden="1" customHeight="1" x14ac:dyDescent="0.25">
      <c r="C218" s="7" t="s">
        <v>122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28.57</v>
      </c>
    </row>
    <row r="219" spans="3:11" s="4" customFormat="1" ht="15.95" hidden="1" customHeight="1" x14ac:dyDescent="0.25">
      <c r="C219" s="7" t="s">
        <v>52</v>
      </c>
      <c r="D219" s="7"/>
      <c r="E219" s="8">
        <f t="shared" si="13"/>
        <v>157.19999999999999</v>
      </c>
      <c r="F219" s="8">
        <v>1</v>
      </c>
      <c r="G219" s="8">
        <v>1</v>
      </c>
      <c r="H219" s="12"/>
      <c r="I219" s="8">
        <v>12</v>
      </c>
      <c r="J219" s="10" t="s">
        <v>111</v>
      </c>
      <c r="K219" s="30">
        <v>13.1</v>
      </c>
    </row>
    <row r="220" spans="3:11" s="4" customFormat="1" ht="15.95" hidden="1" customHeight="1" x14ac:dyDescent="0.25">
      <c r="C220" s="7" t="s">
        <v>245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10.71</v>
      </c>
    </row>
    <row r="222" spans="3:11" s="4" customFormat="1" ht="15.95" customHeight="1" x14ac:dyDescent="0.25">
      <c r="C222" s="26" t="s">
        <v>182</v>
      </c>
      <c r="D222" s="27">
        <f>SUM(E223:E261)</f>
        <v>2300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4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166</v>
      </c>
      <c r="K223" s="30">
        <v>320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210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180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110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310</v>
      </c>
    </row>
    <row r="229" spans="3:11" s="4" customFormat="1" ht="15.95" hidden="1" customHeight="1" x14ac:dyDescent="0.25">
      <c r="C229" s="7" t="s">
        <v>218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166</v>
      </c>
      <c r="K229" s="30">
        <v>160</v>
      </c>
    </row>
    <row r="230" spans="3:11" s="4" customFormat="1" ht="15.95" hidden="1" customHeight="1" x14ac:dyDescent="0.25">
      <c r="C230" s="7" t="s">
        <v>59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10</v>
      </c>
    </row>
    <row r="231" spans="3:11" s="4" customFormat="1" ht="15.95" hidden="1" customHeight="1" x14ac:dyDescent="0.25">
      <c r="C231" s="7" t="s">
        <v>222</v>
      </c>
      <c r="D231" s="7"/>
      <c r="E231" s="8">
        <f t="shared" si="14"/>
        <v>0</v>
      </c>
      <c r="F231" s="12"/>
      <c r="G231" s="12"/>
      <c r="H231" s="12"/>
      <c r="I231" s="8">
        <v>0</v>
      </c>
      <c r="J231" s="10" t="s">
        <v>166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181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250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390</v>
      </c>
    </row>
    <row r="238" spans="3:11" s="4" customFormat="1" ht="15.95" hidden="1" customHeight="1" x14ac:dyDescent="0.25">
      <c r="C238" s="7" t="s">
        <v>236</v>
      </c>
      <c r="D238" s="7"/>
      <c r="E238" s="8">
        <f t="shared" si="14"/>
        <v>2300</v>
      </c>
      <c r="F238" s="8"/>
      <c r="G238" s="8"/>
      <c r="H238" s="8"/>
      <c r="I238" s="8">
        <v>5</v>
      </c>
      <c r="J238" s="10" t="s">
        <v>166</v>
      </c>
      <c r="K238" s="30">
        <v>460</v>
      </c>
    </row>
    <row r="239" spans="3:11" s="4" customFormat="1" ht="15.95" hidden="1" customHeight="1" x14ac:dyDescent="0.25">
      <c r="C239" s="7" t="s">
        <v>211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850</v>
      </c>
    </row>
    <row r="240" spans="3:11" s="4" customFormat="1" ht="15.95" hidden="1" customHeight="1" x14ac:dyDescent="0.25">
      <c r="C240" s="7" t="s">
        <v>187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1400</v>
      </c>
    </row>
    <row r="241" spans="3:11" s="4" customFormat="1" ht="15.95" hidden="1" customHeight="1" x14ac:dyDescent="0.25">
      <c r="C241" s="7" t="s">
        <v>238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360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550</v>
      </c>
    </row>
    <row r="243" spans="3:11" s="4" customFormat="1" ht="15.95" hidden="1" customHeight="1" x14ac:dyDescent="0.25">
      <c r="C243" s="7" t="s">
        <v>242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580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680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750</v>
      </c>
    </row>
    <row r="246" spans="3:11" s="4" customFormat="1" ht="15.95" hidden="1" customHeight="1" x14ac:dyDescent="0.25">
      <c r="C246" s="7" t="s">
        <v>235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340</v>
      </c>
    </row>
    <row r="247" spans="3:11" s="4" customFormat="1" ht="15.95" hidden="1" customHeight="1" x14ac:dyDescent="0.25">
      <c r="C247" s="7" t="s">
        <v>240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160</v>
      </c>
    </row>
    <row r="248" spans="3:11" s="4" customFormat="1" ht="15.95" hidden="1" customHeight="1" x14ac:dyDescent="0.25">
      <c r="C248" s="7" t="s">
        <v>237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227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130</v>
      </c>
    </row>
    <row r="250" spans="3:11" s="4" customFormat="1" ht="15.95" hidden="1" customHeight="1" x14ac:dyDescent="0.25">
      <c r="C250" s="7" t="s">
        <v>223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400</v>
      </c>
    </row>
    <row r="251" spans="3:11" s="4" customFormat="1" ht="15.95" hidden="1" customHeight="1" x14ac:dyDescent="0.25">
      <c r="C251" s="7" t="s">
        <v>225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260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180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120</v>
      </c>
    </row>
    <row r="254" spans="3:11" s="4" customFormat="1" ht="15.95" hidden="1" customHeight="1" x14ac:dyDescent="0.25">
      <c r="C254" s="7" t="s">
        <v>233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220</v>
      </c>
    </row>
    <row r="255" spans="3:11" s="4" customFormat="1" ht="15.95" hidden="1" customHeight="1" x14ac:dyDescent="0.25">
      <c r="C255" s="7" t="s">
        <v>226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166</v>
      </c>
      <c r="K255" s="30">
        <v>230</v>
      </c>
    </row>
    <row r="256" spans="3:11" s="4" customFormat="1" ht="15.95" hidden="1" customHeight="1" x14ac:dyDescent="0.25">
      <c r="C256" s="7" t="s">
        <v>228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229</v>
      </c>
      <c r="K256" s="30">
        <v>500</v>
      </c>
    </row>
    <row r="257" spans="3:11" s="4" customFormat="1" ht="15.95" hidden="1" customHeight="1" x14ac:dyDescent="0.25">
      <c r="C257" s="7" t="s">
        <v>230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180</v>
      </c>
    </row>
    <row r="258" spans="3:11" s="4" customFormat="1" ht="15.95" hidden="1" customHeight="1" x14ac:dyDescent="0.25">
      <c r="C258" s="7" t="s">
        <v>224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260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6500</v>
      </c>
    </row>
    <row r="260" spans="3:11" s="4" customFormat="1" ht="15.95" hidden="1" customHeight="1" x14ac:dyDescent="0.25">
      <c r="C260" s="7" t="s">
        <v>221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8800</v>
      </c>
    </row>
    <row r="261" spans="3:11" s="4" customFormat="1" ht="15.95" hidden="1" customHeight="1" x14ac:dyDescent="0.25">
      <c r="C261" s="7" t="s">
        <v>220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166</v>
      </c>
      <c r="K261" s="30">
        <v>1050</v>
      </c>
    </row>
    <row r="262" spans="3:11" s="22" customFormat="1" ht="15.95" customHeight="1" x14ac:dyDescent="0.25">
      <c r="C262" s="32" t="s">
        <v>148</v>
      </c>
      <c r="D262" s="33">
        <f>SUM(E263)</f>
        <v>15000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15000</v>
      </c>
      <c r="F263" s="24"/>
      <c r="G263" s="24"/>
      <c r="H263" s="24"/>
      <c r="I263" s="24">
        <v>1</v>
      </c>
      <c r="J263" s="25" t="s">
        <v>166</v>
      </c>
      <c r="K263" s="48">
        <v>15000</v>
      </c>
    </row>
    <row r="264" spans="3:11" s="22" customFormat="1" ht="15.95" customHeight="1" x14ac:dyDescent="0.25">
      <c r="C264" s="32" t="s">
        <v>146</v>
      </c>
      <c r="D264" s="33">
        <f>SUM(E265)</f>
        <v>3750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3750</v>
      </c>
      <c r="F265" s="41"/>
      <c r="G265" s="41"/>
      <c r="H265" s="41"/>
      <c r="I265" s="24">
        <v>3</v>
      </c>
      <c r="J265" s="25" t="s">
        <v>149</v>
      </c>
      <c r="K265" s="48">
        <v>1250</v>
      </c>
    </row>
    <row r="266" spans="3:11" s="22" customFormat="1" ht="15.95" customHeight="1" x14ac:dyDescent="0.25">
      <c r="C266" s="32" t="s">
        <v>147</v>
      </c>
      <c r="D266" s="33">
        <f>SUM(E267)</f>
        <v>4500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4500</v>
      </c>
      <c r="F267" s="41"/>
      <c r="G267" s="41"/>
      <c r="H267" s="41"/>
      <c r="I267" s="24">
        <v>3</v>
      </c>
      <c r="J267" s="25" t="s">
        <v>166</v>
      </c>
      <c r="K267" s="48">
        <v>1500</v>
      </c>
    </row>
    <row r="268" spans="3:11" s="22" customFormat="1" ht="15.95" customHeight="1" x14ac:dyDescent="0.25">
      <c r="C268" s="32" t="s">
        <v>212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166</v>
      </c>
      <c r="K269" s="48">
        <v>1200</v>
      </c>
    </row>
    <row r="270" spans="3:11" s="22" customFormat="1" ht="15.95" customHeight="1" x14ac:dyDescent="0.25">
      <c r="C270" s="32" t="s">
        <v>264</v>
      </c>
      <c r="D270" s="33">
        <f>SUM(E271)</f>
        <v>2000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263</v>
      </c>
      <c r="D271" s="38"/>
      <c r="E271" s="39">
        <f>I271*K271</f>
        <v>2000</v>
      </c>
      <c r="F271" s="41"/>
      <c r="G271" s="41"/>
      <c r="H271" s="41"/>
      <c r="I271" s="24">
        <v>1</v>
      </c>
      <c r="J271" s="25" t="s">
        <v>166</v>
      </c>
      <c r="K271" s="48">
        <v>2000</v>
      </c>
    </row>
    <row r="272" spans="3:11" ht="15.95" customHeight="1" thickBot="1" x14ac:dyDescent="0.3">
      <c r="C272" s="18" t="s">
        <v>57</v>
      </c>
      <c r="D272" s="14">
        <f>SUM(D2:D271)</f>
        <v>43704.09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2026-01-15T06:36:01Z</dcterms:modified>
</cp:coreProperties>
</file>