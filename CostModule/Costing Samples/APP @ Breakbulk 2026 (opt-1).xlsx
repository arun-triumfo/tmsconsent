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51ED8FA7-A285-45B3-AAE7-2678187EF5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1" l="1"/>
  <c r="E110" i="1"/>
  <c r="E109" i="1"/>
  <c r="E264" i="1" l="1"/>
  <c r="D263" i="1" s="1"/>
  <c r="E135" i="1" l="1"/>
  <c r="E270" i="1" l="1"/>
  <c r="D269" i="1" s="1"/>
  <c r="E87" i="1" l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8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3" i="1"/>
  <c r="E134" i="1"/>
  <c r="E136" i="1"/>
  <c r="E137" i="1"/>
  <c r="E138" i="1"/>
  <c r="E139" i="1"/>
  <c r="E140" i="1"/>
  <c r="E141" i="1"/>
  <c r="E144" i="1"/>
  <c r="E145" i="1"/>
  <c r="E146" i="1"/>
  <c r="E147" i="1"/>
  <c r="E148" i="1"/>
  <c r="E149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2" i="1"/>
  <c r="E191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9" i="1"/>
  <c r="E210" i="1"/>
  <c r="E211" i="1"/>
  <c r="E212" i="1"/>
  <c r="E213" i="1"/>
  <c r="E214" i="1"/>
  <c r="E215" i="1"/>
  <c r="E216" i="1"/>
  <c r="E217" i="1"/>
  <c r="E218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68" i="1" l="1"/>
  <c r="D267" i="1" s="1"/>
  <c r="E266" i="1"/>
  <c r="D265" i="1" s="1"/>
  <c r="E262" i="1"/>
  <c r="D261" i="1" s="1"/>
  <c r="E260" i="1"/>
  <c r="D259" i="1" s="1"/>
  <c r="E14" i="1" l="1"/>
  <c r="E86" i="1" l="1"/>
  <c r="D85" i="1" s="1"/>
  <c r="E15" i="1" l="1"/>
  <c r="E81" i="1" l="1"/>
  <c r="E82" i="1"/>
  <c r="E83" i="1"/>
  <c r="E208" i="1" l="1"/>
  <c r="E132" i="1"/>
  <c r="E165" i="1"/>
  <c r="D164" i="1" s="1"/>
  <c r="D207" i="1" l="1"/>
  <c r="E84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0" i="1" l="1"/>
  <c r="E79" i="1"/>
  <c r="E78" i="1"/>
  <c r="E50" i="1"/>
  <c r="E49" i="1"/>
  <c r="E48" i="1"/>
  <c r="E60" i="1" l="1"/>
  <c r="E62" i="1" l="1"/>
  <c r="E59" i="1"/>
  <c r="E44" i="1" l="1"/>
  <c r="E40" i="1"/>
  <c r="E41" i="1"/>
  <c r="E151" i="1" l="1"/>
  <c r="E143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7" i="1"/>
  <c r="E220" i="1"/>
  <c r="D219" i="1" s="1"/>
  <c r="D16" i="1" l="1"/>
  <c r="D150" i="1"/>
  <c r="D131" i="1"/>
  <c r="D142" i="1"/>
  <c r="D106" i="1"/>
  <c r="D271" i="1" l="1"/>
</calcChain>
</file>

<file path=xl/sharedStrings.xml><?xml version="1.0" encoding="utf-8"?>
<sst xmlns="http://schemas.openxmlformats.org/spreadsheetml/2006/main" count="583" uniqueCount="282">
  <si>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</si>
  <si>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</si>
  <si>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</si>
  <si>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</si>
  <si>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</si>
  <si>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</si>
  <si>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</si>
  <si>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</si>
  <si>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</si>
  <si>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</si>
  <si>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</si>
  <si>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</si>
  <si>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</si>
  <si>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</si>
  <si>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</si>
  <si>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</si>
  <si>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</si>
  <si>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</si>
  <si>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</si>
  <si>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</si>
  <si>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</si>
  <si>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</si>
  <si>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</si>
  <si>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</si>
  <si>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</si>
  <si>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</si>
  <si>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</si>
  <si>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</si>
  <si>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</si>
  <si>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</si>
  <si>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</si>
  <si>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</si>
  <si>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</si>
  <si>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</si>
  <si>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</si>
  <si>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</si>
  <si>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</si>
  <si>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</si>
  <si>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</si>
  <si>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</si>
  <si>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</si>
  <si>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</si>
  <si>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</si>
  <si>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</si>
  <si>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</si>
  <si>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</si>
  <si>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</si>
  <si>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</si>
  <si>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</si>
  <si>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</si>
  <si>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</si>
  <si>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</si>
  <si>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</si>
  <si>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</si>
  <si>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</si>
  <si>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</si>
  <si>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</si>
  <si>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</si>
  <si>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</si>
  <si>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</si>
  <si>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</si>
  <si>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</si>
  <si>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</si>
  <si>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</si>
  <si>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</si>
  <si>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</si>
  <si>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</si>
  <si>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</si>
  <si>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</si>
  <si>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</si>
  <si>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</si>
  <si>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</si>
  <si>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</si>
  <si>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</si>
  <si>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</si>
  <si>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</si>
  <si>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</si>
  <si>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</si>
  <si>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</si>
  <si>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</si>
  <si>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</si>
  <si>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</si>
  <si>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</si>
  <si>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</si>
  <si>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</si>
  <si>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</si>
  <si>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</si>
  <si>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</si>
  <si>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</si>
  <si>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</si>
  <si>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</si>
  <si>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</si>
  <si>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</si>
  <si>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</si>
  <si>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</si>
  <si>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</si>
  <si>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</si>
  <si>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</si>
  <si>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</si>
  <si>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</si>
  <si>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</si>
  <si>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</si>
  <si>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</si>
  <si>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</si>
  <si>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</si>
  <si>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</si>
  <si>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</si>
  <si>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</si>
  <si>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</si>
  <si>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</si>
  <si>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</si>
  <si>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</si>
  <si>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</si>
  <si>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</si>
  <si>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</si>
  <si>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</si>
  <si>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</si>
  <si>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</si>
  <si>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</si>
  <si>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</si>
  <si>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</si>
  <si>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</si>
  <si>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</si>
  <si>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</si>
  <si>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</si>
  <si>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</si>
  <si>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</si>
  <si>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</si>
  <si>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</si>
  <si>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</si>
  <si>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</si>
  <si>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</si>
  <si>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</si>
  <si>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</si>
  <si>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</si>
  <si>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</si>
  <si>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</si>
  <si>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</si>
  <si>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</si>
  <si>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</si>
  <si>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</si>
  <si>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</si>
  <si>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</si>
  <si>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</si>
  <si>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</si>
  <si>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</si>
  <si>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</si>
  <si>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</si>
  <si>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</si>
  <si>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</si>
  <si>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</si>
  <si>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</si>
  <si>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</si>
  <si>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</si>
  <si>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</si>
  <si>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</si>
  <si>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</si>
  <si>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</si>
  <si>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</si>
  <si>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</si>
  <si>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</si>
  <si>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</si>
  <si>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</si>
  <si>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</si>
  <si>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</si>
  <si>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</si>
  <si>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</si>
  <si>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</si>
  <si>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</si>
  <si>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</si>
  <si>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</si>
  <si>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</si>
  <si>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</si>
  <si>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</si>
  <si>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</si>
  <si>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</si>
  <si>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</si>
  <si>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</si>
  <si>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</si>
  <si>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</si>
  <si>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</si>
  <si>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</si>
  <si>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</si>
  <si>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</si>
  <si>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</si>
  <si>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</si>
  <si>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</si>
  <si>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</si>
  <si>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</si>
  <si>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</si>
  <si>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</si>
  <si>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</si>
  <si>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</si>
  <si>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</si>
  <si>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</si>
  <si>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</si>
  <si>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</si>
  <si>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</si>
  <si>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</si>
  <si>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</si>
  <si>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</si>
  <si>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</si>
  <si>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</si>
  <si>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</si>
  <si>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</si>
  <si>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</si>
  <si>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</si>
  <si>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</si>
  <si>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</si>
  <si>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</si>
  <si>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</si>
  <si>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</si>
  <si>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</si>
  <si>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</si>
  <si>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</si>
  <si>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</si>
  <si>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</si>
  <si>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</si>
  <si>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</si>
  <si>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</si>
  <si>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</si>
  <si>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</si>
  <si>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</si>
  <si>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</si>
  <si>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</si>
  <si>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</si>
  <si>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</si>
  <si>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</si>
  <si>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</si>
  <si>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</si>
  <si>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</si>
  <si>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</si>
  <si>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</si>
  <si>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</si>
  <si>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</si>
  <si>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</si>
  <si>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</si>
  <si>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</si>
  <si>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</si>
  <si>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</si>
  <si>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</si>
  <si>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</si>
  <si>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</si>
  <si>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</si>
  <si>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</si>
  <si>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</si>
  <si>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</si>
  <si>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</si>
  <si>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</si>
  <si>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</si>
  <si>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</si>
  <si>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</si>
  <si>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</si>
  <si>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</si>
  <si>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</si>
  <si>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</si>
  <si>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</si>
  <si>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</si>
  <si>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</si>
  <si>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</si>
  <si>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</si>
  <si>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</si>
  <si>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</si>
  <si>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</si>
  <si>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</si>
  <si>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</si>
  <si>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</si>
  <si>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</si>
  <si>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(Laminated)- 3.0 x 0.5 x 1.0</t>
  </si>
  <si>
    <t>Bar Counter (Laminated)- 6.0 x 0.5 x 1.0</t>
  </si>
  <si>
    <t>Cabinate (Laminated)- 0.5 x 0.5 x 1.0</t>
  </si>
  <si>
    <t>COFFEE TABLE</t>
  </si>
  <si>
    <t>Opt Nr:-  1</t>
  </si>
  <si>
    <t>Date:- 31-03-2026</t>
  </si>
  <si>
    <t>APP</t>
  </si>
  <si>
    <t>BREAKBULK 2026</t>
  </si>
  <si>
    <t>12M X 12M</t>
  </si>
  <si>
    <t>144 SQM</t>
  </si>
  <si>
    <t>4M</t>
  </si>
  <si>
    <t>16-18 June, 2026</t>
  </si>
  <si>
    <t>ROTTERDAM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</si>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</sst>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142</xdr:row>
      <xdr:rowOff>0</xdr:rowOff>
    </xdr:from>
    <xdr:to>
      <xdr:col>1</xdr:col>
      <xdr:colOff>1057275</xdr:colOff>
      <xdr:row>264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13458-F5B8-4484-81C2-EBCDFB6B2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E142" sqref="E14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47" bestFit="1" customWidth="1"/>
    <col min="12" max="16384" width="9.140625" style="2"/>
  </cols>
  <sheetData>
    <row r="1" spans="1:11" s="1" customFormat="1" ht="21" customHeight="1" x14ac:dyDescent="0.25">
      <c r="A1" s="31" t="s">
        <v>272</v>
      </c>
      <c r="B1" s="31" t="s">
        <v>273</v>
      </c>
      <c r="C1" s="19" t="s">
        <v>46</v>
      </c>
      <c r="D1" s="19" t="s">
        <v>130</v>
      </c>
      <c r="E1" s="20" t="s">
        <v>262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3" t="s">
        <v>262</v>
      </c>
    </row>
    <row r="2" spans="1:11" s="4" customFormat="1" ht="15.95" customHeight="1" x14ac:dyDescent="0.25">
      <c r="A2" s="21" t="s">
        <v>139</v>
      </c>
      <c r="B2" s="4" t="s">
        <v>274</v>
      </c>
      <c r="C2" s="26" t="s">
        <v>150</v>
      </c>
      <c r="D2" s="27">
        <f>SUM(E3:E11)</f>
        <v>5051.3999999999996</v>
      </c>
      <c r="E2" s="48"/>
      <c r="F2" s="27"/>
      <c r="G2" s="27"/>
      <c r="H2" s="27"/>
      <c r="I2" s="27"/>
      <c r="J2" s="28"/>
      <c r="K2" s="44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1428</v>
      </c>
      <c r="F4" s="8"/>
      <c r="G4" s="8"/>
      <c r="H4" s="8"/>
      <c r="I4" s="9">
        <v>150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3429</v>
      </c>
      <c r="F8" s="8"/>
      <c r="G8" s="8"/>
      <c r="H8" s="8"/>
      <c r="I8" s="9">
        <v>150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194.39999999999998</v>
      </c>
      <c r="F9" s="8"/>
      <c r="G9" s="8"/>
      <c r="H9" s="8"/>
      <c r="I9" s="9">
        <v>48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275</v>
      </c>
      <c r="C12" s="26" t="s">
        <v>193</v>
      </c>
      <c r="D12" s="49">
        <f>SUM(E13:E15)</f>
        <v>0</v>
      </c>
      <c r="E12" s="27"/>
      <c r="F12" s="27"/>
      <c r="G12" s="27"/>
      <c r="H12" s="27"/>
      <c r="I12" s="27"/>
      <c r="J12" s="28"/>
      <c r="K12" s="44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280</v>
      </c>
      <c r="C16" s="26" t="s">
        <v>183</v>
      </c>
      <c r="D16" s="27">
        <f>SUM(E17:E84)</f>
        <v>5424.4600000000009</v>
      </c>
      <c r="E16" s="48"/>
      <c r="F16" s="27"/>
      <c r="G16" s="27"/>
      <c r="H16" s="27"/>
      <c r="I16" s="27"/>
      <c r="J16" s="28"/>
      <c r="K16" s="44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1249.6949999999999</v>
      </c>
      <c r="F34" s="8">
        <v>1</v>
      </c>
      <c r="G34" s="8">
        <v>0.1</v>
      </c>
      <c r="H34" s="8">
        <v>4</v>
      </c>
      <c r="I34" s="9">
        <v>13.5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78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B52" s="29" t="s">
        <v>248</v>
      </c>
      <c r="C52" s="7" t="s">
        <v>39</v>
      </c>
      <c r="D52" s="7"/>
      <c r="E52" s="8">
        <f t="shared" si="2"/>
        <v>617.12</v>
      </c>
      <c r="F52" s="8">
        <v>1</v>
      </c>
      <c r="G52" s="8">
        <v>0.2</v>
      </c>
      <c r="H52" s="8">
        <v>2.5</v>
      </c>
      <c r="I52" s="9">
        <v>8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341.005</v>
      </c>
      <c r="F56" s="8">
        <v>1</v>
      </c>
      <c r="G56" s="8">
        <v>0.2</v>
      </c>
      <c r="H56" s="8">
        <v>3</v>
      </c>
      <c r="I56" s="9">
        <v>3.5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3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3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3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3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3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3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3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3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3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3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3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3:11" ht="15.95" hidden="1" customHeight="1" x14ac:dyDescent="0.25">
      <c r="C76" s="7" t="s">
        <v>27</v>
      </c>
      <c r="D76" s="7"/>
      <c r="E76" s="8">
        <f t="shared" si="2"/>
        <v>913.74</v>
      </c>
      <c r="F76" s="8">
        <v>1</v>
      </c>
      <c r="G76" s="8">
        <v>0.2</v>
      </c>
      <c r="H76" s="8">
        <v>6</v>
      </c>
      <c r="I76" s="9">
        <v>6</v>
      </c>
      <c r="J76" s="10" t="s">
        <v>155</v>
      </c>
      <c r="K76" s="30">
        <v>152.29</v>
      </c>
    </row>
    <row r="77" spans="3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3:11" ht="15.95" hidden="1" customHeight="1" x14ac:dyDescent="0.25">
      <c r="C78" s="7" t="s">
        <v>25</v>
      </c>
      <c r="D78" s="7"/>
      <c r="E78" s="8">
        <f t="shared" si="2"/>
        <v>2302.9</v>
      </c>
      <c r="F78" s="8">
        <v>1</v>
      </c>
      <c r="G78" s="8">
        <v>0.2</v>
      </c>
      <c r="H78" s="8">
        <v>6</v>
      </c>
      <c r="I78" s="9">
        <v>10</v>
      </c>
      <c r="J78" s="10" t="s">
        <v>155</v>
      </c>
      <c r="K78" s="30">
        <v>230.29</v>
      </c>
    </row>
    <row r="79" spans="3:11" ht="15.95" hidden="1" customHeight="1" x14ac:dyDescent="0.25">
      <c r="C79" s="7" t="s">
        <v>94</v>
      </c>
      <c r="D79" s="7"/>
      <c r="E79" s="8">
        <f t="shared" ref="E79:E84" si="3">I79*K79</f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41.67</v>
      </c>
    </row>
    <row r="80" spans="3:11" ht="15.95" hidden="1" customHeight="1" x14ac:dyDescent="0.25">
      <c r="C80" s="7" t="s">
        <v>95</v>
      </c>
      <c r="D80" s="7"/>
      <c r="E80" s="8">
        <f t="shared" si="3"/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155</v>
      </c>
      <c r="K80" s="30">
        <v>83.33</v>
      </c>
    </row>
    <row r="81" spans="1:11" ht="15.95" hidden="1" customHeight="1" x14ac:dyDescent="0.25">
      <c r="B81" s="29" t="s">
        <v>248</v>
      </c>
      <c r="C81" s="7" t="s">
        <v>172</v>
      </c>
      <c r="D81" s="7"/>
      <c r="E81" s="8">
        <f t="shared" si="3"/>
        <v>0</v>
      </c>
      <c r="F81" s="8">
        <v>1</v>
      </c>
      <c r="G81" s="8"/>
      <c r="H81" s="8"/>
      <c r="I81" s="9">
        <v>0</v>
      </c>
      <c r="J81" s="10" t="s">
        <v>110</v>
      </c>
      <c r="K81" s="30">
        <v>47.62</v>
      </c>
    </row>
    <row r="82" spans="1:11" ht="15.95" hidden="1" customHeight="1" x14ac:dyDescent="0.25">
      <c r="B82" s="29" t="s">
        <v>248</v>
      </c>
      <c r="C82" s="7" t="s">
        <v>173</v>
      </c>
      <c r="D82" s="7"/>
      <c r="E82" s="8">
        <f t="shared" si="3"/>
        <v>0</v>
      </c>
      <c r="F82" s="8">
        <v>1</v>
      </c>
      <c r="G82" s="8"/>
      <c r="H82" s="8"/>
      <c r="I82" s="9">
        <v>0</v>
      </c>
      <c r="J82" s="10" t="s">
        <v>168</v>
      </c>
      <c r="K82" s="30">
        <v>190.48</v>
      </c>
    </row>
    <row r="83" spans="1:11" ht="15.95" hidden="1" customHeight="1" x14ac:dyDescent="0.25">
      <c r="B83" s="29" t="s">
        <v>248</v>
      </c>
      <c r="C83" s="7" t="s">
        <v>174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168</v>
      </c>
      <c r="K83" s="30">
        <v>190.48</v>
      </c>
    </row>
    <row r="84" spans="1:11" ht="15.95" hidden="1" customHeight="1" x14ac:dyDescent="0.25">
      <c r="C84" s="7" t="s">
        <v>175</v>
      </c>
      <c r="D84" s="7"/>
      <c r="E84" s="8">
        <f t="shared" si="3"/>
        <v>0</v>
      </c>
      <c r="F84" s="8">
        <v>1</v>
      </c>
      <c r="G84" s="8">
        <v>0.2</v>
      </c>
      <c r="H84" s="8">
        <v>1</v>
      </c>
      <c r="I84" s="9">
        <v>0</v>
      </c>
      <c r="J84" s="10" t="s">
        <v>110</v>
      </c>
      <c r="K84" s="30">
        <v>32.14</v>
      </c>
    </row>
    <row r="85" spans="1:11" s="4" customFormat="1" ht="15.95" customHeight="1" x14ac:dyDescent="0.25">
      <c r="A85" s="21" t="s">
        <v>144</v>
      </c>
      <c r="B85" s="22" t="s">
        <v>279</v>
      </c>
      <c r="C85" s="26" t="s">
        <v>194</v>
      </c>
      <c r="D85" s="27">
        <f>SUM(E86:E105)</f>
        <v>0</v>
      </c>
      <c r="E85" s="48"/>
      <c r="F85" s="27"/>
      <c r="G85" s="27"/>
      <c r="H85" s="27"/>
      <c r="I85" s="27"/>
      <c r="J85" s="28"/>
      <c r="K85" s="44"/>
    </row>
    <row r="86" spans="1:11" s="22" customFormat="1" ht="15.95" hidden="1" customHeight="1" x14ac:dyDescent="0.25">
      <c r="B86" s="29" t="s">
        <v>248</v>
      </c>
      <c r="C86" s="23" t="s">
        <v>169</v>
      </c>
      <c r="D86" s="23"/>
      <c r="E86" s="24">
        <f t="shared" ref="E86:E105" si="4">I86*K86</f>
        <v>0</v>
      </c>
      <c r="F86" s="24"/>
      <c r="G86" s="24"/>
      <c r="H86" s="24"/>
      <c r="I86" s="24">
        <v>0</v>
      </c>
      <c r="J86" s="25" t="s">
        <v>165</v>
      </c>
      <c r="K86" s="45">
        <v>25</v>
      </c>
    </row>
    <row r="87" spans="1:11" s="22" customFormat="1" ht="15.95" hidden="1" customHeight="1" x14ac:dyDescent="0.25">
      <c r="B87" s="29" t="s">
        <v>248</v>
      </c>
      <c r="C87" s="23" t="s">
        <v>191</v>
      </c>
      <c r="D87" s="23"/>
      <c r="E87" s="24">
        <f t="shared" si="4"/>
        <v>0</v>
      </c>
      <c r="F87" s="24"/>
      <c r="G87" s="24"/>
      <c r="H87" s="24"/>
      <c r="I87" s="24">
        <v>0</v>
      </c>
      <c r="J87" s="25" t="s">
        <v>165</v>
      </c>
      <c r="K87" s="45">
        <v>10</v>
      </c>
    </row>
    <row r="88" spans="1:11" s="22" customFormat="1" ht="15.95" hidden="1" customHeight="1" x14ac:dyDescent="0.25">
      <c r="B88" s="29" t="s">
        <v>248</v>
      </c>
      <c r="C88" s="23" t="s">
        <v>192</v>
      </c>
      <c r="D88" s="23"/>
      <c r="E88" s="24">
        <f t="shared" si="4"/>
        <v>0</v>
      </c>
      <c r="F88" s="24"/>
      <c r="G88" s="24"/>
      <c r="H88" s="24"/>
      <c r="I88" s="24">
        <v>0</v>
      </c>
      <c r="J88" s="25" t="s">
        <v>165</v>
      </c>
      <c r="K88" s="45">
        <v>2</v>
      </c>
    </row>
    <row r="89" spans="1:11" s="4" customFormat="1" ht="15.95" hidden="1" customHeight="1" x14ac:dyDescent="0.25">
      <c r="B89" s="29" t="s">
        <v>248</v>
      </c>
      <c r="C89" s="7" t="s">
        <v>249</v>
      </c>
      <c r="D89" s="7"/>
      <c r="E89" s="24">
        <f t="shared" si="4"/>
        <v>0</v>
      </c>
      <c r="F89" s="8"/>
      <c r="G89" s="8"/>
      <c r="H89" s="8"/>
      <c r="I89" s="8">
        <v>0</v>
      </c>
      <c r="J89" s="10" t="s">
        <v>165</v>
      </c>
      <c r="K89" s="45">
        <v>800</v>
      </c>
    </row>
    <row r="90" spans="1:11" s="4" customFormat="1" ht="15.95" hidden="1" customHeight="1" x14ac:dyDescent="0.25">
      <c r="B90" s="29" t="s">
        <v>248</v>
      </c>
      <c r="C90" s="7" t="s">
        <v>250</v>
      </c>
      <c r="D90" s="7"/>
      <c r="E90" s="24">
        <f t="shared" si="4"/>
        <v>0</v>
      </c>
      <c r="F90" s="8"/>
      <c r="G90" s="8"/>
      <c r="H90" s="8"/>
      <c r="I90" s="8">
        <v>0</v>
      </c>
      <c r="J90" s="10" t="s">
        <v>165</v>
      </c>
      <c r="K90" s="45">
        <v>1210</v>
      </c>
    </row>
    <row r="91" spans="1:11" s="4" customFormat="1" ht="15.95" hidden="1" customHeight="1" x14ac:dyDescent="0.25">
      <c r="B91" s="29" t="s">
        <v>248</v>
      </c>
      <c r="C91" s="7" t="s">
        <v>260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5">
        <v>1820</v>
      </c>
    </row>
    <row r="92" spans="1:11" s="4" customFormat="1" ht="15.95" hidden="1" customHeight="1" x14ac:dyDescent="0.25">
      <c r="B92" s="29" t="s">
        <v>248</v>
      </c>
      <c r="C92" s="7" t="s">
        <v>261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5">
        <v>830</v>
      </c>
    </row>
    <row r="93" spans="1:11" s="4" customFormat="1" ht="15.95" hidden="1" customHeight="1" x14ac:dyDescent="0.25">
      <c r="B93" s="42"/>
      <c r="C93" s="7" t="s">
        <v>24</v>
      </c>
      <c r="D93" s="7"/>
      <c r="E93" s="24">
        <f t="shared" si="4"/>
        <v>0</v>
      </c>
      <c r="F93" s="8">
        <v>4</v>
      </c>
      <c r="G93" s="8">
        <v>4</v>
      </c>
      <c r="H93" s="8">
        <v>1</v>
      </c>
      <c r="I93" s="8">
        <v>0</v>
      </c>
      <c r="J93" s="10" t="s">
        <v>165</v>
      </c>
      <c r="K93" s="45">
        <v>714.29</v>
      </c>
    </row>
    <row r="94" spans="1:11" s="4" customFormat="1" ht="15.95" hidden="1" customHeight="1" x14ac:dyDescent="0.25">
      <c r="B94" s="42"/>
      <c r="C94" s="7" t="s">
        <v>23</v>
      </c>
      <c r="D94" s="7"/>
      <c r="E94" s="24">
        <f t="shared" si="4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165</v>
      </c>
      <c r="K94" s="45">
        <v>1000</v>
      </c>
    </row>
    <row r="95" spans="1:11" s="4" customFormat="1" ht="15.95" hidden="1" customHeight="1" x14ac:dyDescent="0.25">
      <c r="B95" s="42"/>
      <c r="C95" s="7" t="s">
        <v>176</v>
      </c>
      <c r="D95" s="7"/>
      <c r="E95" s="24">
        <f t="shared" si="4"/>
        <v>0</v>
      </c>
      <c r="F95" s="8">
        <v>4</v>
      </c>
      <c r="G95" s="8">
        <v>1</v>
      </c>
      <c r="H95" s="8">
        <v>1</v>
      </c>
      <c r="I95" s="8">
        <v>0</v>
      </c>
      <c r="J95" s="10" t="s">
        <v>165</v>
      </c>
      <c r="K95" s="45">
        <v>250</v>
      </c>
    </row>
    <row r="96" spans="1:11" s="4" customFormat="1" ht="15.95" hidden="1" customHeight="1" x14ac:dyDescent="0.25">
      <c r="B96" s="42"/>
      <c r="C96" s="7" t="s">
        <v>22</v>
      </c>
      <c r="D96" s="7"/>
      <c r="E96" s="24">
        <f t="shared" si="4"/>
        <v>0</v>
      </c>
      <c r="F96" s="8">
        <v>6</v>
      </c>
      <c r="G96" s="8">
        <v>4</v>
      </c>
      <c r="H96" s="8">
        <v>1</v>
      </c>
      <c r="I96" s="8">
        <v>0</v>
      </c>
      <c r="J96" s="10" t="s">
        <v>165</v>
      </c>
      <c r="K96" s="45">
        <v>1166.67</v>
      </c>
    </row>
    <row r="97" spans="1:11" s="4" customFormat="1" ht="15.95" hidden="1" customHeight="1" x14ac:dyDescent="0.25">
      <c r="B97" s="42"/>
      <c r="C97" s="7" t="s">
        <v>132</v>
      </c>
      <c r="D97" s="7"/>
      <c r="E97" s="24">
        <f t="shared" si="4"/>
        <v>0</v>
      </c>
      <c r="F97" s="8">
        <v>1</v>
      </c>
      <c r="G97" s="8">
        <v>0.2</v>
      </c>
      <c r="H97" s="8">
        <v>1</v>
      </c>
      <c r="I97" s="8">
        <v>0</v>
      </c>
      <c r="J97" s="10" t="s">
        <v>165</v>
      </c>
      <c r="K97" s="45">
        <v>35.71</v>
      </c>
    </row>
    <row r="98" spans="1:11" s="4" customFormat="1" ht="15.95" hidden="1" customHeight="1" x14ac:dyDescent="0.25">
      <c r="B98" s="29" t="s">
        <v>248</v>
      </c>
      <c r="C98" s="7" t="s">
        <v>113</v>
      </c>
      <c r="D98" s="7"/>
      <c r="E98" s="24">
        <f t="shared" si="4"/>
        <v>0</v>
      </c>
      <c r="F98" s="8">
        <v>1</v>
      </c>
      <c r="G98" s="8">
        <v>0.1</v>
      </c>
      <c r="H98" s="8">
        <v>1</v>
      </c>
      <c r="I98" s="8">
        <v>0</v>
      </c>
      <c r="J98" s="10" t="s">
        <v>110</v>
      </c>
      <c r="K98" s="45">
        <v>23.33</v>
      </c>
    </row>
    <row r="99" spans="1:11" s="4" customFormat="1" ht="15.95" hidden="1" customHeight="1" x14ac:dyDescent="0.25">
      <c r="B99" s="29" t="s">
        <v>248</v>
      </c>
      <c r="C99" s="7" t="s">
        <v>115</v>
      </c>
      <c r="D99" s="7"/>
      <c r="E99" s="24">
        <f t="shared" si="4"/>
        <v>0</v>
      </c>
      <c r="F99" s="8">
        <v>0</v>
      </c>
      <c r="G99" s="8">
        <v>0</v>
      </c>
      <c r="H99" s="8">
        <v>0</v>
      </c>
      <c r="I99" s="8">
        <v>0</v>
      </c>
      <c r="J99" s="10" t="s">
        <v>165</v>
      </c>
      <c r="K99" s="45">
        <v>12.86</v>
      </c>
    </row>
    <row r="100" spans="1:11" s="4" customFormat="1" ht="15.95" hidden="1" customHeight="1" x14ac:dyDescent="0.25">
      <c r="B100" s="29" t="s">
        <v>248</v>
      </c>
      <c r="C100" s="7" t="s">
        <v>116</v>
      </c>
      <c r="D100" s="7"/>
      <c r="E100" s="24">
        <f t="shared" si="4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165</v>
      </c>
      <c r="K100" s="45">
        <v>11.9</v>
      </c>
    </row>
    <row r="101" spans="1:11" s="4" customFormat="1" ht="15.95" hidden="1" customHeight="1" x14ac:dyDescent="0.25">
      <c r="B101" s="29" t="s">
        <v>248</v>
      </c>
      <c r="C101" s="7" t="s">
        <v>117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165</v>
      </c>
      <c r="K101" s="45">
        <v>9.52</v>
      </c>
    </row>
    <row r="102" spans="1:11" s="4" customFormat="1" ht="15.95" hidden="1" customHeight="1" x14ac:dyDescent="0.25">
      <c r="C102" s="7" t="s">
        <v>251</v>
      </c>
      <c r="D102" s="7"/>
      <c r="E102" s="24">
        <f t="shared" si="4"/>
        <v>0</v>
      </c>
      <c r="F102" s="8">
        <v>1</v>
      </c>
      <c r="G102" s="8">
        <v>0</v>
      </c>
      <c r="H102" s="8">
        <v>1</v>
      </c>
      <c r="I102" s="8">
        <v>0</v>
      </c>
      <c r="J102" s="10" t="s">
        <v>110</v>
      </c>
      <c r="K102" s="45">
        <v>15.48</v>
      </c>
    </row>
    <row r="103" spans="1:11" s="4" customFormat="1" ht="15.95" hidden="1" customHeight="1" x14ac:dyDescent="0.25">
      <c r="C103" s="7" t="s">
        <v>114</v>
      </c>
      <c r="D103" s="7"/>
      <c r="E103" s="24">
        <f t="shared" si="4"/>
        <v>0</v>
      </c>
      <c r="F103" s="8">
        <v>1</v>
      </c>
      <c r="G103" s="8">
        <v>0.5</v>
      </c>
      <c r="H103" s="8">
        <v>1</v>
      </c>
      <c r="I103" s="8">
        <v>0</v>
      </c>
      <c r="J103" s="10" t="s">
        <v>110</v>
      </c>
      <c r="K103" s="45">
        <v>16.07</v>
      </c>
    </row>
    <row r="104" spans="1:11" s="4" customFormat="1" ht="15.95" hidden="1" customHeight="1" x14ac:dyDescent="0.25">
      <c r="C104" s="7" t="s">
        <v>118</v>
      </c>
      <c r="D104" s="7"/>
      <c r="E104" s="24">
        <f>I104*K104</f>
        <v>0</v>
      </c>
      <c r="F104" s="8">
        <v>1.5</v>
      </c>
      <c r="G104" s="8">
        <v>1.5</v>
      </c>
      <c r="H104" s="8">
        <v>1.5</v>
      </c>
      <c r="I104" s="8">
        <v>0</v>
      </c>
      <c r="J104" s="10" t="s">
        <v>165</v>
      </c>
      <c r="K104" s="45">
        <v>2142.86</v>
      </c>
    </row>
    <row r="105" spans="1:11" s="4" customFormat="1" ht="15.95" hidden="1" customHeight="1" x14ac:dyDescent="0.25">
      <c r="C105" s="7" t="s">
        <v>133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165</v>
      </c>
      <c r="K105" s="45">
        <v>11.9</v>
      </c>
    </row>
    <row r="106" spans="1:11" s="4" customFormat="1" ht="15.95" customHeight="1" x14ac:dyDescent="0.25">
      <c r="A106" s="21" t="s">
        <v>140</v>
      </c>
      <c r="B106" s="4" t="s">
        <v>276</v>
      </c>
      <c r="C106" s="26" t="s">
        <v>195</v>
      </c>
      <c r="D106" s="27">
        <f>SUM(E107:E130)</f>
        <v>1085</v>
      </c>
      <c r="E106" s="48"/>
      <c r="F106" s="27"/>
      <c r="G106" s="27"/>
      <c r="H106" s="27"/>
      <c r="I106" s="27"/>
      <c r="J106" s="28"/>
      <c r="K106" s="44"/>
    </row>
    <row r="107" spans="1:11" s="4" customFormat="1" ht="15.95" hidden="1" customHeight="1" x14ac:dyDescent="0.25">
      <c r="C107" s="7" t="s">
        <v>264</v>
      </c>
      <c r="D107" s="7"/>
      <c r="E107" s="8">
        <f t="shared" ref="E107:E130" si="5">I107*K107</f>
        <v>0</v>
      </c>
      <c r="F107" s="8">
        <v>2.5</v>
      </c>
      <c r="G107" s="8">
        <v>1</v>
      </c>
      <c r="H107" s="8">
        <v>1</v>
      </c>
      <c r="I107" s="8">
        <v>0</v>
      </c>
      <c r="J107" s="10" t="s">
        <v>165</v>
      </c>
      <c r="K107" s="30">
        <v>262.86</v>
      </c>
    </row>
    <row r="108" spans="1:11" s="4" customFormat="1" ht="15.95" hidden="1" customHeight="1" x14ac:dyDescent="0.25">
      <c r="C108" s="7" t="s">
        <v>253</v>
      </c>
      <c r="D108" s="7"/>
      <c r="E108" s="8">
        <f t="shared" si="5"/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165</v>
      </c>
      <c r="K108" s="30">
        <v>564.6</v>
      </c>
    </row>
    <row r="109" spans="1:11" s="4" customFormat="1" ht="15.95" hidden="1" customHeight="1" x14ac:dyDescent="0.25">
      <c r="C109" s="7" t="s">
        <v>265</v>
      </c>
      <c r="D109" s="7"/>
      <c r="E109" s="8">
        <f t="shared" ref="E109:E111" si="6">I109*K109</f>
        <v>0</v>
      </c>
      <c r="F109" s="8">
        <v>2.5</v>
      </c>
      <c r="G109" s="8">
        <v>0.5</v>
      </c>
      <c r="H109" s="8">
        <v>1</v>
      </c>
      <c r="I109" s="8">
        <v>0</v>
      </c>
      <c r="J109" s="10" t="s">
        <v>165</v>
      </c>
      <c r="K109" s="30">
        <v>358.69</v>
      </c>
    </row>
    <row r="110" spans="1:11" s="4" customFormat="1" ht="15.95" hidden="1" customHeight="1" x14ac:dyDescent="0.25">
      <c r="C110" s="7" t="s">
        <v>268</v>
      </c>
      <c r="D110" s="7"/>
      <c r="E110" s="8">
        <f t="shared" si="6"/>
        <v>400</v>
      </c>
      <c r="F110" s="8">
        <v>3</v>
      </c>
      <c r="G110" s="8">
        <v>0.5</v>
      </c>
      <c r="H110" s="8">
        <v>1</v>
      </c>
      <c r="I110" s="8">
        <v>1</v>
      </c>
      <c r="J110" s="10" t="s">
        <v>165</v>
      </c>
      <c r="K110" s="30">
        <v>400</v>
      </c>
    </row>
    <row r="111" spans="1:11" s="4" customFormat="1" ht="15.95" hidden="1" customHeight="1" x14ac:dyDescent="0.25">
      <c r="C111" s="7" t="s">
        <v>269</v>
      </c>
      <c r="D111" s="7"/>
      <c r="E111" s="8">
        <f t="shared" si="6"/>
        <v>565</v>
      </c>
      <c r="F111" s="8">
        <v>6</v>
      </c>
      <c r="G111" s="8">
        <v>0.5</v>
      </c>
      <c r="H111" s="8">
        <v>1</v>
      </c>
      <c r="I111" s="8">
        <v>1</v>
      </c>
      <c r="J111" s="10" t="s">
        <v>165</v>
      </c>
      <c r="K111" s="30">
        <v>565</v>
      </c>
    </row>
    <row r="112" spans="1:11" s="4" customFormat="1" ht="15.95" hidden="1" customHeight="1" x14ac:dyDescent="0.25">
      <c r="C112" s="7" t="s">
        <v>270</v>
      </c>
      <c r="D112" s="7"/>
      <c r="E112" s="8">
        <f t="shared" si="5"/>
        <v>120</v>
      </c>
      <c r="F112" s="8">
        <v>0.5</v>
      </c>
      <c r="G112" s="8">
        <v>0.5</v>
      </c>
      <c r="H112" s="8">
        <v>1</v>
      </c>
      <c r="I112" s="8">
        <v>1</v>
      </c>
      <c r="J112" s="10" t="s">
        <v>165</v>
      </c>
      <c r="K112" s="30">
        <v>120</v>
      </c>
    </row>
    <row r="113" spans="2:11" s="4" customFormat="1" ht="15.95" hidden="1" customHeight="1" x14ac:dyDescent="0.25">
      <c r="C113" s="7" t="s">
        <v>254</v>
      </c>
      <c r="D113" s="7"/>
      <c r="E113" s="8">
        <f t="shared" si="5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165</v>
      </c>
      <c r="K113" s="30">
        <v>302.29000000000002</v>
      </c>
    </row>
    <row r="114" spans="2:11" s="4" customFormat="1" ht="15.95" hidden="1" customHeight="1" x14ac:dyDescent="0.25">
      <c r="C114" s="7" t="s">
        <v>252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604.02</v>
      </c>
    </row>
    <row r="115" spans="2:11" s="4" customFormat="1" ht="15.95" hidden="1" customHeight="1" x14ac:dyDescent="0.25">
      <c r="C115" s="7" t="s">
        <v>255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423.86</v>
      </c>
    </row>
    <row r="116" spans="2:11" s="4" customFormat="1" ht="15.95" hidden="1" customHeight="1" x14ac:dyDescent="0.25">
      <c r="C116" s="7" t="s">
        <v>156</v>
      </c>
      <c r="D116" s="7"/>
      <c r="E116" s="8">
        <f t="shared" si="5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165</v>
      </c>
      <c r="K116" s="30">
        <v>595.24</v>
      </c>
    </row>
    <row r="117" spans="2:11" s="4" customFormat="1" ht="15.95" hidden="1" customHeight="1" x14ac:dyDescent="0.25">
      <c r="C117" s="7" t="s">
        <v>196</v>
      </c>
      <c r="D117" s="7"/>
      <c r="E117" s="8">
        <f t="shared" si="5"/>
        <v>0</v>
      </c>
      <c r="F117" s="8">
        <v>1.5</v>
      </c>
      <c r="G117" s="8">
        <v>0.4</v>
      </c>
      <c r="H117" s="8">
        <v>1</v>
      </c>
      <c r="I117" s="8">
        <v>0</v>
      </c>
      <c r="J117" s="10" t="s">
        <v>165</v>
      </c>
      <c r="K117" s="30">
        <v>161.9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</v>
      </c>
      <c r="G118" s="8">
        <v>0.5</v>
      </c>
      <c r="H118" s="8">
        <v>0.9</v>
      </c>
      <c r="I118" s="8">
        <v>0</v>
      </c>
      <c r="J118" s="10" t="s">
        <v>165</v>
      </c>
      <c r="K118" s="30">
        <v>190.48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2.4</v>
      </c>
      <c r="G119" s="8">
        <v>0.4</v>
      </c>
      <c r="H119" s="8">
        <v>1</v>
      </c>
      <c r="I119" s="8">
        <v>0</v>
      </c>
      <c r="J119" s="10" t="s">
        <v>165</v>
      </c>
      <c r="K119" s="30">
        <v>216.67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1.2</v>
      </c>
      <c r="G120" s="8">
        <v>0.4</v>
      </c>
      <c r="H120" s="8">
        <v>1</v>
      </c>
      <c r="I120" s="8">
        <v>0</v>
      </c>
      <c r="J120" s="10" t="s">
        <v>165</v>
      </c>
      <c r="K120" s="30">
        <v>154.76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0.5</v>
      </c>
      <c r="G121" s="8">
        <v>0.5</v>
      </c>
      <c r="H121" s="8">
        <v>1</v>
      </c>
      <c r="I121" s="8">
        <v>0</v>
      </c>
      <c r="J121" s="10" t="s">
        <v>165</v>
      </c>
      <c r="K121" s="30">
        <v>177.98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260.12</v>
      </c>
    </row>
    <row r="123" spans="2:11" s="4" customFormat="1" ht="15.95" hidden="1" customHeight="1" x14ac:dyDescent="0.25">
      <c r="B123" s="29" t="s">
        <v>248</v>
      </c>
      <c r="C123" s="7" t="s">
        <v>119</v>
      </c>
      <c r="D123" s="7"/>
      <c r="E123" s="8">
        <f t="shared" si="5"/>
        <v>0</v>
      </c>
      <c r="F123" s="8">
        <v>0.5</v>
      </c>
      <c r="G123" s="8">
        <v>0.5</v>
      </c>
      <c r="H123" s="8">
        <v>2</v>
      </c>
      <c r="I123" s="8">
        <v>0</v>
      </c>
      <c r="J123" s="10" t="s">
        <v>165</v>
      </c>
      <c r="K123" s="30">
        <v>210</v>
      </c>
    </row>
    <row r="124" spans="2:11" s="4" customFormat="1" ht="15.95" hidden="1" customHeight="1" x14ac:dyDescent="0.25">
      <c r="C124" s="7" t="s">
        <v>124</v>
      </c>
      <c r="D124" s="7"/>
      <c r="E124" s="8">
        <f t="shared" si="5"/>
        <v>0</v>
      </c>
      <c r="F124" s="8">
        <v>2.1</v>
      </c>
      <c r="G124" s="8">
        <v>2</v>
      </c>
      <c r="H124" s="8">
        <v>0.9</v>
      </c>
      <c r="I124" s="8">
        <v>0</v>
      </c>
      <c r="J124" s="10" t="s">
        <v>165</v>
      </c>
      <c r="K124" s="30">
        <v>223.81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0.45</v>
      </c>
      <c r="G125" s="8">
        <v>0.45</v>
      </c>
      <c r="H125" s="8">
        <v>0.5</v>
      </c>
      <c r="I125" s="8">
        <v>0</v>
      </c>
      <c r="J125" s="10" t="s">
        <v>165</v>
      </c>
      <c r="K125" s="30">
        <v>65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1.1000000000000001</v>
      </c>
      <c r="G126" s="8">
        <v>0.35</v>
      </c>
      <c r="H126" s="8">
        <v>1.8</v>
      </c>
      <c r="I126" s="8">
        <v>0</v>
      </c>
      <c r="J126" s="10" t="s">
        <v>165</v>
      </c>
      <c r="K126" s="30">
        <v>35</v>
      </c>
    </row>
    <row r="127" spans="2:11" s="4" customFormat="1" ht="15.95" hidden="1" customHeight="1" x14ac:dyDescent="0.25">
      <c r="B127" s="29" t="s">
        <v>248</v>
      </c>
      <c r="C127" s="7" t="s">
        <v>54</v>
      </c>
      <c r="D127" s="7"/>
      <c r="E127" s="8">
        <f t="shared" si="5"/>
        <v>0</v>
      </c>
      <c r="F127" s="8"/>
      <c r="G127" s="8"/>
      <c r="H127" s="8"/>
      <c r="I127" s="8">
        <v>0</v>
      </c>
      <c r="J127" s="10" t="s">
        <v>165</v>
      </c>
      <c r="K127" s="30">
        <v>12</v>
      </c>
    </row>
    <row r="128" spans="2:11" s="4" customFormat="1" ht="15.95" hidden="1" customHeight="1" x14ac:dyDescent="0.25">
      <c r="C128" s="7" t="s">
        <v>129</v>
      </c>
      <c r="D128" s="7"/>
      <c r="E128" s="8">
        <f t="shared" si="5"/>
        <v>0</v>
      </c>
      <c r="F128" s="8">
        <v>1</v>
      </c>
      <c r="G128" s="8">
        <v>0.1</v>
      </c>
      <c r="H128" s="8">
        <v>1</v>
      </c>
      <c r="I128" s="8">
        <v>0</v>
      </c>
      <c r="J128" s="10" t="s">
        <v>110</v>
      </c>
      <c r="K128" s="30">
        <v>21.9</v>
      </c>
    </row>
    <row r="129" spans="1:11" s="4" customFormat="1" ht="15.95" hidden="1" customHeight="1" x14ac:dyDescent="0.25">
      <c r="C129" s="7" t="s">
        <v>202</v>
      </c>
      <c r="D129" s="7"/>
      <c r="E129" s="8">
        <f t="shared" si="5"/>
        <v>0</v>
      </c>
      <c r="F129" s="8">
        <v>0.5</v>
      </c>
      <c r="G129" s="8">
        <v>0.5</v>
      </c>
      <c r="H129" s="8">
        <v>0.5</v>
      </c>
      <c r="I129" s="8">
        <v>0</v>
      </c>
      <c r="J129" s="10" t="s">
        <v>165</v>
      </c>
      <c r="K129" s="30">
        <v>177.98</v>
      </c>
    </row>
    <row r="130" spans="1:11" s="4" customFormat="1" ht="15.95" hidden="1" customHeight="1" x14ac:dyDescent="0.25">
      <c r="C130" s="7" t="s">
        <v>177</v>
      </c>
      <c r="D130" s="7"/>
      <c r="E130" s="8">
        <f t="shared" si="5"/>
        <v>0</v>
      </c>
      <c r="F130" s="8">
        <v>0.84</v>
      </c>
      <c r="G130" s="8">
        <v>0.84</v>
      </c>
      <c r="H130" s="8">
        <v>2.1</v>
      </c>
      <c r="I130" s="8">
        <v>0</v>
      </c>
      <c r="J130" s="10" t="s">
        <v>165</v>
      </c>
      <c r="K130" s="30">
        <v>383.33</v>
      </c>
    </row>
    <row r="131" spans="1:11" s="4" customFormat="1" ht="15.95" customHeight="1" x14ac:dyDescent="0.25">
      <c r="A131" s="21" t="s">
        <v>142</v>
      </c>
      <c r="B131" s="4" t="s">
        <v>277</v>
      </c>
      <c r="C131" s="26" t="s">
        <v>203</v>
      </c>
      <c r="D131" s="27">
        <f>SUM(E132:E141)</f>
        <v>35</v>
      </c>
      <c r="E131" s="48"/>
      <c r="F131" s="27"/>
      <c r="G131" s="27"/>
      <c r="H131" s="27"/>
      <c r="I131" s="27"/>
      <c r="J131" s="28"/>
      <c r="K131" s="44"/>
    </row>
    <row r="132" spans="1:11" s="4" customFormat="1" ht="15.95" hidden="1" customHeight="1" x14ac:dyDescent="0.25">
      <c r="B132" s="29" t="s">
        <v>248</v>
      </c>
      <c r="C132" s="7" t="s">
        <v>48</v>
      </c>
      <c r="D132" s="7"/>
      <c r="E132" s="8">
        <f t="shared" ref="E132:E141" si="7">I132*K132</f>
        <v>35</v>
      </c>
      <c r="F132" s="12"/>
      <c r="G132" s="12"/>
      <c r="H132" s="12"/>
      <c r="I132" s="8">
        <v>1</v>
      </c>
      <c r="J132" s="10" t="s">
        <v>165</v>
      </c>
      <c r="K132" s="30">
        <v>35</v>
      </c>
    </row>
    <row r="133" spans="1:11" s="4" customFormat="1" ht="15.95" hidden="1" customHeight="1" x14ac:dyDescent="0.25">
      <c r="B133" s="29" t="s">
        <v>248</v>
      </c>
      <c r="C133" s="7" t="s">
        <v>49</v>
      </c>
      <c r="D133" s="7"/>
      <c r="E133" s="8">
        <f t="shared" si="7"/>
        <v>0</v>
      </c>
      <c r="F133" s="8"/>
      <c r="G133" s="8"/>
      <c r="H133" s="8"/>
      <c r="I133" s="8">
        <v>0</v>
      </c>
      <c r="J133" s="10" t="s">
        <v>165</v>
      </c>
      <c r="K133" s="30">
        <v>50</v>
      </c>
    </row>
    <row r="134" spans="1:11" s="4" customFormat="1" ht="15.95" hidden="1" customHeight="1" x14ac:dyDescent="0.25">
      <c r="B134" s="29" t="s">
        <v>248</v>
      </c>
      <c r="C134" s="7" t="s">
        <v>266</v>
      </c>
      <c r="D134" s="7"/>
      <c r="E134" s="8">
        <f t="shared" si="7"/>
        <v>0</v>
      </c>
      <c r="F134" s="8">
        <v>1</v>
      </c>
      <c r="G134" s="8">
        <v>0</v>
      </c>
      <c r="H134" s="8">
        <v>2</v>
      </c>
      <c r="I134" s="8">
        <v>0</v>
      </c>
      <c r="J134" s="10" t="s">
        <v>165</v>
      </c>
      <c r="K134" s="30">
        <v>119.05</v>
      </c>
    </row>
    <row r="135" spans="1:11" s="4" customFormat="1" ht="15.95" hidden="1" customHeight="1" x14ac:dyDescent="0.25">
      <c r="C135" s="7" t="s">
        <v>121</v>
      </c>
      <c r="D135" s="7"/>
      <c r="E135" s="8">
        <f t="shared" si="7"/>
        <v>0</v>
      </c>
      <c r="F135" s="8">
        <v>1</v>
      </c>
      <c r="G135" s="8">
        <v>1</v>
      </c>
      <c r="H135" s="8"/>
      <c r="I135" s="8">
        <v>0</v>
      </c>
      <c r="J135" s="10" t="s">
        <v>110</v>
      </c>
      <c r="K135" s="30">
        <v>28.57</v>
      </c>
    </row>
    <row r="136" spans="1:11" s="4" customFormat="1" ht="15.95" hidden="1" customHeight="1" x14ac:dyDescent="0.25">
      <c r="C136" s="7" t="s">
        <v>73</v>
      </c>
      <c r="D136" s="7"/>
      <c r="E136" s="8">
        <f t="shared" si="7"/>
        <v>0</v>
      </c>
      <c r="F136" s="8">
        <v>1</v>
      </c>
      <c r="G136" s="8">
        <v>0</v>
      </c>
      <c r="H136" s="8">
        <v>1</v>
      </c>
      <c r="I136" s="8">
        <v>0</v>
      </c>
      <c r="J136" s="10" t="s">
        <v>165</v>
      </c>
      <c r="K136" s="30">
        <v>11.9</v>
      </c>
    </row>
    <row r="137" spans="1:11" s="4" customFormat="1" ht="15.95" hidden="1" customHeight="1" x14ac:dyDescent="0.25">
      <c r="C137" s="7" t="s">
        <v>20</v>
      </c>
      <c r="D137" s="7"/>
      <c r="E137" s="8">
        <f t="shared" si="7"/>
        <v>0</v>
      </c>
      <c r="F137" s="8">
        <v>2</v>
      </c>
      <c r="G137" s="8">
        <v>0.2</v>
      </c>
      <c r="H137" s="8">
        <v>0.2</v>
      </c>
      <c r="I137" s="8">
        <v>0</v>
      </c>
      <c r="J137" s="10" t="s">
        <v>165</v>
      </c>
      <c r="K137" s="30">
        <v>136.9</v>
      </c>
    </row>
    <row r="138" spans="1:11" s="4" customFormat="1" ht="15.95" hidden="1" customHeight="1" x14ac:dyDescent="0.25">
      <c r="C138" s="7" t="s">
        <v>170</v>
      </c>
      <c r="D138" s="7"/>
      <c r="E138" s="8">
        <f t="shared" si="7"/>
        <v>0</v>
      </c>
      <c r="F138" s="8">
        <v>1</v>
      </c>
      <c r="G138" s="8">
        <v>1</v>
      </c>
      <c r="H138" s="8">
        <v>0</v>
      </c>
      <c r="I138" s="8">
        <v>0</v>
      </c>
      <c r="J138" s="10" t="s">
        <v>110</v>
      </c>
      <c r="K138" s="30">
        <v>22.62</v>
      </c>
    </row>
    <row r="139" spans="1:11" s="4" customFormat="1" ht="15.95" hidden="1" customHeight="1" x14ac:dyDescent="0.25">
      <c r="C139" s="7" t="s">
        <v>161</v>
      </c>
      <c r="D139" s="7"/>
      <c r="E139" s="8">
        <f t="shared" si="7"/>
        <v>0</v>
      </c>
      <c r="F139" s="8">
        <v>1</v>
      </c>
      <c r="G139" s="8">
        <v>0.1</v>
      </c>
      <c r="H139" s="8">
        <v>1</v>
      </c>
      <c r="I139" s="8">
        <v>0</v>
      </c>
      <c r="J139" s="10" t="s">
        <v>110</v>
      </c>
      <c r="K139" s="30">
        <v>83.33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32.14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38.1</v>
      </c>
    </row>
    <row r="142" spans="1:11" s="4" customFormat="1" ht="15.95" customHeight="1" x14ac:dyDescent="0.25">
      <c r="A142" s="21" t="s">
        <v>141</v>
      </c>
      <c r="B142" s="4" t="s">
        <v>278</v>
      </c>
      <c r="C142" s="26" t="s">
        <v>204</v>
      </c>
      <c r="D142" s="27">
        <f>SUM(E143:E149)</f>
        <v>958</v>
      </c>
      <c r="E142" s="48"/>
      <c r="F142" s="27"/>
      <c r="G142" s="27"/>
      <c r="H142" s="27"/>
      <c r="I142" s="27"/>
      <c r="J142" s="28"/>
      <c r="K142" s="44"/>
    </row>
    <row r="143" spans="1:11" s="4" customFormat="1" ht="15.95" hidden="1" customHeight="1" x14ac:dyDescent="0.25">
      <c r="C143" s="7" t="s">
        <v>263</v>
      </c>
      <c r="D143" s="7"/>
      <c r="E143" s="8">
        <f t="shared" ref="E143:E149" si="8">I143*K143</f>
        <v>800</v>
      </c>
      <c r="F143" s="8">
        <v>1</v>
      </c>
      <c r="G143" s="8">
        <v>0.2</v>
      </c>
      <c r="H143" s="8">
        <v>0.2</v>
      </c>
      <c r="I143" s="8">
        <v>8</v>
      </c>
      <c r="J143" s="10" t="s">
        <v>165</v>
      </c>
      <c r="K143" s="30">
        <v>100</v>
      </c>
    </row>
    <row r="144" spans="1:11" s="4" customFormat="1" ht="15.95" hidden="1" customHeight="1" x14ac:dyDescent="0.25">
      <c r="C144" s="7" t="s">
        <v>85</v>
      </c>
      <c r="D144" s="7"/>
      <c r="E144" s="8">
        <f t="shared" si="8"/>
        <v>0</v>
      </c>
      <c r="F144" s="8">
        <v>6</v>
      </c>
      <c r="G144" s="8">
        <v>0.2</v>
      </c>
      <c r="H144" s="8">
        <v>1</v>
      </c>
      <c r="I144" s="8">
        <v>0</v>
      </c>
      <c r="J144" s="10" t="s">
        <v>165</v>
      </c>
      <c r="K144" s="30">
        <v>219.05</v>
      </c>
    </row>
    <row r="145" spans="2:11" s="4" customFormat="1" ht="15.95" hidden="1" customHeight="1" x14ac:dyDescent="0.25">
      <c r="C145" s="7" t="s">
        <v>179</v>
      </c>
      <c r="D145" s="7"/>
      <c r="E145" s="8">
        <f t="shared" si="8"/>
        <v>108</v>
      </c>
      <c r="F145" s="8">
        <v>0</v>
      </c>
      <c r="G145" s="8">
        <v>0</v>
      </c>
      <c r="H145" s="8">
        <v>0</v>
      </c>
      <c r="I145" s="8">
        <v>36</v>
      </c>
      <c r="J145" s="10" t="s">
        <v>165</v>
      </c>
      <c r="K145" s="30">
        <v>3</v>
      </c>
    </row>
    <row r="146" spans="2:11" s="4" customFormat="1" ht="15.95" hidden="1" customHeight="1" x14ac:dyDescent="0.25">
      <c r="C146" s="7" t="s">
        <v>52</v>
      </c>
      <c r="D146" s="7"/>
      <c r="E146" s="8">
        <f t="shared" si="8"/>
        <v>50</v>
      </c>
      <c r="F146" s="8">
        <v>0</v>
      </c>
      <c r="G146" s="8">
        <v>0</v>
      </c>
      <c r="H146" s="8">
        <v>0</v>
      </c>
      <c r="I146" s="8">
        <v>2</v>
      </c>
      <c r="J146" s="10" t="s">
        <v>165</v>
      </c>
      <c r="K146" s="30">
        <v>25</v>
      </c>
    </row>
    <row r="147" spans="2:11" s="4" customFormat="1" ht="15.95" hidden="1" customHeight="1" x14ac:dyDescent="0.25">
      <c r="B147" s="29" t="s">
        <v>248</v>
      </c>
      <c r="C147" s="7" t="s">
        <v>71</v>
      </c>
      <c r="D147" s="7"/>
      <c r="E147" s="8">
        <f t="shared" si="8"/>
        <v>0</v>
      </c>
      <c r="F147" s="8">
        <v>0.5</v>
      </c>
      <c r="G147" s="8">
        <v>0.5</v>
      </c>
      <c r="H147" s="8"/>
      <c r="I147" s="8">
        <v>0</v>
      </c>
      <c r="J147" s="10" t="s">
        <v>110</v>
      </c>
      <c r="K147" s="30">
        <v>25</v>
      </c>
    </row>
    <row r="148" spans="2:11" s="4" customFormat="1" ht="15.95" hidden="1" customHeight="1" x14ac:dyDescent="0.25">
      <c r="C148" s="7" t="s">
        <v>90</v>
      </c>
      <c r="D148" s="7"/>
      <c r="E148" s="8">
        <f t="shared" si="8"/>
        <v>0</v>
      </c>
      <c r="F148" s="8"/>
      <c r="G148" s="8"/>
      <c r="H148" s="8"/>
      <c r="I148" s="8">
        <v>0</v>
      </c>
      <c r="J148" s="10" t="s">
        <v>165</v>
      </c>
      <c r="K148" s="30">
        <v>25</v>
      </c>
    </row>
    <row r="149" spans="2:11" s="4" customFormat="1" ht="15.95" hidden="1" customHeight="1" x14ac:dyDescent="0.25">
      <c r="C149" s="7" t="s">
        <v>247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165</v>
      </c>
      <c r="K149" s="30">
        <v>20</v>
      </c>
    </row>
    <row r="150" spans="2:11" s="4" customFormat="1" ht="15.95" customHeight="1" x14ac:dyDescent="0.25">
      <c r="C150" s="26" t="s">
        <v>131</v>
      </c>
      <c r="D150" s="27">
        <f>SUM(E151:E163)</f>
        <v>2253.2800000000002</v>
      </c>
      <c r="E150" s="48"/>
      <c r="F150" s="27"/>
      <c r="G150" s="27"/>
      <c r="H150" s="27"/>
      <c r="I150" s="27"/>
      <c r="J150" s="28"/>
      <c r="K150" s="44"/>
    </row>
    <row r="151" spans="2:11" s="4" customFormat="1" ht="15.95" hidden="1" customHeight="1" x14ac:dyDescent="0.25">
      <c r="B151" s="29" t="s">
        <v>248</v>
      </c>
      <c r="C151" s="7" t="s">
        <v>19</v>
      </c>
      <c r="D151" s="7"/>
      <c r="E151" s="8">
        <f t="shared" ref="E151:E163" si="9">I151*K151</f>
        <v>142.80000000000001</v>
      </c>
      <c r="F151" s="8"/>
      <c r="G151" s="8"/>
      <c r="H151" s="8"/>
      <c r="I151" s="8">
        <v>12</v>
      </c>
      <c r="J151" s="10" t="s">
        <v>165</v>
      </c>
      <c r="K151" s="30">
        <v>11.9</v>
      </c>
    </row>
    <row r="152" spans="2:11" s="4" customFormat="1" ht="15.95" hidden="1" customHeight="1" x14ac:dyDescent="0.25">
      <c r="B152" s="29" t="s">
        <v>248</v>
      </c>
      <c r="C152" s="7" t="s">
        <v>61</v>
      </c>
      <c r="D152" s="7"/>
      <c r="E152" s="8">
        <f t="shared" si="9"/>
        <v>200</v>
      </c>
      <c r="F152" s="8"/>
      <c r="G152" s="8"/>
      <c r="H152" s="8"/>
      <c r="I152" s="8">
        <v>4</v>
      </c>
      <c r="J152" s="10" t="s">
        <v>165</v>
      </c>
      <c r="K152" s="30">
        <v>50</v>
      </c>
    </row>
    <row r="153" spans="2:11" s="4" customFormat="1" ht="15.95" hidden="1" customHeight="1" x14ac:dyDescent="0.25">
      <c r="B153" s="29" t="s">
        <v>248</v>
      </c>
      <c r="C153" s="7" t="s">
        <v>62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165</v>
      </c>
      <c r="K153" s="30">
        <v>65</v>
      </c>
    </row>
    <row r="154" spans="2:11" s="4" customFormat="1" ht="15.95" hidden="1" customHeight="1" x14ac:dyDescent="0.25">
      <c r="C154" s="7" t="s">
        <v>81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165</v>
      </c>
      <c r="K154" s="30">
        <v>23.81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165</v>
      </c>
      <c r="K155" s="30">
        <v>14.29</v>
      </c>
    </row>
    <row r="156" spans="2:11" s="4" customFormat="1" ht="15.95" hidden="1" customHeight="1" x14ac:dyDescent="0.25">
      <c r="B156" s="29" t="s">
        <v>248</v>
      </c>
      <c r="C156" s="7" t="s">
        <v>63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165</v>
      </c>
      <c r="K156" s="30">
        <v>10</v>
      </c>
    </row>
    <row r="157" spans="2:11" s="4" customFormat="1" ht="15.95" hidden="1" customHeight="1" x14ac:dyDescent="0.25">
      <c r="B157" s="29" t="s">
        <v>248</v>
      </c>
      <c r="C157" s="7" t="s">
        <v>18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C158" s="7" t="s">
        <v>50</v>
      </c>
      <c r="D158" s="7"/>
      <c r="E158" s="8">
        <f t="shared" si="9"/>
        <v>100</v>
      </c>
      <c r="F158" s="12"/>
      <c r="G158" s="12"/>
      <c r="H158" s="12"/>
      <c r="I158" s="8">
        <v>20</v>
      </c>
      <c r="J158" s="10" t="s">
        <v>165</v>
      </c>
      <c r="K158" s="30">
        <v>5</v>
      </c>
    </row>
    <row r="159" spans="2:11" s="4" customFormat="1" ht="15.95" hidden="1" customHeight="1" x14ac:dyDescent="0.25">
      <c r="B159" s="29" t="s">
        <v>248</v>
      </c>
      <c r="C159" s="7" t="s">
        <v>17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165</v>
      </c>
      <c r="K159" s="30">
        <v>11.9</v>
      </c>
    </row>
    <row r="160" spans="2:11" s="4" customFormat="1" ht="15.95" hidden="1" customHeight="1" x14ac:dyDescent="0.25">
      <c r="C160" s="7" t="s">
        <v>55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165</v>
      </c>
      <c r="K160" s="30">
        <v>4.76</v>
      </c>
    </row>
    <row r="161" spans="3:11" s="4" customFormat="1" ht="15.95" hidden="1" customHeight="1" x14ac:dyDescent="0.25">
      <c r="C161" s="7" t="s">
        <v>16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165</v>
      </c>
      <c r="K161" s="30">
        <v>2.38</v>
      </c>
    </row>
    <row r="162" spans="3:11" ht="15.95" hidden="1" customHeight="1" x14ac:dyDescent="0.25">
      <c r="C162" s="7" t="s">
        <v>187</v>
      </c>
      <c r="D162" s="7"/>
      <c r="E162" s="8">
        <f t="shared" si="9"/>
        <v>1620</v>
      </c>
      <c r="F162" s="8"/>
      <c r="G162" s="8"/>
      <c r="H162" s="8"/>
      <c r="I162" s="8">
        <v>400</v>
      </c>
      <c r="J162" s="10" t="s">
        <v>149</v>
      </c>
      <c r="K162" s="30">
        <v>4.05</v>
      </c>
    </row>
    <row r="163" spans="3:11" s="4" customFormat="1" ht="15.95" hidden="1" customHeight="1" x14ac:dyDescent="0.25">
      <c r="C163" s="7" t="s">
        <v>157</v>
      </c>
      <c r="D163" s="7"/>
      <c r="E163" s="8">
        <f t="shared" si="9"/>
        <v>190.48</v>
      </c>
      <c r="F163" s="8"/>
      <c r="G163" s="8"/>
      <c r="H163" s="8"/>
      <c r="I163" s="8">
        <v>1</v>
      </c>
      <c r="J163" s="10" t="s">
        <v>165</v>
      </c>
      <c r="K163" s="30">
        <v>190.48</v>
      </c>
    </row>
    <row r="164" spans="3:11" s="4" customFormat="1" ht="15.95" customHeight="1" x14ac:dyDescent="0.25">
      <c r="C164" s="26" t="s">
        <v>205</v>
      </c>
      <c r="D164" s="27">
        <f>SUM(E165:E206)</f>
        <v>1286</v>
      </c>
      <c r="E164" s="48"/>
      <c r="F164" s="27"/>
      <c r="G164" s="27"/>
      <c r="H164" s="27"/>
      <c r="I164" s="27"/>
      <c r="J164" s="28"/>
      <c r="K164" s="44"/>
    </row>
    <row r="165" spans="3:11" s="4" customFormat="1" ht="15.95" hidden="1" customHeight="1" x14ac:dyDescent="0.25">
      <c r="C165" s="7" t="s">
        <v>15</v>
      </c>
      <c r="D165" s="7"/>
      <c r="E165" s="8">
        <f t="shared" ref="E165:E206" si="10">I165*K165</f>
        <v>495</v>
      </c>
      <c r="F165" s="12"/>
      <c r="G165" s="12"/>
      <c r="H165" s="12"/>
      <c r="I165" s="8">
        <v>33</v>
      </c>
      <c r="J165" s="10" t="s">
        <v>165</v>
      </c>
      <c r="K165" s="30">
        <v>15</v>
      </c>
    </row>
    <row r="166" spans="3:11" s="4" customFormat="1" ht="15.95" hidden="1" customHeight="1" x14ac:dyDescent="0.25">
      <c r="C166" s="7" t="s">
        <v>14</v>
      </c>
      <c r="D166" s="7"/>
      <c r="E166" s="8">
        <f t="shared" si="10"/>
        <v>0</v>
      </c>
      <c r="F166" s="12"/>
      <c r="G166" s="12"/>
      <c r="H166" s="12"/>
      <c r="I166" s="8">
        <v>0</v>
      </c>
      <c r="J166" s="10" t="s">
        <v>165</v>
      </c>
      <c r="K166" s="30">
        <v>12</v>
      </c>
    </row>
    <row r="167" spans="3:11" s="4" customFormat="1" ht="15.95" hidden="1" customHeight="1" x14ac:dyDescent="0.25">
      <c r="C167" s="7" t="s">
        <v>13</v>
      </c>
      <c r="D167" s="7"/>
      <c r="E167" s="8">
        <f t="shared" si="10"/>
        <v>0</v>
      </c>
      <c r="F167" s="12"/>
      <c r="G167" s="12"/>
      <c r="H167" s="12"/>
      <c r="I167" s="8">
        <v>0</v>
      </c>
      <c r="J167" s="10" t="s">
        <v>165</v>
      </c>
      <c r="K167" s="30">
        <v>20</v>
      </c>
    </row>
    <row r="168" spans="3:11" s="4" customFormat="1" ht="15.95" hidden="1" customHeight="1" x14ac:dyDescent="0.25">
      <c r="C168" s="7" t="s">
        <v>12</v>
      </c>
      <c r="D168" s="7"/>
      <c r="E168" s="8">
        <f t="shared" si="10"/>
        <v>90</v>
      </c>
      <c r="F168" s="12"/>
      <c r="G168" s="12"/>
      <c r="H168" s="12"/>
      <c r="I168" s="8">
        <v>6</v>
      </c>
      <c r="J168" s="10" t="s">
        <v>165</v>
      </c>
      <c r="K168" s="30">
        <v>15</v>
      </c>
    </row>
    <row r="169" spans="3:11" s="4" customFormat="1" ht="15.95" hidden="1" customHeight="1" x14ac:dyDescent="0.25">
      <c r="C169" s="7" t="s">
        <v>80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178</v>
      </c>
      <c r="D170" s="7"/>
      <c r="E170" s="8">
        <f t="shared" si="10"/>
        <v>0</v>
      </c>
      <c r="F170" s="12">
        <v>2.4</v>
      </c>
      <c r="G170" s="12">
        <v>0.7</v>
      </c>
      <c r="H170" s="12">
        <v>1</v>
      </c>
      <c r="I170" s="8">
        <v>0</v>
      </c>
      <c r="J170" s="10" t="s">
        <v>165</v>
      </c>
      <c r="K170" s="30">
        <v>385</v>
      </c>
    </row>
    <row r="171" spans="3:11" s="4" customFormat="1" ht="15.95" hidden="1" customHeight="1" x14ac:dyDescent="0.25">
      <c r="C171" s="7" t="s">
        <v>79</v>
      </c>
      <c r="D171" s="7"/>
      <c r="E171" s="8">
        <f t="shared" si="10"/>
        <v>0</v>
      </c>
      <c r="F171" s="12">
        <v>2</v>
      </c>
      <c r="G171" s="12">
        <v>0.4</v>
      </c>
      <c r="H171" s="12">
        <v>0.75</v>
      </c>
      <c r="I171" s="8">
        <v>0</v>
      </c>
      <c r="J171" s="10" t="s">
        <v>165</v>
      </c>
      <c r="K171" s="30">
        <v>130</v>
      </c>
    </row>
    <row r="172" spans="3:11" s="4" customFormat="1" ht="15.95" hidden="1" customHeight="1" x14ac:dyDescent="0.25">
      <c r="C172" s="7" t="s">
        <v>78</v>
      </c>
      <c r="D172" s="7"/>
      <c r="E172" s="8">
        <f t="shared" si="10"/>
        <v>0</v>
      </c>
      <c r="F172" s="12">
        <v>1.5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230</v>
      </c>
    </row>
    <row r="173" spans="3:11" s="4" customFormat="1" ht="15.95" hidden="1" customHeight="1" x14ac:dyDescent="0.25">
      <c r="C173" s="7" t="s">
        <v>11</v>
      </c>
      <c r="D173" s="7"/>
      <c r="E173" s="8">
        <f t="shared" si="10"/>
        <v>130</v>
      </c>
      <c r="F173" s="12"/>
      <c r="G173" s="12"/>
      <c r="H173" s="12"/>
      <c r="I173" s="8">
        <v>2</v>
      </c>
      <c r="J173" s="10" t="s">
        <v>165</v>
      </c>
      <c r="K173" s="30">
        <v>65</v>
      </c>
    </row>
    <row r="174" spans="3:11" s="4" customFormat="1" ht="15.95" hidden="1" customHeight="1" x14ac:dyDescent="0.25">
      <c r="C174" s="7" t="s">
        <v>10</v>
      </c>
      <c r="D174" s="7"/>
      <c r="E174" s="8">
        <f t="shared" si="10"/>
        <v>85</v>
      </c>
      <c r="F174" s="12"/>
      <c r="G174" s="12"/>
      <c r="H174" s="12"/>
      <c r="I174" s="8">
        <v>1</v>
      </c>
      <c r="J174" s="10" t="s">
        <v>165</v>
      </c>
      <c r="K174" s="30">
        <v>85</v>
      </c>
    </row>
    <row r="175" spans="3:11" s="4" customFormat="1" ht="15.95" hidden="1" customHeight="1" x14ac:dyDescent="0.25">
      <c r="C175" s="7" t="s">
        <v>9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165</v>
      </c>
      <c r="K175" s="30">
        <v>120</v>
      </c>
    </row>
    <row r="176" spans="3:11" s="4" customFormat="1" ht="15.95" hidden="1" customHeight="1" x14ac:dyDescent="0.25">
      <c r="C176" s="7" t="s">
        <v>8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165</v>
      </c>
      <c r="K176" s="30">
        <v>10</v>
      </c>
    </row>
    <row r="177" spans="3:11" s="4" customFormat="1" ht="15.95" hidden="1" customHeight="1" x14ac:dyDescent="0.25">
      <c r="C177" s="7" t="s">
        <v>7</v>
      </c>
      <c r="D177" s="7"/>
      <c r="E177" s="8">
        <f t="shared" si="10"/>
        <v>40</v>
      </c>
      <c r="F177" s="12"/>
      <c r="G177" s="12"/>
      <c r="H177" s="12"/>
      <c r="I177" s="8">
        <v>5</v>
      </c>
      <c r="J177" s="10" t="s">
        <v>165</v>
      </c>
      <c r="K177" s="30">
        <v>8</v>
      </c>
    </row>
    <row r="178" spans="3:11" s="4" customFormat="1" ht="15.95" hidden="1" customHeight="1" x14ac:dyDescent="0.25">
      <c r="C178" s="7" t="s">
        <v>6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165</v>
      </c>
      <c r="K178" s="30">
        <v>15</v>
      </c>
    </row>
    <row r="179" spans="3:11" s="4" customFormat="1" ht="15.95" hidden="1" customHeight="1" x14ac:dyDescent="0.25">
      <c r="C179" s="7" t="s">
        <v>189</v>
      </c>
      <c r="D179" s="7"/>
      <c r="E179" s="8">
        <f t="shared" si="10"/>
        <v>70</v>
      </c>
      <c r="F179" s="12"/>
      <c r="G179" s="12"/>
      <c r="H179" s="12"/>
      <c r="I179" s="8">
        <v>2</v>
      </c>
      <c r="J179" s="10" t="s">
        <v>165</v>
      </c>
      <c r="K179" s="30">
        <v>35</v>
      </c>
    </row>
    <row r="180" spans="3:11" s="4" customFormat="1" ht="15.95" hidden="1" customHeight="1" x14ac:dyDescent="0.25">
      <c r="C180" s="7" t="s">
        <v>60</v>
      </c>
      <c r="D180" s="7"/>
      <c r="E180" s="8">
        <f t="shared" si="10"/>
        <v>0</v>
      </c>
      <c r="F180" s="12"/>
      <c r="G180" s="12"/>
      <c r="H180" s="12"/>
      <c r="I180" s="8">
        <v>0</v>
      </c>
      <c r="J180" s="10" t="s">
        <v>165</v>
      </c>
      <c r="K180" s="30">
        <v>85</v>
      </c>
    </row>
    <row r="181" spans="3:11" s="4" customFormat="1" ht="15.95" hidden="1" customHeight="1" x14ac:dyDescent="0.25">
      <c r="C181" s="7" t="s">
        <v>57</v>
      </c>
      <c r="D181" s="7"/>
      <c r="E181" s="8">
        <f t="shared" si="10"/>
        <v>35</v>
      </c>
      <c r="F181" s="12"/>
      <c r="G181" s="12"/>
      <c r="H181" s="12"/>
      <c r="I181" s="8">
        <v>1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59</v>
      </c>
      <c r="D182" s="7"/>
      <c r="E182" s="8">
        <f t="shared" si="10"/>
        <v>0</v>
      </c>
      <c r="F182" s="12"/>
      <c r="G182" s="12"/>
      <c r="H182" s="12"/>
      <c r="I182" s="8">
        <v>0</v>
      </c>
      <c r="J182" s="10" t="s">
        <v>165</v>
      </c>
      <c r="K182" s="30">
        <v>25</v>
      </c>
    </row>
    <row r="183" spans="3:11" s="4" customFormat="1" ht="15.95" hidden="1" customHeight="1" x14ac:dyDescent="0.25">
      <c r="C183" s="7" t="s">
        <v>134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47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165</v>
      </c>
      <c r="K184" s="30">
        <v>12</v>
      </c>
    </row>
    <row r="185" spans="3:11" s="4" customFormat="1" ht="15.95" hidden="1" customHeight="1" x14ac:dyDescent="0.25">
      <c r="C185" s="7" t="s">
        <v>271</v>
      </c>
      <c r="D185" s="7"/>
      <c r="E185" s="8">
        <f t="shared" si="10"/>
        <v>25</v>
      </c>
      <c r="F185" s="12"/>
      <c r="G185" s="12"/>
      <c r="H185" s="12"/>
      <c r="I185" s="8">
        <v>1</v>
      </c>
      <c r="J185" s="10" t="s">
        <v>165</v>
      </c>
      <c r="K185" s="30">
        <v>25</v>
      </c>
    </row>
    <row r="186" spans="3:11" s="4" customFormat="1" ht="15.95" hidden="1" customHeight="1" x14ac:dyDescent="0.25">
      <c r="C186" s="7" t="s">
        <v>53</v>
      </c>
      <c r="D186" s="7"/>
      <c r="E186" s="8">
        <f t="shared" si="10"/>
        <v>150</v>
      </c>
      <c r="F186" s="12"/>
      <c r="G186" s="12"/>
      <c r="H186" s="12"/>
      <c r="I186" s="8">
        <v>1</v>
      </c>
      <c r="J186" s="10" t="s">
        <v>165</v>
      </c>
      <c r="K186" s="30">
        <v>150</v>
      </c>
    </row>
    <row r="187" spans="3:11" s="4" customFormat="1" ht="15.95" hidden="1" customHeight="1" x14ac:dyDescent="0.25">
      <c r="C187" s="7" t="s">
        <v>206</v>
      </c>
      <c r="D187" s="7"/>
      <c r="E187" s="8">
        <f t="shared" si="10"/>
        <v>30</v>
      </c>
      <c r="F187" s="8"/>
      <c r="G187" s="8"/>
      <c r="H187" s="8"/>
      <c r="I187" s="8">
        <v>2</v>
      </c>
      <c r="J187" s="10" t="s">
        <v>165</v>
      </c>
      <c r="K187" s="30">
        <v>15</v>
      </c>
    </row>
    <row r="188" spans="3:11" s="4" customFormat="1" ht="15.95" hidden="1" customHeight="1" x14ac:dyDescent="0.25">
      <c r="C188" s="7" t="s">
        <v>158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165</v>
      </c>
      <c r="K189" s="30">
        <v>600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8"/>
      <c r="G190" s="8"/>
      <c r="H190" s="8"/>
      <c r="I190" s="8">
        <v>0</v>
      </c>
      <c r="J190" s="10" t="s">
        <v>165</v>
      </c>
      <c r="K190" s="30">
        <v>85</v>
      </c>
    </row>
    <row r="191" spans="3:11" s="4" customFormat="1" ht="15.95" hidden="1" customHeight="1" x14ac:dyDescent="0.25">
      <c r="C191" s="7" t="s">
        <v>256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165</v>
      </c>
      <c r="K191" s="30">
        <v>210</v>
      </c>
    </row>
    <row r="192" spans="3:11" s="4" customFormat="1" ht="15.95" hidden="1" customHeight="1" x14ac:dyDescent="0.25">
      <c r="C192" s="7" t="s">
        <v>86</v>
      </c>
      <c r="D192" s="7"/>
      <c r="E192" s="8">
        <f t="shared" si="10"/>
        <v>16</v>
      </c>
      <c r="F192" s="8"/>
      <c r="G192" s="8"/>
      <c r="H192" s="8"/>
      <c r="I192" s="8">
        <v>2</v>
      </c>
      <c r="J192" s="10" t="s">
        <v>165</v>
      </c>
      <c r="K192" s="30">
        <v>8</v>
      </c>
    </row>
    <row r="193" spans="2:11" s="4" customFormat="1" ht="15.95" hidden="1" customHeight="1" x14ac:dyDescent="0.25">
      <c r="C193" s="7" t="s">
        <v>72</v>
      </c>
      <c r="D193" s="7"/>
      <c r="E193" s="8">
        <f t="shared" si="10"/>
        <v>0</v>
      </c>
      <c r="F193" s="8"/>
      <c r="G193" s="8"/>
      <c r="H193" s="8"/>
      <c r="I193" s="8">
        <v>0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83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B195" s="29" t="s">
        <v>248</v>
      </c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165</v>
      </c>
      <c r="K195" s="30">
        <v>25</v>
      </c>
    </row>
    <row r="196" spans="2:11" s="4" customFormat="1" ht="15.95" hidden="1" customHeight="1" x14ac:dyDescent="0.25">
      <c r="C196" s="7" t="s">
        <v>87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165</v>
      </c>
      <c r="K196" s="30">
        <v>85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165</v>
      </c>
      <c r="K197" s="30">
        <v>15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165</v>
      </c>
      <c r="K198" s="30">
        <v>5</v>
      </c>
    </row>
    <row r="199" spans="2:11" s="4" customFormat="1" ht="15.95" hidden="1" customHeight="1" x14ac:dyDescent="0.25">
      <c r="C199" s="7" t="s">
        <v>91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165</v>
      </c>
      <c r="K199" s="30">
        <v>12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165</v>
      </c>
      <c r="K200" s="30">
        <v>25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165</v>
      </c>
      <c r="K201" s="30">
        <v>20</v>
      </c>
    </row>
    <row r="202" spans="2:11" s="4" customFormat="1" ht="15.95" hidden="1" customHeight="1" x14ac:dyDescent="0.25">
      <c r="C202" s="7" t="s">
        <v>120</v>
      </c>
      <c r="D202" s="7"/>
      <c r="E202" s="8">
        <f t="shared" si="10"/>
        <v>120</v>
      </c>
      <c r="F202" s="8"/>
      <c r="G202" s="8"/>
      <c r="H202" s="8"/>
      <c r="I202" s="8">
        <v>20</v>
      </c>
      <c r="J202" s="10" t="s">
        <v>165</v>
      </c>
      <c r="K202" s="30">
        <v>6</v>
      </c>
    </row>
    <row r="203" spans="2:11" s="4" customFormat="1" ht="15.95" hidden="1" customHeight="1" x14ac:dyDescent="0.25">
      <c r="C203" s="7" t="s">
        <v>122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165</v>
      </c>
      <c r="K203" s="30">
        <v>3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165</v>
      </c>
      <c r="K204" s="30">
        <v>35</v>
      </c>
    </row>
    <row r="205" spans="2:11" s="4" customFormat="1" ht="15.95" hidden="1" customHeight="1" x14ac:dyDescent="0.25">
      <c r="C205" s="7" t="s">
        <v>246</v>
      </c>
      <c r="D205" s="7"/>
      <c r="E205" s="8">
        <f t="shared" si="10"/>
        <v>0</v>
      </c>
      <c r="F205" s="8">
        <v>0.5</v>
      </c>
      <c r="G205" s="8">
        <v>0.5</v>
      </c>
      <c r="H205" s="8">
        <v>0.5</v>
      </c>
      <c r="I205" s="8">
        <v>0</v>
      </c>
      <c r="J205" s="10" t="s">
        <v>165</v>
      </c>
      <c r="K205" s="30">
        <v>20</v>
      </c>
    </row>
    <row r="206" spans="2:11" s="4" customFormat="1" ht="15.95" hidden="1" customHeight="1" x14ac:dyDescent="0.25">
      <c r="C206" s="7" t="s">
        <v>245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165</v>
      </c>
      <c r="K206" s="30">
        <v>85</v>
      </c>
    </row>
    <row r="207" spans="2:11" s="4" customFormat="1" ht="15.95" customHeight="1" x14ac:dyDescent="0.25">
      <c r="C207" s="26" t="s">
        <v>182</v>
      </c>
      <c r="D207" s="27">
        <f>SUM(E208:E218)</f>
        <v>1722.88</v>
      </c>
      <c r="E207" s="48"/>
      <c r="F207" s="27"/>
      <c r="G207" s="27"/>
      <c r="H207" s="27"/>
      <c r="I207" s="27"/>
      <c r="J207" s="28"/>
      <c r="K207" s="44"/>
    </row>
    <row r="208" spans="2:11" s="4" customFormat="1" ht="15.95" hidden="1" customHeight="1" x14ac:dyDescent="0.25">
      <c r="C208" s="7" t="s">
        <v>243</v>
      </c>
      <c r="D208" s="7"/>
      <c r="E208" s="8">
        <f t="shared" ref="E208:E218" si="11">I208*K208</f>
        <v>0</v>
      </c>
      <c r="F208" s="8">
        <v>1</v>
      </c>
      <c r="G208" s="8">
        <v>1</v>
      </c>
      <c r="H208" s="12"/>
      <c r="I208" s="8">
        <v>0</v>
      </c>
      <c r="J208" s="10" t="s">
        <v>110</v>
      </c>
      <c r="K208" s="30">
        <v>10.71</v>
      </c>
    </row>
    <row r="209" spans="3:11" s="4" customFormat="1" ht="15.95" hidden="1" customHeight="1" x14ac:dyDescent="0.25">
      <c r="C209" s="7" t="s">
        <v>242</v>
      </c>
      <c r="D209" s="7"/>
      <c r="E209" s="8">
        <f t="shared" si="11"/>
        <v>232.20000000000002</v>
      </c>
      <c r="F209" s="8">
        <v>1</v>
      </c>
      <c r="G209" s="8">
        <v>1</v>
      </c>
      <c r="H209" s="12"/>
      <c r="I209" s="8">
        <v>15</v>
      </c>
      <c r="J209" s="10" t="s">
        <v>110</v>
      </c>
      <c r="K209" s="30">
        <v>15.48</v>
      </c>
    </row>
    <row r="210" spans="3:11" s="4" customFormat="1" ht="15.95" hidden="1" customHeight="1" x14ac:dyDescent="0.25">
      <c r="C210" s="7" t="s">
        <v>5</v>
      </c>
      <c r="D210" s="7"/>
      <c r="E210" s="8">
        <f t="shared" si="11"/>
        <v>650.16</v>
      </c>
      <c r="F210" s="8">
        <v>1</v>
      </c>
      <c r="G210" s="8">
        <v>1</v>
      </c>
      <c r="H210" s="12"/>
      <c r="I210" s="8">
        <v>42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190</v>
      </c>
      <c r="D211" s="7"/>
      <c r="E211" s="8">
        <f t="shared" si="11"/>
        <v>78.599999999999994</v>
      </c>
      <c r="F211" s="8">
        <v>1</v>
      </c>
      <c r="G211" s="8">
        <v>1</v>
      </c>
      <c r="H211" s="12"/>
      <c r="I211" s="8">
        <v>6</v>
      </c>
      <c r="J211" s="10" t="s">
        <v>110</v>
      </c>
      <c r="K211" s="30">
        <v>13.1</v>
      </c>
    </row>
    <row r="212" spans="3:11" s="4" customFormat="1" ht="15.95" hidden="1" customHeight="1" x14ac:dyDescent="0.25">
      <c r="C212" s="7" t="s">
        <v>257</v>
      </c>
      <c r="D212" s="7"/>
      <c r="E212" s="8">
        <f t="shared" si="11"/>
        <v>761.92</v>
      </c>
      <c r="F212" s="8">
        <v>1</v>
      </c>
      <c r="G212" s="8">
        <v>1</v>
      </c>
      <c r="H212" s="12"/>
      <c r="I212" s="8">
        <v>8</v>
      </c>
      <c r="J212" s="10" t="s">
        <v>110</v>
      </c>
      <c r="K212" s="30">
        <v>95.24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47.62</v>
      </c>
    </row>
    <row r="214" spans="3:11" s="4" customFormat="1" ht="15.95" hidden="1" customHeight="1" x14ac:dyDescent="0.25">
      <c r="C214" s="7" t="s">
        <v>70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35.71</v>
      </c>
    </row>
    <row r="215" spans="3:11" s="4" customFormat="1" ht="15.95" hidden="1" customHeight="1" x14ac:dyDescent="0.25">
      <c r="C215" s="7" t="s">
        <v>121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28.57</v>
      </c>
    </row>
    <row r="216" spans="3:11" s="4" customFormat="1" ht="15.95" hidden="1" customHeight="1" x14ac:dyDescent="0.25">
      <c r="C216" s="7" t="s">
        <v>51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13.1</v>
      </c>
    </row>
    <row r="217" spans="3:11" s="4" customFormat="1" ht="15.95" hidden="1" customHeight="1" x14ac:dyDescent="0.25">
      <c r="C217" s="7" t="s">
        <v>244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11.9</v>
      </c>
    </row>
    <row r="218" spans="3:11" s="4" customFormat="1" ht="15.95" hidden="1" customHeight="1" x14ac:dyDescent="0.25">
      <c r="C218" s="7" t="s">
        <v>4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10.71</v>
      </c>
    </row>
    <row r="219" spans="3:11" s="4" customFormat="1" ht="15.95" customHeight="1" x14ac:dyDescent="0.25">
      <c r="C219" s="26" t="s">
        <v>181</v>
      </c>
      <c r="D219" s="27">
        <f>SUM(E220:E258)</f>
        <v>6880</v>
      </c>
      <c r="E219" s="48"/>
      <c r="F219" s="27"/>
      <c r="G219" s="27"/>
      <c r="H219" s="27"/>
      <c r="I219" s="27"/>
      <c r="J219" s="28"/>
      <c r="K219" s="44"/>
    </row>
    <row r="220" spans="3:11" s="4" customFormat="1" ht="15.95" hidden="1" customHeight="1" x14ac:dyDescent="0.25">
      <c r="C220" s="7" t="s">
        <v>21</v>
      </c>
      <c r="D220" s="7"/>
      <c r="E220" s="8">
        <f t="shared" ref="E220:E258" si="12">I220*K220</f>
        <v>0</v>
      </c>
      <c r="F220" s="12">
        <v>1.5</v>
      </c>
      <c r="G220" s="12">
        <v>1</v>
      </c>
      <c r="H220" s="12">
        <v>1</v>
      </c>
      <c r="I220" s="8">
        <v>0</v>
      </c>
      <c r="J220" s="10" t="s">
        <v>165</v>
      </c>
      <c r="K220" s="30">
        <v>320</v>
      </c>
    </row>
    <row r="221" spans="3:11" s="4" customFormat="1" ht="15.95" hidden="1" customHeight="1" x14ac:dyDescent="0.25">
      <c r="C221" s="7" t="s">
        <v>212</v>
      </c>
      <c r="D221" s="7"/>
      <c r="E221" s="8">
        <f t="shared" si="12"/>
        <v>0</v>
      </c>
      <c r="F221" s="8"/>
      <c r="G221" s="8"/>
      <c r="H221" s="8"/>
      <c r="I221" s="8">
        <v>0</v>
      </c>
      <c r="J221" s="10" t="s">
        <v>165</v>
      </c>
      <c r="K221" s="30">
        <v>210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165</v>
      </c>
      <c r="K222" s="30">
        <v>180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165</v>
      </c>
      <c r="K224" s="30">
        <v>110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165</v>
      </c>
      <c r="K225" s="30">
        <v>310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165</v>
      </c>
      <c r="K226" s="30">
        <v>160</v>
      </c>
    </row>
    <row r="227" spans="3:11" s="4" customFormat="1" ht="15.95" hidden="1" customHeight="1" x14ac:dyDescent="0.25">
      <c r="C227" s="7" t="s">
        <v>58</v>
      </c>
      <c r="D227" s="7"/>
      <c r="E227" s="8">
        <f t="shared" si="12"/>
        <v>0</v>
      </c>
      <c r="F227" s="12"/>
      <c r="G227" s="12"/>
      <c r="H227" s="12"/>
      <c r="I227" s="8">
        <v>0</v>
      </c>
      <c r="J227" s="10" t="s">
        <v>165</v>
      </c>
      <c r="K227" s="30">
        <v>10</v>
      </c>
    </row>
    <row r="228" spans="3:11" s="4" customFormat="1" ht="15.95" hidden="1" customHeight="1" x14ac:dyDescent="0.25">
      <c r="C228" s="7" t="s">
        <v>221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165</v>
      </c>
      <c r="K228" s="30">
        <v>260</v>
      </c>
    </row>
    <row r="229" spans="3:11" s="4" customFormat="1" ht="15.95" hidden="1" customHeight="1" x14ac:dyDescent="0.25">
      <c r="C229" s="7" t="s">
        <v>3</v>
      </c>
      <c r="D229" s="7"/>
      <c r="E229" s="8">
        <f t="shared" si="12"/>
        <v>0</v>
      </c>
      <c r="F229" s="8"/>
      <c r="G229" s="8"/>
      <c r="H229" s="8"/>
      <c r="I229" s="8">
        <v>0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165</v>
      </c>
      <c r="K230" s="30">
        <v>200</v>
      </c>
    </row>
    <row r="231" spans="3:11" s="4" customFormat="1" ht="15.95" hidden="1" customHeight="1" x14ac:dyDescent="0.25">
      <c r="C231" s="7" t="s">
        <v>1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165</v>
      </c>
      <c r="K231" s="30">
        <v>220</v>
      </c>
    </row>
    <row r="232" spans="3:11" s="4" customFormat="1" ht="15.95" hidden="1" customHeight="1" x14ac:dyDescent="0.25">
      <c r="C232" s="7" t="s">
        <v>180</v>
      </c>
      <c r="D232" s="7"/>
      <c r="E232" s="8">
        <f t="shared" si="12"/>
        <v>220</v>
      </c>
      <c r="F232" s="8"/>
      <c r="G232" s="8"/>
      <c r="H232" s="8"/>
      <c r="I232" s="8">
        <v>1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0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165</v>
      </c>
      <c r="K233" s="30">
        <v>250</v>
      </c>
    </row>
    <row r="234" spans="3:11" s="4" customFormat="1" ht="15.95" hidden="1" customHeight="1" x14ac:dyDescent="0.25">
      <c r="C234" s="7" t="s">
        <v>209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165</v>
      </c>
      <c r="K234" s="30">
        <v>390</v>
      </c>
    </row>
    <row r="235" spans="3:11" s="4" customFormat="1" ht="15.95" hidden="1" customHeight="1" x14ac:dyDescent="0.25">
      <c r="C235" s="7" t="s">
        <v>235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165</v>
      </c>
      <c r="K235" s="30">
        <v>460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165</v>
      </c>
      <c r="K236" s="30">
        <v>850</v>
      </c>
    </row>
    <row r="237" spans="3:11" s="4" customFormat="1" ht="15.95" hidden="1" customHeight="1" x14ac:dyDescent="0.25">
      <c r="C237" s="7" t="s">
        <v>186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165</v>
      </c>
      <c r="K237" s="30">
        <v>1400</v>
      </c>
    </row>
    <row r="238" spans="3:11" s="4" customFormat="1" ht="15.95" hidden="1" customHeight="1" x14ac:dyDescent="0.25">
      <c r="C238" s="7" t="s">
        <v>237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165</v>
      </c>
      <c r="K238" s="30">
        <v>360</v>
      </c>
    </row>
    <row r="239" spans="3:11" s="4" customFormat="1" ht="15.95" hidden="1" customHeight="1" x14ac:dyDescent="0.25">
      <c r="C239" s="7" t="s">
        <v>240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165</v>
      </c>
      <c r="K239" s="30">
        <v>550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165</v>
      </c>
      <c r="K240" s="30">
        <v>580</v>
      </c>
    </row>
    <row r="241" spans="3:11" s="4" customFormat="1" ht="15.95" hidden="1" customHeight="1" x14ac:dyDescent="0.25">
      <c r="C241" s="7" t="s">
        <v>233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165</v>
      </c>
      <c r="K241" s="30">
        <v>680</v>
      </c>
    </row>
    <row r="242" spans="3:11" s="4" customFormat="1" ht="15.95" hidden="1" customHeight="1" x14ac:dyDescent="0.25">
      <c r="C242" s="7" t="s">
        <v>238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165</v>
      </c>
      <c r="K242" s="30">
        <v>750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165</v>
      </c>
      <c r="K243" s="30">
        <v>340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165</v>
      </c>
      <c r="K244" s="30">
        <v>160</v>
      </c>
    </row>
    <row r="245" spans="3:11" s="4" customFormat="1" ht="15.95" hidden="1" customHeight="1" x14ac:dyDescent="0.25">
      <c r="C245" s="7" t="s">
        <v>236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165</v>
      </c>
      <c r="K245" s="30">
        <v>130</v>
      </c>
    </row>
    <row r="246" spans="3:11" s="4" customFormat="1" ht="15.95" hidden="1" customHeight="1" x14ac:dyDescent="0.25">
      <c r="C246" s="7" t="s">
        <v>226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222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165</v>
      </c>
      <c r="K247" s="30">
        <v>400</v>
      </c>
    </row>
    <row r="248" spans="3:11" s="4" customFormat="1" ht="15.95" hidden="1" customHeight="1" x14ac:dyDescent="0.25">
      <c r="C248" s="7" t="s">
        <v>224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165</v>
      </c>
      <c r="K248" s="30">
        <v>260</v>
      </c>
    </row>
    <row r="249" spans="3:11" s="4" customFormat="1" ht="15.95" hidden="1" customHeight="1" x14ac:dyDescent="0.25">
      <c r="C249" s="7" t="s">
        <v>230</v>
      </c>
      <c r="D249" s="7"/>
      <c r="E249" s="8">
        <f t="shared" si="12"/>
        <v>360</v>
      </c>
      <c r="F249" s="8"/>
      <c r="G249" s="8"/>
      <c r="H249" s="8"/>
      <c r="I249" s="8">
        <v>2</v>
      </c>
      <c r="J249" s="10" t="s">
        <v>165</v>
      </c>
      <c r="K249" s="30">
        <v>180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165</v>
      </c>
      <c r="K250" s="30">
        <v>120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165</v>
      </c>
      <c r="K251" s="30">
        <v>220</v>
      </c>
    </row>
    <row r="252" spans="3:11" s="4" customFormat="1" ht="15.95" hidden="1" customHeight="1" x14ac:dyDescent="0.25">
      <c r="C252" s="7" t="s">
        <v>225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165</v>
      </c>
      <c r="K252" s="30">
        <v>230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228</v>
      </c>
      <c r="K253" s="30">
        <v>500</v>
      </c>
    </row>
    <row r="254" spans="3:11" s="4" customFormat="1" ht="15.95" hidden="1" customHeight="1" x14ac:dyDescent="0.25">
      <c r="C254" s="7" t="s">
        <v>229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165</v>
      </c>
      <c r="K254" s="30">
        <v>180</v>
      </c>
    </row>
    <row r="255" spans="3:11" s="4" customFormat="1" ht="15.95" hidden="1" customHeight="1" x14ac:dyDescent="0.25">
      <c r="C255" s="7" t="s">
        <v>223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165</v>
      </c>
      <c r="K255" s="30">
        <v>260</v>
      </c>
    </row>
    <row r="256" spans="3:11" s="4" customFormat="1" ht="15.95" hidden="1" customHeight="1" x14ac:dyDescent="0.25">
      <c r="C256" s="7" t="s">
        <v>218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165</v>
      </c>
      <c r="K256" s="30">
        <v>6500</v>
      </c>
    </row>
    <row r="257" spans="3:11" s="4" customFormat="1" ht="15.95" hidden="1" customHeight="1" x14ac:dyDescent="0.25">
      <c r="C257" s="7" t="s">
        <v>220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165</v>
      </c>
      <c r="K257" s="30">
        <v>8800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2"/>
        <v>6300</v>
      </c>
      <c r="F258" s="8">
        <v>3</v>
      </c>
      <c r="G258" s="8">
        <v>2</v>
      </c>
      <c r="H258" s="8"/>
      <c r="I258" s="8">
        <v>6</v>
      </c>
      <c r="J258" s="10" t="s">
        <v>110</v>
      </c>
      <c r="K258" s="30">
        <v>1050</v>
      </c>
    </row>
    <row r="259" spans="3:11" s="22" customFormat="1" ht="15.95" customHeight="1" x14ac:dyDescent="0.25">
      <c r="C259" s="32" t="s">
        <v>147</v>
      </c>
      <c r="D259" s="33">
        <f>SUM(E260)</f>
        <v>15000</v>
      </c>
      <c r="E259" s="34"/>
      <c r="F259" s="35"/>
      <c r="G259" s="35"/>
      <c r="H259" s="35"/>
      <c r="I259" s="35"/>
      <c r="J259" s="36"/>
      <c r="K259" s="46"/>
    </row>
    <row r="260" spans="3:11" s="22" customFormat="1" ht="15.95" hidden="1" customHeight="1" x14ac:dyDescent="0.25">
      <c r="C260" s="37"/>
      <c r="D260" s="38"/>
      <c r="E260" s="39">
        <f>K260*I260</f>
        <v>15000</v>
      </c>
      <c r="F260" s="24"/>
      <c r="G260" s="24"/>
      <c r="H260" s="24"/>
      <c r="I260" s="24">
        <v>1</v>
      </c>
      <c r="J260" s="25" t="s">
        <v>165</v>
      </c>
      <c r="K260" s="45">
        <v>15000</v>
      </c>
    </row>
    <row r="261" spans="3:11" s="22" customFormat="1" ht="15.95" customHeight="1" x14ac:dyDescent="0.25">
      <c r="C261" s="32" t="s">
        <v>145</v>
      </c>
      <c r="D261" s="33">
        <f>SUM(E262)</f>
        <v>9100</v>
      </c>
      <c r="E261" s="34"/>
      <c r="F261" s="40"/>
      <c r="G261" s="40"/>
      <c r="H261" s="40"/>
      <c r="I261" s="35"/>
      <c r="J261" s="36"/>
      <c r="K261" s="46"/>
    </row>
    <row r="262" spans="3:11" s="22" customFormat="1" ht="15.95" hidden="1" customHeight="1" x14ac:dyDescent="0.25">
      <c r="C262" s="37"/>
      <c r="D262" s="38"/>
      <c r="E262" s="39">
        <f>I262*K262</f>
        <v>9100</v>
      </c>
      <c r="F262" s="41"/>
      <c r="G262" s="41"/>
      <c r="H262" s="41"/>
      <c r="I262" s="24">
        <v>4</v>
      </c>
      <c r="J262" s="25" t="s">
        <v>148</v>
      </c>
      <c r="K262" s="45">
        <v>2275</v>
      </c>
    </row>
    <row r="263" spans="3:11" s="22" customFormat="1" ht="15.95" customHeight="1" x14ac:dyDescent="0.25">
      <c r="C263" s="32" t="s">
        <v>267</v>
      </c>
      <c r="D263" s="33">
        <f>SUM(E264)</f>
        <v>800</v>
      </c>
      <c r="E263" s="34"/>
      <c r="F263" s="40"/>
      <c r="G263" s="40"/>
      <c r="H263" s="40"/>
      <c r="I263" s="35"/>
      <c r="J263" s="36"/>
      <c r="K263" s="46"/>
    </row>
    <row r="264" spans="3:11" s="22" customFormat="1" ht="15.95" hidden="1" customHeight="1" x14ac:dyDescent="0.25">
      <c r="C264" s="37"/>
      <c r="D264" s="38"/>
      <c r="E264" s="39">
        <f>I264*K264</f>
        <v>800</v>
      </c>
      <c r="F264" s="41"/>
      <c r="G264" s="41"/>
      <c r="H264" s="41"/>
      <c r="I264" s="24">
        <v>1</v>
      </c>
      <c r="J264" s="25" t="s">
        <v>165</v>
      </c>
      <c r="K264" s="45">
        <v>800</v>
      </c>
    </row>
    <row r="265" spans="3:11" s="22" customFormat="1" ht="15.95" customHeight="1" x14ac:dyDescent="0.25">
      <c r="C265" s="32" t="s">
        <v>146</v>
      </c>
      <c r="D265" s="33">
        <f>SUM(E266)</f>
        <v>13500</v>
      </c>
      <c r="E265" s="34"/>
      <c r="F265" s="40"/>
      <c r="G265" s="40"/>
      <c r="H265" s="40"/>
      <c r="I265" s="35"/>
      <c r="J265" s="36"/>
      <c r="K265" s="46"/>
    </row>
    <row r="266" spans="3:11" s="22" customFormat="1" ht="15.95" hidden="1" customHeight="1" x14ac:dyDescent="0.25">
      <c r="C266" s="37"/>
      <c r="D266" s="38"/>
      <c r="E266" s="39">
        <f>I266*K266</f>
        <v>13500</v>
      </c>
      <c r="F266" s="41"/>
      <c r="G266" s="41"/>
      <c r="H266" s="41"/>
      <c r="I266" s="24">
        <v>3</v>
      </c>
      <c r="J266" s="25" t="s">
        <v>165</v>
      </c>
      <c r="K266" s="45">
        <v>4500</v>
      </c>
    </row>
    <row r="267" spans="3:11" s="22" customFormat="1" ht="15.95" customHeight="1" x14ac:dyDescent="0.25">
      <c r="C267" s="32" t="s">
        <v>211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6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165</v>
      </c>
      <c r="K268" s="45">
        <v>1200</v>
      </c>
    </row>
    <row r="269" spans="3:11" s="22" customFormat="1" ht="15.95" customHeight="1" x14ac:dyDescent="0.25">
      <c r="C269" s="32" t="s">
        <v>259</v>
      </c>
      <c r="D269" s="33">
        <f>SUM(E270)</f>
        <v>1000</v>
      </c>
      <c r="E269" s="34"/>
      <c r="F269" s="40"/>
      <c r="G269" s="40"/>
      <c r="H269" s="40"/>
      <c r="I269" s="35"/>
      <c r="J269" s="36"/>
      <c r="K269" s="46"/>
    </row>
    <row r="270" spans="3:11" s="22" customFormat="1" ht="15.95" hidden="1" customHeight="1" x14ac:dyDescent="0.25">
      <c r="C270" s="37" t="s">
        <v>281</v>
      </c>
      <c r="D270" s="38"/>
      <c r="E270" s="39">
        <f>I270*K270</f>
        <v>1000</v>
      </c>
      <c r="F270" s="41"/>
      <c r="G270" s="41"/>
      <c r="H270" s="41"/>
      <c r="I270" s="24">
        <v>1</v>
      </c>
      <c r="J270" s="25" t="s">
        <v>165</v>
      </c>
      <c r="K270" s="45">
        <v>1000</v>
      </c>
    </row>
    <row r="271" spans="3:11" ht="15.95" customHeight="1" thickBot="1" x14ac:dyDescent="0.3">
      <c r="C271" s="18" t="s">
        <v>56</v>
      </c>
      <c r="D271" s="14">
        <f>SUM(D2:D270)</f>
        <v>65296.020000000004</v>
      </c>
      <c r="E271" s="15"/>
      <c r="F271" s="50"/>
      <c r="G271" s="50"/>
      <c r="H271" s="50"/>
      <c r="I271" s="50"/>
      <c r="J271" s="50"/>
      <c r="K271" s="50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2026-06-01T11:07:01Z</dcterms:modified>
</cp:coreProperties>
</file>