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Yashashvi Rasayan @ Chemspec 2026\"/>
    </mc:Choice>
  </mc:AlternateContent>
  <xr:revisionPtr revIDLastSave="0" documentId="13_ncr:1_{1FDF956E-5C1A-4CC9-8730-828AD227E1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1" l="1"/>
  <c r="E112" i="1"/>
  <c r="E265" i="1" l="1"/>
  <c r="D264" i="1" s="1"/>
  <c r="E136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9" i="1" l="1"/>
  <c r="D268" i="1" s="1"/>
  <c r="E267" i="1"/>
  <c r="D266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2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<sst xmlns="http://schemas.openxmlformats.org/spreadsheetml/2006/main" count="584" uniqueCount="284">
  <si>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</si>
  <si>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</si>
  <si>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</si>
  <si>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</si>
  <si>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</si>
  <si>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</si>
  <si>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</si>
  <si>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</si>
  <si>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</si>
  <si>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</si>
  <si>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</si>
  <si>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</si>
  <si>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</si>
  <si>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</si>
  <si>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</si>
  <si>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</si>
  <si>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</si>
  <si>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</si>
  <si>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</si>
  <si>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</si>
  <si>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</si>
  <si>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</si>
  <si>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</si>
  <si>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</si>
  <si>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</si>
  <si>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</si>
  <si>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</si>
  <si>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</si>
  <si>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</si>
  <si>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</si>
  <si>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</si>
  <si>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</si>
  <si>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</si>
  <si>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</si>
  <si>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</si>
  <si>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</si>
  <si>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</si>
  <si>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</si>
  <si>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</si>
  <si>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</si>
  <si>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</si>
  <si>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</si>
  <si>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</si>
  <si>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</si>
  <si>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</si>
  <si>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</si>
  <si>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</si>
  <si>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</si>
  <si>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</si>
  <si>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</si>
  <si>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</si>
  <si>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</si>
  <si>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</si>
  <si>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</si>
  <si>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</si>
  <si>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</si>
  <si>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</si>
  <si>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</si>
  <si>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</si>
  <si>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</si>
  <si>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</si>
  <si>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</si>
  <si>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</si>
  <si>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</si>
  <si>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</si>
  <si>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</si>
  <si>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</si>
  <si>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</si>
  <si>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</si>
  <si>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</si>
  <si>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</si>
  <si>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</si>
  <si>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</si>
  <si>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</si>
  <si>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</si>
  <si>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</si>
  <si>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</si>
  <si>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</si>
  <si>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</si>
  <si>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</si>
  <si>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</si>
  <si>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</si>
  <si>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</si>
  <si>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</si>
  <si>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</si>
  <si>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</si>
  <si>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</si>
  <si>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</si>
  <si>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</si>
  <si>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</si>
  <si>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</si>
  <si>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</si>
  <si>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</si>
  <si>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</si>
  <si>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</si>
  <si>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</si>
  <si>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</si>
  <si>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</si>
  <si>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</si>
  <si>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</si>
  <si>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</si>
  <si>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</si>
  <si>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</si>
  <si>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</si>
  <si>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</si>
  <si>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</si>
  <si>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</si>
  <si>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</si>
  <si>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</si>
  <si>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</si>
  <si>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</si>
  <si>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</si>
  <si>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</si>
  <si>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</si>
  <si>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</si>
  <si>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</si>
  <si>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</si>
  <si>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</si>
  <si>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</si>
  <si>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</si>
  <si>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</si>
  <si>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</si>
  <si>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</si>
  <si>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</si>
  <si>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</si>
  <si>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</si>
  <si>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</si>
  <si>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</si>
  <si>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</si>
  <si>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</si>
  <si>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</si>
  <si>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</si>
  <si>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</si>
  <si>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</si>
  <si>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</si>
  <si>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</si>
  <si>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</si>
  <si>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</si>
  <si>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</si>
  <si>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</si>
  <si>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</si>
  <si>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</si>
  <si>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</si>
  <si>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</si>
  <si>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</si>
  <si>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</si>
  <si>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</si>
  <si>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</si>
  <si>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</si>
  <si>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</si>
  <si>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</si>
  <si>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</si>
  <si>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</si>
  <si>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</si>
  <si>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</si>
  <si>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</si>
  <si>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</si>
  <si>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</si>
  <si>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</si>
  <si>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</si>
  <si>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</si>
  <si>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</si>
  <si>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</si>
  <si>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</si>
  <si>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</si>
  <si>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</si>
  <si>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</si>
  <si>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</si>
  <si>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</si>
  <si>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</si>
  <si>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</si>
  <si>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</si>
  <si>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</si>
  <si>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</si>
  <si>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</si>
  <si>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</si>
  <si>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</si>
  <si>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</si>
  <si>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</si>
  <si>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</si>
  <si>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</si>
  <si>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</si>
  <si>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</si>
  <si>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</si>
  <si>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</si>
  <si>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</si>
  <si>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</si>
  <si>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</si>
  <si>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</si>
  <si>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</si>
  <si>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</si>
  <si>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</si>
  <si>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</si>
  <si>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</si>
  <si>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</si>
  <si>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</si>
  <si>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</si>
  <si>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</si>
  <si>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</si>
  <si>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</si>
  <si>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</si>
  <si>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</si>
  <si>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</si>
  <si>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</si>
  <si>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</si>
  <si>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</si>
  <si>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</si>
  <si>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</si>
  <si>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</si>
  <si>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</si>
  <si>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</si>
  <si>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</si>
  <si>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</si>
  <si>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</si>
  <si>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</si>
  <si>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</si>
  <si>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</si>
  <si>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</si>
  <si>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</si>
  <si>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</si>
  <si>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</si>
  <si>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</si>
  <si>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</si>
  <si>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</si>
  <si>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</si>
  <si>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</si>
  <si>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</si>
  <si>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</si>
  <si>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</si>
  <si>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</si>
  <si>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</si>
  <si>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</si>
  <si>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</si>
  <si>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</si>
  <si>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</si>
  <si>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</si>
  <si>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</si>
  <si>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</si>
  <si>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</si>
  <si>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</si>
  <si>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</si>
  <si>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</si>
  <si>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</si>
  <si>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</si>
  <si>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</si>
  <si>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</si>
  <si>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</si>
  <si>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</si>
  <si>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</si>
  <si>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</si>
  <si>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</si>
  <si>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</si>
  <si>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</si>
  <si>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</si>
  <si>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</si>
  <si>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</si>
  <si>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</si>
  <si>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</si>
  <si>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</si>
  <si>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</si>
  <si>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</si>
  <si>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</si>
  <si>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</si>
  <si>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</si>
  <si>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</si>
  <si>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</si>
  <si>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Reception Counter (Roller Painted)- 2.5 x 1.0x 1.0</t>
  </si>
  <si>
    <t>GLASS PARTITION</t>
  </si>
  <si>
    <t>Emergency Transportation</t>
  </si>
  <si>
    <t>Reception Counter (Laminated)- 2.7 x 0.5 x 1.0</t>
  </si>
  <si>
    <t>Podium (Laminated)- 3.0 x 0.5 x 1.0</t>
  </si>
  <si>
    <t>Bar Counter (Laminated)- 4.0 x 0.5 x 1.0</t>
  </si>
  <si>
    <t>L-shape Planter (Laminated)</t>
  </si>
  <si>
    <t>COFFEE TABLE</t>
  </si>
  <si>
    <t>Opt Nr:-  1</t>
  </si>
  <si>
    <t>Date:- 10-03-2026</t>
  </si>
  <si>
    <t>Yashashvi Rasayan Pvt. Ltd</t>
  </si>
  <si>
    <t>CHEMSPEC 2026</t>
  </si>
  <si>
    <t>12M X 9M</t>
  </si>
  <si>
    <t>108 SQM</t>
  </si>
  <si>
    <t>4M</t>
  </si>
  <si>
    <t>Koelnmesse, Germany</t>
  </si>
  <si>
    <t>06 – 07 MAY 2026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</si>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</sst>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1057275</xdr:colOff>
      <xdr:row>269</xdr:row>
      <xdr:rowOff>12765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414123-F687-4538-82F1-5166507B9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812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276</v>
      </c>
      <c r="C2" s="26" t="s">
        <v>150</v>
      </c>
      <c r="D2" s="27">
        <f>SUM(E3:E11)</f>
        <v>308.88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308.88</v>
      </c>
      <c r="F3" s="8"/>
      <c r="G3" s="8"/>
      <c r="H3" s="8"/>
      <c r="I3" s="9">
        <v>108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277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281</v>
      </c>
      <c r="C16" s="26" t="s">
        <v>183</v>
      </c>
      <c r="D16" s="27">
        <f>SUM(E17:E86)</f>
        <v>3293.26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1758.83</v>
      </c>
      <c r="F34" s="8">
        <v>1</v>
      </c>
      <c r="G34" s="8">
        <v>0.1</v>
      </c>
      <c r="H34" s="8">
        <v>4</v>
      </c>
      <c r="I34" s="9">
        <v>19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B52" s="29" t="s">
        <v>248</v>
      </c>
      <c r="C52" s="7" t="s">
        <v>39</v>
      </c>
      <c r="D52" s="7"/>
      <c r="E52" s="8">
        <f t="shared" si="2"/>
        <v>154.28</v>
      </c>
      <c r="F52" s="8">
        <v>1</v>
      </c>
      <c r="G52" s="8">
        <v>0.2</v>
      </c>
      <c r="H52" s="8">
        <v>2.5</v>
      </c>
      <c r="I52" s="9">
        <v>2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962.90000000000009</v>
      </c>
      <c r="F63" s="8">
        <v>1</v>
      </c>
      <c r="G63" s="8">
        <v>0.2</v>
      </c>
      <c r="H63" s="8">
        <v>4</v>
      </c>
      <c r="I63" s="9">
        <v>10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378</v>
      </c>
      <c r="F64" s="8">
        <v>1</v>
      </c>
      <c r="G64" s="8">
        <v>0.2</v>
      </c>
      <c r="H64" s="8">
        <v>4</v>
      </c>
      <c r="I64" s="9">
        <v>3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39.25</v>
      </c>
      <c r="F79" s="24">
        <v>1</v>
      </c>
      <c r="G79" s="24"/>
      <c r="H79" s="24">
        <v>1</v>
      </c>
      <c r="I79" s="44">
        <v>5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282</v>
      </c>
      <c r="C87" s="26" t="s">
        <v>194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263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1000</v>
      </c>
    </row>
    <row r="97" spans="1:11" s="4" customFormat="1" ht="15.95" hidden="1" customHeight="1" x14ac:dyDescent="0.25">
      <c r="B97" s="42"/>
      <c r="C97" s="7" t="s">
        <v>176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165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165</v>
      </c>
      <c r="K98" s="48">
        <v>1166.67</v>
      </c>
    </row>
    <row r="99" spans="1:11" s="4" customFormat="1" ht="15.95" hidden="1" customHeight="1" x14ac:dyDescent="0.25">
      <c r="B99" s="42"/>
      <c r="C99" s="7" t="s">
        <v>132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165</v>
      </c>
      <c r="K99" s="48">
        <v>35.71</v>
      </c>
    </row>
    <row r="100" spans="1:11" s="4" customFormat="1" ht="15.95" hidden="1" customHeight="1" x14ac:dyDescent="0.25">
      <c r="B100" s="29" t="s">
        <v>248</v>
      </c>
      <c r="C100" s="7" t="s">
        <v>113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110</v>
      </c>
      <c r="K100" s="48">
        <v>23.33</v>
      </c>
    </row>
    <row r="101" spans="1:11" s="4" customFormat="1" ht="15.95" hidden="1" customHeight="1" x14ac:dyDescent="0.25">
      <c r="B101" s="29" t="s">
        <v>248</v>
      </c>
      <c r="C101" s="7" t="s">
        <v>115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12.86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11.9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9.52</v>
      </c>
    </row>
    <row r="104" spans="1:11" s="4" customFormat="1" ht="15.95" hidden="1" customHeight="1" x14ac:dyDescent="0.25">
      <c r="C104" s="7" t="s">
        <v>251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110</v>
      </c>
      <c r="K104" s="48">
        <v>15.48</v>
      </c>
    </row>
    <row r="105" spans="1:11" s="4" customFormat="1" ht="15.95" hidden="1" customHeight="1" x14ac:dyDescent="0.25">
      <c r="C105" s="7" t="s">
        <v>114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110</v>
      </c>
      <c r="K105" s="48">
        <v>16.07</v>
      </c>
    </row>
    <row r="106" spans="1:11" s="4" customFormat="1" ht="15.95" hidden="1" customHeight="1" x14ac:dyDescent="0.25">
      <c r="C106" s="7" t="s">
        <v>118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165</v>
      </c>
      <c r="K106" s="48">
        <v>2142.86</v>
      </c>
    </row>
    <row r="107" spans="1:11" s="4" customFormat="1" ht="15.95" hidden="1" customHeight="1" x14ac:dyDescent="0.25">
      <c r="C107" s="7" t="s">
        <v>133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165</v>
      </c>
      <c r="K107" s="48">
        <v>11.9</v>
      </c>
    </row>
    <row r="108" spans="1:11" s="4" customFormat="1" ht="15.95" customHeight="1" x14ac:dyDescent="0.25">
      <c r="A108" s="21" t="s">
        <v>140</v>
      </c>
      <c r="B108" s="4" t="s">
        <v>278</v>
      </c>
      <c r="C108" s="26" t="s">
        <v>195</v>
      </c>
      <c r="D108" s="27">
        <f>SUM(E109:E131)</f>
        <v>1182.55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266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262.86</v>
      </c>
    </row>
    <row r="110" spans="1:11" s="4" customFormat="1" ht="15.95" hidden="1" customHeight="1" x14ac:dyDescent="0.25">
      <c r="C110" s="7" t="s">
        <v>253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564.6</v>
      </c>
    </row>
    <row r="111" spans="1:11" s="4" customFormat="1" ht="15.95" hidden="1" customHeight="1" x14ac:dyDescent="0.25">
      <c r="C111" s="7" t="s">
        <v>269</v>
      </c>
      <c r="D111" s="7"/>
      <c r="E111" s="8">
        <f t="shared" si="5"/>
        <v>358.69</v>
      </c>
      <c r="F111" s="8">
        <v>2.7</v>
      </c>
      <c r="G111" s="8">
        <v>0.5</v>
      </c>
      <c r="H111" s="8">
        <v>1</v>
      </c>
      <c r="I111" s="8">
        <v>1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271</v>
      </c>
      <c r="D112" s="7"/>
      <c r="E112" s="8">
        <f t="shared" ref="E112" si="6">I112*K112</f>
        <v>423.86</v>
      </c>
      <c r="F112" s="8">
        <v>4</v>
      </c>
      <c r="G112" s="8">
        <v>0.5</v>
      </c>
      <c r="H112" s="8">
        <v>1</v>
      </c>
      <c r="I112" s="8">
        <v>1</v>
      </c>
      <c r="J112" s="10" t="s">
        <v>165</v>
      </c>
      <c r="K112" s="30">
        <v>423.86</v>
      </c>
    </row>
    <row r="113" spans="2:11" s="4" customFormat="1" ht="15.95" hidden="1" customHeight="1" x14ac:dyDescent="0.25">
      <c r="C113" s="7" t="s">
        <v>270</v>
      </c>
      <c r="D113" s="7"/>
      <c r="E113" s="8">
        <f t="shared" si="5"/>
        <v>400</v>
      </c>
      <c r="F113" s="8">
        <v>3</v>
      </c>
      <c r="G113" s="8">
        <v>0.5</v>
      </c>
      <c r="H113" s="8">
        <v>1</v>
      </c>
      <c r="I113" s="8">
        <v>1</v>
      </c>
      <c r="J113" s="10" t="s">
        <v>165</v>
      </c>
      <c r="K113" s="30">
        <v>400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302.29000000000002</v>
      </c>
    </row>
    <row r="115" spans="2:11" s="4" customFormat="1" ht="15.95" hidden="1" customHeight="1" x14ac:dyDescent="0.25">
      <c r="C115" s="7" t="s">
        <v>252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604.02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423.86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54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279</v>
      </c>
      <c r="C132" s="26" t="s">
        <v>203</v>
      </c>
      <c r="D132" s="27">
        <f>SUM(E133:E142)</f>
        <v>706.43500000000006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48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si="7"/>
        <v>50</v>
      </c>
      <c r="F134" s="8"/>
      <c r="G134" s="8"/>
      <c r="H134" s="8"/>
      <c r="I134" s="8">
        <v>1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267</v>
      </c>
      <c r="D135" s="7"/>
      <c r="E135" s="8">
        <f t="shared" si="7"/>
        <v>535.72500000000002</v>
      </c>
      <c r="F135" s="8">
        <v>1</v>
      </c>
      <c r="G135" s="8">
        <v>0</v>
      </c>
      <c r="H135" s="8">
        <v>2</v>
      </c>
      <c r="I135" s="8">
        <v>4.5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7"/>
        <v>85.710000000000008</v>
      </c>
      <c r="F136" s="8">
        <v>1</v>
      </c>
      <c r="G136" s="8">
        <v>1</v>
      </c>
      <c r="H136" s="8"/>
      <c r="I136" s="8">
        <v>3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73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280</v>
      </c>
      <c r="C143" s="26" t="s">
        <v>204</v>
      </c>
      <c r="D143" s="27">
        <f>SUM(E144:E150)</f>
        <v>1089.72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272</v>
      </c>
      <c r="D144" s="7"/>
      <c r="E144" s="8">
        <f t="shared" ref="E144:E150" si="8">I144*K144</f>
        <v>847.72</v>
      </c>
      <c r="F144" s="8">
        <v>5</v>
      </c>
      <c r="G144" s="8">
        <v>0.2</v>
      </c>
      <c r="H144" s="8">
        <v>1</v>
      </c>
      <c r="I144" s="8">
        <v>2</v>
      </c>
      <c r="J144" s="10" t="s">
        <v>165</v>
      </c>
      <c r="K144" s="30">
        <v>423.86</v>
      </c>
    </row>
    <row r="145" spans="2:11" s="4" customFormat="1" ht="15.95" hidden="1" customHeight="1" x14ac:dyDescent="0.25">
      <c r="C145" s="7" t="s">
        <v>85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165</v>
      </c>
      <c r="K145" s="30">
        <v>219.05</v>
      </c>
    </row>
    <row r="146" spans="2:11" s="4" customFormat="1" ht="15.95" hidden="1" customHeight="1" x14ac:dyDescent="0.25">
      <c r="C146" s="7" t="s">
        <v>179</v>
      </c>
      <c r="D146" s="7"/>
      <c r="E146" s="8">
        <f t="shared" si="8"/>
        <v>132</v>
      </c>
      <c r="F146" s="8">
        <v>0</v>
      </c>
      <c r="G146" s="8">
        <v>0</v>
      </c>
      <c r="H146" s="8">
        <v>0</v>
      </c>
      <c r="I146" s="8">
        <v>44</v>
      </c>
      <c r="J146" s="10" t="s">
        <v>165</v>
      </c>
      <c r="K146" s="30">
        <v>3</v>
      </c>
    </row>
    <row r="147" spans="2:11" s="4" customFormat="1" ht="15.95" hidden="1" customHeight="1" x14ac:dyDescent="0.25">
      <c r="C147" s="7" t="s">
        <v>52</v>
      </c>
      <c r="D147" s="7"/>
      <c r="E147" s="8">
        <f t="shared" si="8"/>
        <v>50</v>
      </c>
      <c r="F147" s="8">
        <v>0</v>
      </c>
      <c r="G147" s="8">
        <v>0</v>
      </c>
      <c r="H147" s="8">
        <v>0</v>
      </c>
      <c r="I147" s="8">
        <v>2</v>
      </c>
      <c r="J147" s="10" t="s">
        <v>165</v>
      </c>
      <c r="K147" s="30">
        <v>25</v>
      </c>
    </row>
    <row r="148" spans="2:11" s="4" customFormat="1" ht="15.95" hidden="1" customHeight="1" x14ac:dyDescent="0.25">
      <c r="B148" s="29" t="s">
        <v>248</v>
      </c>
      <c r="C148" s="7" t="s">
        <v>71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110</v>
      </c>
      <c r="K148" s="30">
        <v>25</v>
      </c>
    </row>
    <row r="149" spans="2:11" s="4" customFormat="1" ht="15.95" hidden="1" customHeight="1" x14ac:dyDescent="0.25">
      <c r="C149" s="7" t="s">
        <v>90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247</v>
      </c>
      <c r="D150" s="7"/>
      <c r="E150" s="8">
        <f t="shared" si="8"/>
        <v>60</v>
      </c>
      <c r="F150" s="8"/>
      <c r="G150" s="8"/>
      <c r="H150" s="8"/>
      <c r="I150" s="8">
        <v>3</v>
      </c>
      <c r="J150" s="10" t="s">
        <v>165</v>
      </c>
      <c r="K150" s="30">
        <v>20</v>
      </c>
    </row>
    <row r="151" spans="2:11" s="4" customFormat="1" ht="15.95" customHeight="1" x14ac:dyDescent="0.25">
      <c r="C151" s="26" t="s">
        <v>131</v>
      </c>
      <c r="D151" s="27">
        <f>SUM(E152:E164)</f>
        <v>1122.48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248</v>
      </c>
      <c r="C152" s="7" t="s">
        <v>19</v>
      </c>
      <c r="D152" s="7"/>
      <c r="E152" s="8">
        <f t="shared" ref="E152:E164" si="9">I152*K152</f>
        <v>0</v>
      </c>
      <c r="F152" s="8"/>
      <c r="G152" s="8"/>
      <c r="H152" s="8"/>
      <c r="I152" s="8">
        <v>0</v>
      </c>
      <c r="J152" s="10" t="s">
        <v>165</v>
      </c>
      <c r="K152" s="30">
        <v>11.9</v>
      </c>
    </row>
    <row r="153" spans="2:11" s="4" customFormat="1" ht="15.95" hidden="1" customHeight="1" x14ac:dyDescent="0.25">
      <c r="B153" s="29" t="s">
        <v>248</v>
      </c>
      <c r="C153" s="7" t="s">
        <v>61</v>
      </c>
      <c r="D153" s="7"/>
      <c r="E153" s="8">
        <f t="shared" si="9"/>
        <v>250</v>
      </c>
      <c r="F153" s="8"/>
      <c r="G153" s="8"/>
      <c r="H153" s="8"/>
      <c r="I153" s="8">
        <v>5</v>
      </c>
      <c r="J153" s="10" t="s">
        <v>165</v>
      </c>
      <c r="K153" s="30">
        <v>50</v>
      </c>
    </row>
    <row r="154" spans="2:11" s="4" customFormat="1" ht="15.95" hidden="1" customHeight="1" x14ac:dyDescent="0.25">
      <c r="B154" s="29" t="s">
        <v>248</v>
      </c>
      <c r="C154" s="7" t="s">
        <v>62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165</v>
      </c>
      <c r="K154" s="30">
        <v>65</v>
      </c>
    </row>
    <row r="155" spans="2:11" s="4" customFormat="1" ht="15.95" hidden="1" customHeight="1" x14ac:dyDescent="0.25">
      <c r="C155" s="7" t="s">
        <v>81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165</v>
      </c>
      <c r="K155" s="30">
        <v>23.81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165</v>
      </c>
      <c r="K156" s="30">
        <v>14.29</v>
      </c>
    </row>
    <row r="157" spans="2:11" s="4" customFormat="1" ht="15.95" hidden="1" customHeight="1" x14ac:dyDescent="0.25">
      <c r="B157" s="29" t="s">
        <v>248</v>
      </c>
      <c r="C157" s="7" t="s">
        <v>63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B158" s="29" t="s">
        <v>248</v>
      </c>
      <c r="C158" s="7" t="s">
        <v>18</v>
      </c>
      <c r="D158" s="7"/>
      <c r="E158" s="8">
        <f t="shared" si="9"/>
        <v>230</v>
      </c>
      <c r="F158" s="8"/>
      <c r="G158" s="8"/>
      <c r="H158" s="8"/>
      <c r="I158" s="8">
        <v>23</v>
      </c>
      <c r="J158" s="10" t="s">
        <v>165</v>
      </c>
      <c r="K158" s="30">
        <v>10</v>
      </c>
    </row>
    <row r="159" spans="2:11" s="4" customFormat="1" ht="15.95" hidden="1" customHeight="1" x14ac:dyDescent="0.25">
      <c r="C159" s="7" t="s">
        <v>50</v>
      </c>
      <c r="D159" s="7"/>
      <c r="E159" s="8">
        <f t="shared" si="9"/>
        <v>90</v>
      </c>
      <c r="F159" s="12"/>
      <c r="G159" s="12"/>
      <c r="H159" s="12"/>
      <c r="I159" s="8">
        <v>18</v>
      </c>
      <c r="J159" s="10" t="s">
        <v>165</v>
      </c>
      <c r="K159" s="30">
        <v>5</v>
      </c>
    </row>
    <row r="160" spans="2:11" s="4" customFormat="1" ht="15.95" hidden="1" customHeight="1" x14ac:dyDescent="0.25">
      <c r="B160" s="29" t="s">
        <v>248</v>
      </c>
      <c r="C160" s="7" t="s">
        <v>17</v>
      </c>
      <c r="D160" s="7"/>
      <c r="E160" s="8">
        <f t="shared" si="9"/>
        <v>119</v>
      </c>
      <c r="F160" s="8"/>
      <c r="G160" s="8"/>
      <c r="H160" s="8"/>
      <c r="I160" s="8">
        <v>10</v>
      </c>
      <c r="J160" s="10" t="s">
        <v>165</v>
      </c>
      <c r="K160" s="30">
        <v>11.9</v>
      </c>
    </row>
    <row r="161" spans="3:11" s="4" customFormat="1" ht="15.95" hidden="1" customHeight="1" x14ac:dyDescent="0.25">
      <c r="C161" s="7" t="s">
        <v>55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165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165</v>
      </c>
      <c r="K162" s="30">
        <v>2.38</v>
      </c>
    </row>
    <row r="163" spans="3:11" ht="15.95" hidden="1" customHeight="1" x14ac:dyDescent="0.25">
      <c r="C163" s="7" t="s">
        <v>187</v>
      </c>
      <c r="D163" s="7"/>
      <c r="E163" s="8">
        <f t="shared" si="9"/>
        <v>243</v>
      </c>
      <c r="F163" s="8"/>
      <c r="G163" s="8"/>
      <c r="H163" s="8"/>
      <c r="I163" s="8">
        <v>60</v>
      </c>
      <c r="J163" s="10" t="s">
        <v>149</v>
      </c>
      <c r="K163" s="30">
        <v>4.05</v>
      </c>
    </row>
    <row r="164" spans="3:11" s="4" customFormat="1" ht="15.95" hidden="1" customHeight="1" x14ac:dyDescent="0.25">
      <c r="C164" s="7" t="s">
        <v>157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165</v>
      </c>
      <c r="K164" s="30">
        <v>190.48</v>
      </c>
    </row>
    <row r="165" spans="3:11" s="4" customFormat="1" ht="15.95" customHeight="1" x14ac:dyDescent="0.25">
      <c r="C165" s="26" t="s">
        <v>205</v>
      </c>
      <c r="D165" s="27">
        <f>SUM(E166:E207)</f>
        <v>1011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90</v>
      </c>
      <c r="F166" s="12"/>
      <c r="G166" s="12"/>
      <c r="H166" s="12"/>
      <c r="I166" s="8">
        <v>6</v>
      </c>
      <c r="J166" s="10" t="s">
        <v>165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180</v>
      </c>
      <c r="F167" s="12"/>
      <c r="G167" s="12"/>
      <c r="H167" s="12"/>
      <c r="I167" s="8">
        <v>15</v>
      </c>
      <c r="J167" s="10" t="s">
        <v>165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60</v>
      </c>
      <c r="F168" s="12"/>
      <c r="G168" s="12"/>
      <c r="H168" s="12"/>
      <c r="I168" s="8">
        <v>3</v>
      </c>
      <c r="J168" s="10" t="s">
        <v>165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80</v>
      </c>
      <c r="D170" s="7"/>
      <c r="E170" s="8">
        <f t="shared" si="10"/>
        <v>25</v>
      </c>
      <c r="F170" s="12"/>
      <c r="G170" s="12"/>
      <c r="H170" s="12"/>
      <c r="I170" s="8">
        <v>1</v>
      </c>
      <c r="J170" s="10" t="s">
        <v>165</v>
      </c>
      <c r="K170" s="30">
        <v>25</v>
      </c>
    </row>
    <row r="171" spans="3:11" s="4" customFormat="1" ht="15.95" hidden="1" customHeight="1" x14ac:dyDescent="0.25">
      <c r="C171" s="7" t="s">
        <v>178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165</v>
      </c>
      <c r="K171" s="30">
        <v>385</v>
      </c>
    </row>
    <row r="172" spans="3:11" s="4" customFormat="1" ht="15.95" hidden="1" customHeight="1" x14ac:dyDescent="0.25">
      <c r="C172" s="7" t="s">
        <v>79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130</v>
      </c>
    </row>
    <row r="173" spans="3:11" s="4" customFormat="1" ht="15.95" hidden="1" customHeight="1" x14ac:dyDescent="0.25">
      <c r="C173" s="7" t="s">
        <v>78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165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170</v>
      </c>
      <c r="F175" s="12"/>
      <c r="G175" s="12"/>
      <c r="H175" s="12"/>
      <c r="I175" s="8">
        <v>2</v>
      </c>
      <c r="J175" s="10" t="s">
        <v>165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240</v>
      </c>
      <c r="F176" s="12"/>
      <c r="G176" s="12"/>
      <c r="H176" s="12"/>
      <c r="I176" s="8">
        <v>2</v>
      </c>
      <c r="J176" s="10" t="s">
        <v>165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165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40</v>
      </c>
      <c r="F178" s="12"/>
      <c r="G178" s="12"/>
      <c r="H178" s="12"/>
      <c r="I178" s="8">
        <v>5</v>
      </c>
      <c r="J178" s="10" t="s">
        <v>165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189</v>
      </c>
      <c r="D180" s="7"/>
      <c r="E180" s="8">
        <f t="shared" si="10"/>
        <v>105</v>
      </c>
      <c r="F180" s="12"/>
      <c r="G180" s="12"/>
      <c r="H180" s="12"/>
      <c r="I180" s="8">
        <v>3</v>
      </c>
      <c r="J180" s="10" t="s">
        <v>165</v>
      </c>
      <c r="K180" s="30">
        <v>35</v>
      </c>
    </row>
    <row r="181" spans="3:11" s="4" customFormat="1" ht="15.95" hidden="1" customHeight="1" x14ac:dyDescent="0.25">
      <c r="C181" s="7" t="s">
        <v>60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57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165</v>
      </c>
      <c r="K183" s="30">
        <v>25</v>
      </c>
    </row>
    <row r="184" spans="3:11" s="4" customFormat="1" ht="15.95" hidden="1" customHeight="1" x14ac:dyDescent="0.25">
      <c r="C184" s="7" t="s">
        <v>134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165</v>
      </c>
      <c r="K185" s="30">
        <v>12</v>
      </c>
    </row>
    <row r="186" spans="3:11" s="4" customFormat="1" ht="15.95" hidden="1" customHeight="1" x14ac:dyDescent="0.25">
      <c r="C186" s="7" t="s">
        <v>273</v>
      </c>
      <c r="D186" s="7"/>
      <c r="E186" s="8">
        <f t="shared" si="10"/>
        <v>50</v>
      </c>
      <c r="F186" s="12"/>
      <c r="G186" s="12"/>
      <c r="H186" s="12"/>
      <c r="I186" s="8">
        <v>2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53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165</v>
      </c>
      <c r="K187" s="30">
        <v>150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158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165</v>
      </c>
      <c r="K190" s="30">
        <v>600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256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165</v>
      </c>
      <c r="K192" s="30">
        <v>210</v>
      </c>
    </row>
    <row r="193" spans="2:11" s="4" customFormat="1" ht="15.95" hidden="1" customHeight="1" x14ac:dyDescent="0.25">
      <c r="C193" s="7" t="s">
        <v>86</v>
      </c>
      <c r="D193" s="7"/>
      <c r="E193" s="8">
        <f t="shared" si="10"/>
        <v>16</v>
      </c>
      <c r="F193" s="8"/>
      <c r="G193" s="8"/>
      <c r="H193" s="8"/>
      <c r="I193" s="8">
        <v>2</v>
      </c>
      <c r="J193" s="10" t="s">
        <v>165</v>
      </c>
      <c r="K193" s="30">
        <v>8</v>
      </c>
    </row>
    <row r="194" spans="2:11" s="4" customFormat="1" ht="15.95" hidden="1" customHeight="1" x14ac:dyDescent="0.25">
      <c r="C194" s="7" t="s">
        <v>72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83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B196" s="29" t="s">
        <v>248</v>
      </c>
      <c r="C196" s="7" t="s">
        <v>84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165</v>
      </c>
      <c r="K199" s="30">
        <v>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165</v>
      </c>
      <c r="K200" s="30">
        <v>12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165</v>
      </c>
      <c r="K202" s="30">
        <v>20</v>
      </c>
    </row>
    <row r="203" spans="2:11" s="4" customFormat="1" ht="15.95" hidden="1" customHeight="1" x14ac:dyDescent="0.25">
      <c r="C203" s="7" t="s">
        <v>120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165</v>
      </c>
      <c r="K203" s="30">
        <v>6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165</v>
      </c>
      <c r="K204" s="30">
        <v>3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165</v>
      </c>
      <c r="K205" s="30">
        <v>35</v>
      </c>
    </row>
    <row r="206" spans="2:11" s="4" customFormat="1" ht="15.95" hidden="1" customHeight="1" x14ac:dyDescent="0.25">
      <c r="C206" s="7" t="s">
        <v>246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2:11" s="4" customFormat="1" ht="15.95" customHeight="1" x14ac:dyDescent="0.25">
      <c r="C208" s="26" t="s">
        <v>182</v>
      </c>
      <c r="D208" s="27">
        <f>SUM(E209:E219)</f>
        <v>1627.7199999999998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243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110</v>
      </c>
      <c r="K209" s="30">
        <v>10.71</v>
      </c>
    </row>
    <row r="210" spans="3:11" s="4" customFormat="1" ht="15.95" hidden="1" customHeight="1" x14ac:dyDescent="0.25">
      <c r="C210" s="7" t="s">
        <v>242</v>
      </c>
      <c r="D210" s="7"/>
      <c r="E210" s="8">
        <f t="shared" si="11"/>
        <v>944.28</v>
      </c>
      <c r="F210" s="8">
        <v>1</v>
      </c>
      <c r="G210" s="8">
        <v>1</v>
      </c>
      <c r="H210" s="12"/>
      <c r="I210" s="8">
        <v>61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92.88</v>
      </c>
      <c r="F211" s="8">
        <v>1</v>
      </c>
      <c r="G211" s="8">
        <v>1</v>
      </c>
      <c r="H211" s="12"/>
      <c r="I211" s="8">
        <v>6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190</v>
      </c>
      <c r="D212" s="7"/>
      <c r="E212" s="8">
        <f t="shared" si="11"/>
        <v>65.5</v>
      </c>
      <c r="F212" s="8">
        <v>1</v>
      </c>
      <c r="G212" s="8">
        <v>1</v>
      </c>
      <c r="H212" s="12"/>
      <c r="I212" s="8">
        <v>5</v>
      </c>
      <c r="J212" s="10" t="s">
        <v>110</v>
      </c>
      <c r="K212" s="30">
        <v>13.1</v>
      </c>
    </row>
    <row r="213" spans="3:11" s="4" customFormat="1" ht="15.95" hidden="1" customHeight="1" x14ac:dyDescent="0.25">
      <c r="C213" s="7" t="s">
        <v>257</v>
      </c>
      <c r="D213" s="7"/>
      <c r="E213" s="8">
        <f t="shared" si="11"/>
        <v>380.96</v>
      </c>
      <c r="F213" s="8">
        <v>1</v>
      </c>
      <c r="G213" s="8">
        <v>1</v>
      </c>
      <c r="H213" s="12"/>
      <c r="I213" s="8">
        <v>4</v>
      </c>
      <c r="J213" s="10" t="s">
        <v>110</v>
      </c>
      <c r="K213" s="30">
        <v>95.24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47.62</v>
      </c>
    </row>
    <row r="215" spans="3:11" s="4" customFormat="1" ht="15.95" hidden="1" customHeight="1" x14ac:dyDescent="0.25">
      <c r="C215" s="7" t="s">
        <v>70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35.71</v>
      </c>
    </row>
    <row r="216" spans="3:11" s="4" customFormat="1" ht="15.95" hidden="1" customHeight="1" x14ac:dyDescent="0.25">
      <c r="C216" s="7" t="s">
        <v>121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28.57</v>
      </c>
    </row>
    <row r="217" spans="3:11" s="4" customFormat="1" ht="15.95" hidden="1" customHeight="1" x14ac:dyDescent="0.25">
      <c r="C217" s="7" t="s">
        <v>51</v>
      </c>
      <c r="D217" s="7"/>
      <c r="E217" s="8">
        <f t="shared" si="11"/>
        <v>144.1</v>
      </c>
      <c r="F217" s="8">
        <v>1</v>
      </c>
      <c r="G217" s="8">
        <v>1</v>
      </c>
      <c r="H217" s="12"/>
      <c r="I217" s="8">
        <v>11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customHeight="1" x14ac:dyDescent="0.25">
      <c r="C220" s="26" t="s">
        <v>181</v>
      </c>
      <c r="D220" s="27">
        <f>SUM(E221:E259)</f>
        <v>250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165</v>
      </c>
      <c r="K221" s="30">
        <v>320</v>
      </c>
    </row>
    <row r="222" spans="3:11" s="4" customFormat="1" ht="15.95" hidden="1" customHeight="1" x14ac:dyDescent="0.25">
      <c r="C222" s="7" t="s">
        <v>212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165</v>
      </c>
      <c r="K222" s="30">
        <v>210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165</v>
      </c>
      <c r="K225" s="30">
        <v>110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165</v>
      </c>
      <c r="K226" s="30">
        <v>310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165</v>
      </c>
      <c r="K227" s="30">
        <v>160</v>
      </c>
    </row>
    <row r="228" spans="3:11" s="4" customFormat="1" ht="15.95" hidden="1" customHeight="1" x14ac:dyDescent="0.25">
      <c r="C228" s="7" t="s">
        <v>58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165</v>
      </c>
      <c r="K228" s="30">
        <v>10</v>
      </c>
    </row>
    <row r="229" spans="3:11" s="4" customFormat="1" ht="15.95" hidden="1" customHeight="1" x14ac:dyDescent="0.25">
      <c r="C229" s="7" t="s">
        <v>221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165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165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180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250</v>
      </c>
      <c r="F234" s="8"/>
      <c r="G234" s="8"/>
      <c r="H234" s="8"/>
      <c r="I234" s="8">
        <v>1</v>
      </c>
      <c r="J234" s="10" t="s">
        <v>165</v>
      </c>
      <c r="K234" s="30">
        <v>250</v>
      </c>
    </row>
    <row r="235" spans="3:11" s="4" customFormat="1" ht="15.95" hidden="1" customHeight="1" x14ac:dyDescent="0.25">
      <c r="C235" s="7" t="s">
        <v>209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165</v>
      </c>
      <c r="K235" s="30">
        <v>390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165</v>
      </c>
      <c r="K236" s="30">
        <v>460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165</v>
      </c>
      <c r="K237" s="30">
        <v>850</v>
      </c>
    </row>
    <row r="238" spans="3:11" s="4" customFormat="1" ht="15.95" hidden="1" customHeight="1" x14ac:dyDescent="0.25">
      <c r="C238" s="7" t="s">
        <v>186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165</v>
      </c>
      <c r="K238" s="30">
        <v>1400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165</v>
      </c>
      <c r="K239" s="30">
        <v>360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165</v>
      </c>
      <c r="K240" s="30">
        <v>550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165</v>
      </c>
      <c r="K241" s="30">
        <v>580</v>
      </c>
    </row>
    <row r="242" spans="3:11" s="4" customFormat="1" ht="15.95" hidden="1" customHeight="1" x14ac:dyDescent="0.25">
      <c r="C242" s="7" t="s">
        <v>233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165</v>
      </c>
      <c r="K242" s="30">
        <v>680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165</v>
      </c>
      <c r="K243" s="30">
        <v>750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165</v>
      </c>
      <c r="K244" s="30">
        <v>340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226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222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165</v>
      </c>
      <c r="K248" s="30">
        <v>400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165</v>
      </c>
      <c r="K249" s="30">
        <v>260</v>
      </c>
    </row>
    <row r="250" spans="3:11" s="4" customFormat="1" ht="15.95" hidden="1" customHeight="1" x14ac:dyDescent="0.25">
      <c r="C250" s="7" t="s">
        <v>230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165</v>
      </c>
      <c r="K250" s="30">
        <v>180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165</v>
      </c>
      <c r="K251" s="30">
        <v>120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165</v>
      </c>
      <c r="K252" s="30">
        <v>220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165</v>
      </c>
      <c r="K253" s="30">
        <v>230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228</v>
      </c>
      <c r="K254" s="30">
        <v>500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218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165</v>
      </c>
      <c r="K257" s="30">
        <v>6500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165</v>
      </c>
      <c r="K258" s="30">
        <v>8800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165</v>
      </c>
      <c r="K259" s="30">
        <v>1050</v>
      </c>
    </row>
    <row r="260" spans="3:11" s="22" customFormat="1" ht="15.95" customHeight="1" x14ac:dyDescent="0.25">
      <c r="C260" s="32" t="s">
        <v>147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165</v>
      </c>
      <c r="K261" s="48">
        <v>11800</v>
      </c>
    </row>
    <row r="262" spans="3:11" s="22" customFormat="1" ht="15.95" customHeight="1" x14ac:dyDescent="0.25">
      <c r="C262" s="32" t="s">
        <v>145</v>
      </c>
      <c r="D262" s="33">
        <f>SUM(E263)</f>
        <v>5000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5000</v>
      </c>
      <c r="F263" s="41"/>
      <c r="G263" s="41"/>
      <c r="H263" s="41"/>
      <c r="I263" s="24">
        <v>4</v>
      </c>
      <c r="J263" s="25" t="s">
        <v>148</v>
      </c>
      <c r="K263" s="48">
        <v>1250</v>
      </c>
    </row>
    <row r="264" spans="3:11" s="22" customFormat="1" ht="15.95" customHeight="1" x14ac:dyDescent="0.25">
      <c r="C264" s="32" t="s">
        <v>268</v>
      </c>
      <c r="D264" s="33">
        <f>SUM(E265)</f>
        <v>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</v>
      </c>
      <c r="F265" s="41"/>
      <c r="G265" s="41"/>
      <c r="H265" s="41"/>
      <c r="I265" s="24">
        <v>1</v>
      </c>
      <c r="J265" s="25" t="s">
        <v>165</v>
      </c>
      <c r="K265" s="48">
        <v>500</v>
      </c>
    </row>
    <row r="266" spans="3:11" s="22" customFormat="1" ht="15.95" customHeight="1" x14ac:dyDescent="0.25">
      <c r="C266" s="32" t="s">
        <v>146</v>
      </c>
      <c r="D266" s="33">
        <f>SUM(E267)</f>
        <v>6000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6000</v>
      </c>
      <c r="F267" s="41"/>
      <c r="G267" s="41"/>
      <c r="H267" s="41"/>
      <c r="I267" s="24">
        <v>4</v>
      </c>
      <c r="J267" s="25" t="s">
        <v>165</v>
      </c>
      <c r="K267" s="48">
        <v>1500</v>
      </c>
    </row>
    <row r="268" spans="3:11" s="22" customFormat="1" ht="15.95" customHeight="1" x14ac:dyDescent="0.25">
      <c r="C268" s="32" t="s">
        <v>211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165</v>
      </c>
      <c r="K269" s="48">
        <v>1200</v>
      </c>
    </row>
    <row r="270" spans="3:11" s="22" customFormat="1" ht="15.95" customHeight="1" x14ac:dyDescent="0.25">
      <c r="C270" s="32" t="s">
        <v>262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283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165</v>
      </c>
      <c r="K271" s="48">
        <v>1000</v>
      </c>
    </row>
    <row r="272" spans="3:11" ht="15.95" customHeight="1" thickBot="1" x14ac:dyDescent="0.3">
      <c r="C272" s="18" t="s">
        <v>56</v>
      </c>
      <c r="D272" s="14">
        <f>SUM(D2:D271)</f>
        <v>36092.044999999998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2026-03-10T13:53:28Z</dcterms:modified>
</cp:coreProperties>
</file>