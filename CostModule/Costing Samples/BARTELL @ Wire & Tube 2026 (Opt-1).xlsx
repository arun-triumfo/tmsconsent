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"/>
    </mc:Choice>
  </mc:AlternateContent>
  <xr:revisionPtr revIDLastSave="0" documentId="13_ncr:1_{5B4629B9-3739-4D28-97B2-96A73DACED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1" l="1"/>
  <c r="E146" i="1" l="1"/>
  <c r="E113" i="1"/>
  <c r="E112" i="1"/>
  <c r="E64" i="1"/>
  <c r="E137" i="1" l="1"/>
  <c r="E271" i="1" l="1"/>
  <c r="D270" i="1" s="1"/>
  <c r="E80" i="1" l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8" i="1" l="1"/>
  <c r="D87" i="1" s="1"/>
  <c r="E15" i="1" l="1"/>
  <c r="E83" i="1" l="1"/>
  <c r="E84" i="1"/>
  <c r="E85" i="1"/>
  <c r="E211" i="1" l="1"/>
  <c r="E134" i="1"/>
  <c r="E168" i="1"/>
  <c r="D167" i="1" s="1"/>
  <c r="D210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2" i="1" l="1"/>
  <c r="E81" i="1"/>
  <c r="E79" i="1"/>
  <c r="E50" i="1"/>
  <c r="E49" i="1"/>
  <c r="E48" i="1"/>
  <c r="E60" i="1" l="1"/>
  <c r="E62" i="1" l="1"/>
  <c r="E59" i="1"/>
  <c r="E44" i="1" l="1"/>
  <c r="E40" i="1"/>
  <c r="E41" i="1"/>
  <c r="E154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6" i="1"/>
  <c r="E77" i="1"/>
  <c r="E78" i="1"/>
  <c r="E110" i="1"/>
  <c r="E223" i="1"/>
  <c r="D222" i="1" s="1"/>
  <c r="D16" i="1" l="1"/>
  <c r="D153" i="1"/>
  <c r="D133" i="1"/>
  <c r="D144" i="1"/>
  <c r="D109" i="1"/>
  <c r="D272" i="1" l="1"/>
</calcChain>
</file>

<file path=xl/sharedStrings.xml><?xml version="1.0" encoding="utf-8"?>
<sst xmlns="http://schemas.openxmlformats.org/spreadsheetml/2006/main" count="586" uniqueCount="283">
  <si>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</si>
  <si>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</si>
  <si>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</si>
  <si>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</si>
  <si>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</si>
  <si>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</si>
  <si>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</si>
  <si>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</si>
  <si>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</si>
  <si>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</si>
  <si>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</si>
  <si>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</si>
  <si>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</si>
  <si>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</si>
  <si>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</si>
  <si>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</si>
  <si>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</si>
  <si>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</si>
  <si>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</si>
  <si>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</si>
  <si>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</si>
  <si>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</si>
  <si>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</si>
  <si>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</si>
  <si>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</si>
  <si>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</si>
  <si>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</si>
  <si>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</si>
  <si>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</si>
  <si>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</si>
  <si>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</si>
  <si>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</si>
  <si>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</si>
  <si>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</si>
  <si>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</si>
  <si>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</si>
  <si>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</si>
  <si>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</si>
  <si>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</si>
  <si>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</si>
  <si>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</si>
  <si>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</si>
  <si>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</si>
  <si>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</si>
  <si>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</si>
  <si>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</si>
  <si>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</si>
  <si>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</si>
  <si>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</si>
  <si>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</si>
  <si>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</si>
  <si>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</si>
  <si>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</si>
  <si>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</si>
  <si>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</si>
  <si>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</si>
  <si>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</si>
  <si>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</si>
  <si>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</si>
  <si>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</si>
  <si>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</si>
  <si>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</si>
  <si>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</si>
  <si>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</si>
  <si>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</si>
  <si>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</si>
  <si>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</si>
  <si>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</si>
  <si>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</si>
  <si>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</si>
  <si>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</si>
  <si>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</si>
  <si>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</si>
  <si>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</si>
  <si>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</si>
  <si>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</si>
  <si>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</si>
  <si>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</si>
  <si>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</si>
  <si>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</si>
  <si>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</si>
  <si>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</si>
  <si>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</si>
  <si>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</si>
  <si>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</si>
  <si>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</si>
  <si>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</si>
  <si>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</si>
  <si>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</si>
  <si>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</si>
  <si>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</si>
  <si>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</si>
  <si>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</si>
  <si>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</si>
  <si>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</si>
  <si>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</si>
  <si>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</si>
  <si>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</si>
  <si>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</si>
  <si>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</si>
  <si>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</si>
  <si>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</si>
  <si>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</si>
  <si>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</si>
  <si>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</si>
  <si>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</si>
  <si>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</si>
  <si>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</si>
  <si>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</si>
  <si>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</si>
  <si>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</si>
  <si>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</si>
  <si>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</si>
  <si>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</si>
  <si>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</si>
  <si>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</si>
  <si>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</si>
  <si>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</si>
  <si>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</si>
  <si>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</si>
  <si>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</si>
  <si>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</si>
  <si>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</si>
  <si>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</si>
  <si>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</si>
  <si>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</si>
  <si>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</si>
  <si>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</si>
  <si>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</si>
  <si>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</si>
  <si>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</si>
  <si>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</si>
  <si>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</si>
  <si>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</si>
  <si>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</si>
  <si>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</si>
  <si>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</si>
  <si>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</si>
  <si>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</si>
  <si>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</si>
  <si>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</si>
  <si>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</si>
  <si>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</si>
  <si>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</si>
  <si>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</si>
  <si>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</si>
  <si>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</si>
  <si>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</si>
  <si>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</si>
  <si>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</si>
  <si>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</si>
  <si>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</si>
  <si>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</si>
  <si>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</si>
  <si>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</si>
  <si>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</si>
  <si>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</si>
  <si>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</si>
  <si>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</si>
  <si>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</si>
  <si>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</si>
  <si>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</si>
  <si>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</si>
  <si>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</si>
  <si>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</si>
  <si>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</si>
  <si>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</si>
  <si>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</si>
  <si>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</si>
  <si>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</si>
  <si>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</si>
  <si>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</si>
  <si>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</si>
  <si>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</si>
  <si>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</si>
  <si>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</si>
  <si>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</si>
  <si>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</si>
  <si>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</si>
  <si>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</si>
  <si>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</si>
  <si>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</si>
  <si>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</si>
  <si>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</si>
  <si>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</si>
  <si>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</si>
  <si>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</si>
  <si>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</si>
  <si>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</si>
  <si>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</si>
  <si>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</si>
  <si>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</si>
  <si>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</si>
  <si>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</si>
  <si>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</si>
  <si>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</si>
  <si>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</si>
  <si>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</si>
  <si>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</si>
  <si>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</si>
  <si>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</si>
  <si>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</si>
  <si>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</si>
  <si>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</si>
  <si>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</si>
  <si>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</si>
  <si>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</si>
  <si>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</si>
  <si>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</si>
  <si>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</si>
  <si>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</si>
  <si>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</si>
  <si>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</si>
  <si>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</si>
  <si>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</si>
  <si>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</si>
  <si>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</si>
  <si>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</si>
  <si>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</si>
  <si>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</si>
  <si>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</si>
  <si>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</si>
  <si>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</si>
  <si>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</si>
  <si>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</si>
  <si>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</si>
  <si>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</si>
  <si>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</si>
  <si>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</si>
  <si>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</si>
  <si>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</si>
  <si>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</si>
  <si>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</si>
  <si>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</si>
  <si>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</si>
  <si>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</si>
  <si>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</si>
  <si>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</si>
  <si>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</si>
  <si>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</si>
  <si>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</si>
  <si>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</si>
  <si>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</si>
  <si>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</si>
  <si>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</si>
  <si>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</si>
  <si>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</si>
  <si>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</si>
  <si>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</si>
  <si>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</si>
  <si>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</si>
  <si>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</si>
  <si>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</si>
  <si>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</si>
  <si>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</si>
  <si>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</si>
  <si>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</si>
  <si>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</si>
  <si>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</si>
  <si>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</si>
  <si>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</si>
  <si>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</si>
  <si>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</si>
  <si>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</si>
  <si>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</si>
  <si>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</si>
  <si>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</si>
  <si>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</si>
  <si>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</si>
  <si>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</si>
  <si>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</si>
  <si>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(Laminated)- 2.0 x 0.5 x 1.0</t>
  </si>
  <si>
    <t>Bar Counter (Laminated)- 1.6 x 0.5 x 1.0</t>
  </si>
  <si>
    <t>Opt Nr:-  1</t>
  </si>
  <si>
    <t>BARTELL</t>
  </si>
  <si>
    <t>WIRE &amp; TUBE 2026</t>
  </si>
  <si>
    <t>7M X 8.5M</t>
  </si>
  <si>
    <t>59.5 SQM</t>
  </si>
  <si>
    <t>4M</t>
  </si>
  <si>
    <t>13-17 April, 2026</t>
  </si>
  <si>
    <t>DUSSELDORF</t>
  </si>
  <si>
    <t>Date:- 27-11-2025</t>
  </si>
  <si>
    <t>Fabric Hanging (8m x 1m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</si>
</sst>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1</xdr:rowOff>
    </xdr:from>
    <xdr:to>
      <xdr:col>1</xdr:col>
      <xdr:colOff>1047750</xdr:colOff>
      <xdr:row>269</xdr:row>
      <xdr:rowOff>28865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3384E8-AFCE-4350-8D69-E8652526E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105025" cy="1629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C109" sqref="C10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281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274</v>
      </c>
      <c r="C2" s="26" t="s">
        <v>151</v>
      </c>
      <c r="D2" s="27">
        <f>SUM(E3:E11)</f>
        <v>1603.18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885.9799999999999</v>
      </c>
      <c r="F5" s="8"/>
      <c r="G5" s="8"/>
      <c r="H5" s="8"/>
      <c r="I5" s="9">
        <v>62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620</v>
      </c>
      <c r="F7" s="8"/>
      <c r="G7" s="8"/>
      <c r="H7" s="8"/>
      <c r="I7" s="9">
        <v>62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97.199999999999989</v>
      </c>
      <c r="F9" s="8"/>
      <c r="G9" s="8"/>
      <c r="H9" s="8"/>
      <c r="I9" s="9">
        <v>24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275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280</v>
      </c>
      <c r="C16" s="26" t="s">
        <v>184</v>
      </c>
      <c r="D16" s="27">
        <f>SUM(E17:E86)</f>
        <v>4376.7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475.02</v>
      </c>
      <c r="F33" s="8">
        <v>1</v>
      </c>
      <c r="G33" s="8">
        <v>0.1</v>
      </c>
      <c r="H33" s="8">
        <v>4</v>
      </c>
      <c r="I33" s="9">
        <v>7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555.41999999999996</v>
      </c>
      <c r="F34" s="8">
        <v>1</v>
      </c>
      <c r="G34" s="8">
        <v>0.1</v>
      </c>
      <c r="H34" s="8">
        <v>4</v>
      </c>
      <c r="I34" s="9">
        <v>6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2:11" ht="15.95" hidden="1" customHeight="1" x14ac:dyDescent="0.25">
      <c r="B64" s="29" t="s">
        <v>249</v>
      </c>
      <c r="C64" s="7" t="s">
        <v>31</v>
      </c>
      <c r="D64" s="7"/>
      <c r="E64" s="8">
        <f t="shared" ref="E64" si="3">I64*K64</f>
        <v>1512</v>
      </c>
      <c r="F64" s="8">
        <v>1</v>
      </c>
      <c r="G64" s="8">
        <v>0.2</v>
      </c>
      <c r="H64" s="8">
        <v>4</v>
      </c>
      <c r="I64" s="9">
        <v>12</v>
      </c>
      <c r="J64" s="10" t="s">
        <v>156</v>
      </c>
      <c r="K64" s="30">
        <v>126</v>
      </c>
    </row>
    <row r="65" spans="1:11" ht="15.95" hidden="1" customHeight="1" x14ac:dyDescent="0.25">
      <c r="B65" s="29"/>
      <c r="C65" s="7" t="s">
        <v>31</v>
      </c>
      <c r="D65" s="7"/>
      <c r="E65" s="8">
        <f t="shared" si="2"/>
        <v>756</v>
      </c>
      <c r="F65" s="8">
        <v>1</v>
      </c>
      <c r="G65" s="8">
        <v>0.2</v>
      </c>
      <c r="H65" s="8">
        <v>4</v>
      </c>
      <c r="I65" s="9">
        <v>6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1078.26</v>
      </c>
      <c r="F67" s="8">
        <v>1</v>
      </c>
      <c r="G67" s="8">
        <v>0.2</v>
      </c>
      <c r="H67" s="8">
        <v>4</v>
      </c>
      <c r="I67" s="9">
        <v>6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ht="15.95" hidden="1" customHeight="1" x14ac:dyDescent="0.25">
      <c r="C81" s="7" t="s">
        <v>95</v>
      </c>
      <c r="D81" s="7"/>
      <c r="E81" s="8">
        <f t="shared" ref="E81:E86" si="4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4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4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4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279</v>
      </c>
      <c r="C87" s="26" t="s">
        <v>195</v>
      </c>
      <c r="D87" s="27">
        <f>SUM(E88:E108)</f>
        <v>1959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5">I88*K88</f>
        <v>675</v>
      </c>
      <c r="F88" s="24"/>
      <c r="G88" s="24"/>
      <c r="H88" s="24"/>
      <c r="I88" s="24">
        <v>27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5"/>
        <v>60</v>
      </c>
      <c r="F89" s="24"/>
      <c r="G89" s="24"/>
      <c r="H89" s="24"/>
      <c r="I89" s="24">
        <v>6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5"/>
        <v>24</v>
      </c>
      <c r="F90" s="24"/>
      <c r="G90" s="24"/>
      <c r="H90" s="24"/>
      <c r="I90" s="24">
        <v>12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5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264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282</v>
      </c>
      <c r="D95" s="7"/>
      <c r="E95" s="24">
        <f t="shared" ref="E95" si="6">I95*K95</f>
        <v>1200</v>
      </c>
      <c r="F95" s="8"/>
      <c r="G95" s="8"/>
      <c r="H95" s="8"/>
      <c r="I95" s="8">
        <v>2</v>
      </c>
      <c r="J95" s="10" t="s">
        <v>166</v>
      </c>
      <c r="K95" s="48">
        <v>600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276</v>
      </c>
      <c r="C109" s="26" t="s">
        <v>196</v>
      </c>
      <c r="D109" s="27">
        <f>SUM(E110:E132)</f>
        <v>476.18999999999994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2" si="7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7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:E113" si="8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8"/>
        <v>285.70999999999998</v>
      </c>
      <c r="F113" s="8">
        <v>2</v>
      </c>
      <c r="G113" s="8">
        <v>0.5</v>
      </c>
      <c r="H113" s="8">
        <v>1</v>
      </c>
      <c r="I113" s="8">
        <v>1</v>
      </c>
      <c r="J113" s="10" t="s">
        <v>166</v>
      </c>
      <c r="K113" s="30">
        <v>285.70999999999998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7"/>
        <v>190.48</v>
      </c>
      <c r="F114" s="8">
        <v>1.6</v>
      </c>
      <c r="G114" s="8">
        <v>0.5</v>
      </c>
      <c r="H114" s="8">
        <v>1</v>
      </c>
      <c r="I114" s="8">
        <v>1</v>
      </c>
      <c r="J114" s="10" t="s">
        <v>166</v>
      </c>
      <c r="K114" s="30">
        <v>190.48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302.29000000000002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604.02</v>
      </c>
    </row>
    <row r="117" spans="2:11" s="4" customFormat="1" ht="15.95" hidden="1" customHeight="1" x14ac:dyDescent="0.25">
      <c r="C117" s="7" t="s">
        <v>256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423.86</v>
      </c>
    </row>
    <row r="118" spans="2:11" s="4" customFormat="1" ht="15.95" hidden="1" customHeight="1" x14ac:dyDescent="0.25">
      <c r="C118" s="7" t="s">
        <v>157</v>
      </c>
      <c r="D118" s="7"/>
      <c r="E118" s="8">
        <f t="shared" si="7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166</v>
      </c>
      <c r="K118" s="30">
        <v>595.24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7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166</v>
      </c>
      <c r="K119" s="30">
        <v>161.9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7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166</v>
      </c>
      <c r="K120" s="30">
        <v>190.48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7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166</v>
      </c>
      <c r="K121" s="30">
        <v>216.67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7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166</v>
      </c>
      <c r="K122" s="30">
        <v>154.76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177.98</v>
      </c>
    </row>
    <row r="124" spans="2:11" s="4" customFormat="1" ht="15.95" hidden="1" customHeight="1" x14ac:dyDescent="0.25">
      <c r="C124" s="7" t="s">
        <v>202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260.12</v>
      </c>
    </row>
    <row r="125" spans="2:11" s="4" customFormat="1" ht="15.95" hidden="1" customHeight="1" x14ac:dyDescent="0.25">
      <c r="B125" s="29" t="s">
        <v>249</v>
      </c>
      <c r="C125" s="7" t="s">
        <v>120</v>
      </c>
      <c r="D125" s="7"/>
      <c r="E125" s="8">
        <f t="shared" si="7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166</v>
      </c>
      <c r="K125" s="30">
        <v>210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7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166</v>
      </c>
      <c r="K126" s="30">
        <v>223.81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7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166</v>
      </c>
      <c r="K127" s="30">
        <v>65</v>
      </c>
    </row>
    <row r="128" spans="2:11" s="4" customFormat="1" ht="15.95" hidden="1" customHeight="1" x14ac:dyDescent="0.25">
      <c r="C128" s="7" t="s">
        <v>127</v>
      </c>
      <c r="D128" s="7"/>
      <c r="E128" s="8">
        <f t="shared" si="7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166</v>
      </c>
      <c r="K128" s="30">
        <v>35</v>
      </c>
    </row>
    <row r="129" spans="1:11" s="4" customFormat="1" ht="15.95" hidden="1" customHeight="1" x14ac:dyDescent="0.25">
      <c r="B129" s="29" t="s">
        <v>249</v>
      </c>
      <c r="C129" s="7" t="s">
        <v>55</v>
      </c>
      <c r="D129" s="7"/>
      <c r="E129" s="8">
        <f t="shared" si="7"/>
        <v>0</v>
      </c>
      <c r="F129" s="8"/>
      <c r="G129" s="8"/>
      <c r="H129" s="8"/>
      <c r="I129" s="8">
        <v>0</v>
      </c>
      <c r="J129" s="10" t="s">
        <v>166</v>
      </c>
      <c r="K129" s="30">
        <v>12</v>
      </c>
    </row>
    <row r="130" spans="1:11" s="4" customFormat="1" ht="15.95" hidden="1" customHeight="1" x14ac:dyDescent="0.25">
      <c r="C130" s="7" t="s">
        <v>130</v>
      </c>
      <c r="D130" s="7"/>
      <c r="E130" s="8">
        <f t="shared" si="7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111</v>
      </c>
      <c r="K130" s="30">
        <v>21.9</v>
      </c>
    </row>
    <row r="131" spans="1:11" s="4" customFormat="1" ht="15.95" hidden="1" customHeight="1" x14ac:dyDescent="0.25">
      <c r="C131" s="7" t="s">
        <v>203</v>
      </c>
      <c r="D131" s="7"/>
      <c r="E131" s="8">
        <f t="shared" si="7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166</v>
      </c>
      <c r="K131" s="30">
        <v>177.98</v>
      </c>
    </row>
    <row r="132" spans="1:11" s="4" customFormat="1" ht="15.95" hidden="1" customHeight="1" x14ac:dyDescent="0.25">
      <c r="C132" s="7" t="s">
        <v>178</v>
      </c>
      <c r="D132" s="7"/>
      <c r="E132" s="8">
        <f t="shared" si="7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166</v>
      </c>
      <c r="K132" s="30">
        <v>383.33</v>
      </c>
    </row>
    <row r="133" spans="1:11" s="4" customFormat="1" ht="15.95" customHeight="1" x14ac:dyDescent="0.25">
      <c r="A133" s="21" t="s">
        <v>143</v>
      </c>
      <c r="B133" s="4" t="s">
        <v>277</v>
      </c>
      <c r="C133" s="26" t="s">
        <v>204</v>
      </c>
      <c r="D133" s="27">
        <f>SUM(E134:E143)</f>
        <v>1515.98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249</v>
      </c>
      <c r="C134" s="7" t="s">
        <v>49</v>
      </c>
      <c r="D134" s="7"/>
      <c r="E134" s="8">
        <f t="shared" ref="E134:E143" si="9">I134*K134</f>
        <v>35</v>
      </c>
      <c r="F134" s="12"/>
      <c r="G134" s="12"/>
      <c r="H134" s="12"/>
      <c r="I134" s="8">
        <v>1</v>
      </c>
      <c r="J134" s="10" t="s">
        <v>166</v>
      </c>
      <c r="K134" s="30">
        <v>35</v>
      </c>
    </row>
    <row r="135" spans="1:11" s="4" customFormat="1" ht="15.95" hidden="1" customHeight="1" x14ac:dyDescent="0.25">
      <c r="B135" s="29" t="s">
        <v>249</v>
      </c>
      <c r="C135" s="7" t="s">
        <v>50</v>
      </c>
      <c r="D135" s="7"/>
      <c r="E135" s="8">
        <f t="shared" si="9"/>
        <v>100</v>
      </c>
      <c r="F135" s="8"/>
      <c r="G135" s="8"/>
      <c r="H135" s="8"/>
      <c r="I135" s="8">
        <v>2</v>
      </c>
      <c r="J135" s="10" t="s">
        <v>166</v>
      </c>
      <c r="K135" s="30">
        <v>50</v>
      </c>
    </row>
    <row r="136" spans="1:11" s="4" customFormat="1" ht="15.95" hidden="1" customHeight="1" x14ac:dyDescent="0.25">
      <c r="B136" s="29" t="s">
        <v>249</v>
      </c>
      <c r="C136" s="7" t="s">
        <v>270</v>
      </c>
      <c r="D136" s="7"/>
      <c r="E136" s="8">
        <f t="shared" si="9"/>
        <v>1380.98</v>
      </c>
      <c r="F136" s="8">
        <v>1</v>
      </c>
      <c r="G136" s="8">
        <v>0</v>
      </c>
      <c r="H136" s="8">
        <v>2</v>
      </c>
      <c r="I136" s="8">
        <v>11.6</v>
      </c>
      <c r="J136" s="10" t="s">
        <v>166</v>
      </c>
      <c r="K136" s="30">
        <v>119.05</v>
      </c>
    </row>
    <row r="137" spans="1:11" s="4" customFormat="1" ht="15.95" hidden="1" customHeight="1" x14ac:dyDescent="0.25">
      <c r="C137" s="7" t="s">
        <v>122</v>
      </c>
      <c r="D137" s="7"/>
      <c r="E137" s="8">
        <f t="shared" si="9"/>
        <v>0</v>
      </c>
      <c r="F137" s="8">
        <v>1</v>
      </c>
      <c r="G137" s="8">
        <v>1</v>
      </c>
      <c r="H137" s="8"/>
      <c r="I137" s="8">
        <v>0</v>
      </c>
      <c r="J137" s="10" t="s">
        <v>111</v>
      </c>
      <c r="K137" s="30">
        <v>28.57</v>
      </c>
    </row>
    <row r="138" spans="1:11" s="4" customFormat="1" ht="15.95" hidden="1" customHeight="1" x14ac:dyDescent="0.25">
      <c r="C138" s="7" t="s">
        <v>74</v>
      </c>
      <c r="D138" s="7"/>
      <c r="E138" s="8">
        <f t="shared" si="9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166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9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166</v>
      </c>
      <c r="K139" s="30">
        <v>136.9</v>
      </c>
    </row>
    <row r="140" spans="1:11" s="4" customFormat="1" ht="15.95" hidden="1" customHeight="1" x14ac:dyDescent="0.25">
      <c r="C140" s="7" t="s">
        <v>171</v>
      </c>
      <c r="D140" s="7"/>
      <c r="E140" s="8">
        <f t="shared" si="9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111</v>
      </c>
      <c r="K140" s="30">
        <v>22.62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9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83.33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32.14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38.1</v>
      </c>
    </row>
    <row r="144" spans="1:11" s="4" customFormat="1" ht="15.95" customHeight="1" x14ac:dyDescent="0.25">
      <c r="A144" s="21" t="s">
        <v>142</v>
      </c>
      <c r="B144" s="4" t="s">
        <v>278</v>
      </c>
      <c r="C144" s="26" t="s">
        <v>205</v>
      </c>
      <c r="D144" s="27">
        <f>SUM(E145:E152)</f>
        <v>261.03999999999996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2" si="10">I145*K145</f>
        <v>109.52</v>
      </c>
      <c r="F145" s="8">
        <v>2.2000000000000002</v>
      </c>
      <c r="G145" s="8">
        <v>0.2</v>
      </c>
      <c r="H145" s="8">
        <v>0.2</v>
      </c>
      <c r="I145" s="8">
        <v>1</v>
      </c>
      <c r="J145" s="10" t="s">
        <v>166</v>
      </c>
      <c r="K145" s="30">
        <v>109.52</v>
      </c>
    </row>
    <row r="146" spans="2:11" s="4" customFormat="1" ht="15.95" hidden="1" customHeight="1" x14ac:dyDescent="0.25">
      <c r="C146" s="7" t="s">
        <v>267</v>
      </c>
      <c r="D146" s="7"/>
      <c r="E146" s="8">
        <f t="shared" ref="E146" si="11">I146*K146</f>
        <v>109.52</v>
      </c>
      <c r="F146" s="8">
        <v>1.5</v>
      </c>
      <c r="G146" s="8">
        <v>0.2</v>
      </c>
      <c r="H146" s="8">
        <v>0.5</v>
      </c>
      <c r="I146" s="8">
        <v>1</v>
      </c>
      <c r="J146" s="10" t="s">
        <v>166</v>
      </c>
      <c r="K146" s="30">
        <v>109.52</v>
      </c>
    </row>
    <row r="147" spans="2:11" s="4" customFormat="1" ht="15.95" hidden="1" customHeight="1" x14ac:dyDescent="0.25">
      <c r="C147" s="7" t="s">
        <v>86</v>
      </c>
      <c r="D147" s="7"/>
      <c r="E147" s="8">
        <f t="shared" si="10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166</v>
      </c>
      <c r="K147" s="30">
        <v>219.05</v>
      </c>
    </row>
    <row r="148" spans="2:11" s="4" customFormat="1" ht="15.95" hidden="1" customHeight="1" x14ac:dyDescent="0.25">
      <c r="C148" s="7" t="s">
        <v>180</v>
      </c>
      <c r="D148" s="7"/>
      <c r="E148" s="8">
        <f t="shared" si="10"/>
        <v>42</v>
      </c>
      <c r="F148" s="8">
        <v>0</v>
      </c>
      <c r="G148" s="8">
        <v>0</v>
      </c>
      <c r="H148" s="8">
        <v>0</v>
      </c>
      <c r="I148" s="8">
        <v>14</v>
      </c>
      <c r="J148" s="10" t="s">
        <v>166</v>
      </c>
      <c r="K148" s="30">
        <v>3</v>
      </c>
    </row>
    <row r="149" spans="2:11" s="4" customFormat="1" ht="15.95" hidden="1" customHeight="1" x14ac:dyDescent="0.25">
      <c r="C149" s="7" t="s">
        <v>53</v>
      </c>
      <c r="D149" s="7"/>
      <c r="E149" s="8">
        <f t="shared" si="10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B150" s="29" t="s">
        <v>249</v>
      </c>
      <c r="C150" s="7" t="s">
        <v>72</v>
      </c>
      <c r="D150" s="7"/>
      <c r="E150" s="8">
        <f t="shared" si="10"/>
        <v>0</v>
      </c>
      <c r="F150" s="8">
        <v>0.5</v>
      </c>
      <c r="G150" s="8">
        <v>0.5</v>
      </c>
      <c r="H150" s="8"/>
      <c r="I150" s="8">
        <v>0</v>
      </c>
      <c r="J150" s="10" t="s">
        <v>111</v>
      </c>
      <c r="K150" s="30">
        <v>25</v>
      </c>
    </row>
    <row r="151" spans="2:11" s="4" customFormat="1" ht="15.95" hidden="1" customHeight="1" x14ac:dyDescent="0.25">
      <c r="C151" s="7" t="s">
        <v>91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166</v>
      </c>
      <c r="K151" s="30">
        <v>25</v>
      </c>
    </row>
    <row r="152" spans="2:11" s="4" customFormat="1" ht="15.95" hidden="1" customHeight="1" x14ac:dyDescent="0.25">
      <c r="C152" s="7" t="s">
        <v>248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166</v>
      </c>
      <c r="K152" s="30">
        <v>20</v>
      </c>
    </row>
    <row r="153" spans="2:11" s="4" customFormat="1" ht="15.95" customHeight="1" x14ac:dyDescent="0.25">
      <c r="C153" s="26" t="s">
        <v>132</v>
      </c>
      <c r="D153" s="27">
        <f>SUM(E154:E166)</f>
        <v>1519.68</v>
      </c>
      <c r="E153" s="51"/>
      <c r="F153" s="27"/>
      <c r="G153" s="27"/>
      <c r="H153" s="27"/>
      <c r="I153" s="27"/>
      <c r="J153" s="28"/>
      <c r="K153" s="47"/>
    </row>
    <row r="154" spans="2:11" s="4" customFormat="1" ht="15.95" hidden="1" customHeight="1" x14ac:dyDescent="0.25">
      <c r="B154" s="29" t="s">
        <v>249</v>
      </c>
      <c r="C154" s="7" t="s">
        <v>19</v>
      </c>
      <c r="D154" s="7"/>
      <c r="E154" s="8">
        <f t="shared" ref="E154:E166" si="12">I154*K154</f>
        <v>95.2</v>
      </c>
      <c r="F154" s="8"/>
      <c r="G154" s="8"/>
      <c r="H154" s="8"/>
      <c r="I154" s="8">
        <v>8</v>
      </c>
      <c r="J154" s="10" t="s">
        <v>166</v>
      </c>
      <c r="K154" s="30">
        <v>11.9</v>
      </c>
    </row>
    <row r="155" spans="2:11" s="4" customFormat="1" ht="15.95" hidden="1" customHeight="1" x14ac:dyDescent="0.25">
      <c r="B155" s="29" t="s">
        <v>249</v>
      </c>
      <c r="C155" s="7" t="s">
        <v>62</v>
      </c>
      <c r="D155" s="7"/>
      <c r="E155" s="8">
        <f t="shared" si="12"/>
        <v>350</v>
      </c>
      <c r="F155" s="8"/>
      <c r="G155" s="8"/>
      <c r="H155" s="8"/>
      <c r="I155" s="8">
        <v>7</v>
      </c>
      <c r="J155" s="10" t="s">
        <v>166</v>
      </c>
      <c r="K155" s="30">
        <v>50</v>
      </c>
    </row>
    <row r="156" spans="2:11" s="4" customFormat="1" ht="15.95" hidden="1" customHeight="1" x14ac:dyDescent="0.25">
      <c r="B156" s="29" t="s">
        <v>249</v>
      </c>
      <c r="C156" s="7" t="s">
        <v>63</v>
      </c>
      <c r="D156" s="7"/>
      <c r="E156" s="8">
        <f t="shared" si="12"/>
        <v>0</v>
      </c>
      <c r="F156" s="8"/>
      <c r="G156" s="8"/>
      <c r="H156" s="8"/>
      <c r="I156" s="8">
        <v>0</v>
      </c>
      <c r="J156" s="10" t="s">
        <v>166</v>
      </c>
      <c r="K156" s="30">
        <v>65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2"/>
        <v>0</v>
      </c>
      <c r="F157" s="8"/>
      <c r="G157" s="8"/>
      <c r="H157" s="8"/>
      <c r="I157" s="8">
        <v>0</v>
      </c>
      <c r="J157" s="10" t="s">
        <v>166</v>
      </c>
      <c r="K157" s="30">
        <v>23.81</v>
      </c>
    </row>
    <row r="158" spans="2:11" s="4" customFormat="1" ht="15.95" hidden="1" customHeight="1" x14ac:dyDescent="0.25">
      <c r="C158" s="7" t="s">
        <v>83</v>
      </c>
      <c r="D158" s="7"/>
      <c r="E158" s="8">
        <f t="shared" si="12"/>
        <v>0</v>
      </c>
      <c r="F158" s="8"/>
      <c r="G158" s="8"/>
      <c r="H158" s="8"/>
      <c r="I158" s="8">
        <v>0</v>
      </c>
      <c r="J158" s="10" t="s">
        <v>166</v>
      </c>
      <c r="K158" s="30">
        <v>14.29</v>
      </c>
    </row>
    <row r="159" spans="2:11" s="4" customFormat="1" ht="15.95" hidden="1" customHeight="1" x14ac:dyDescent="0.25">
      <c r="B159" s="29" t="s">
        <v>249</v>
      </c>
      <c r="C159" s="7" t="s">
        <v>64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2:11" s="4" customFormat="1" ht="15.95" hidden="1" customHeight="1" x14ac:dyDescent="0.25">
      <c r="B160" s="29" t="s">
        <v>249</v>
      </c>
      <c r="C160" s="7" t="s">
        <v>18</v>
      </c>
      <c r="D160" s="7"/>
      <c r="E160" s="8">
        <f t="shared" si="12"/>
        <v>280</v>
      </c>
      <c r="F160" s="8"/>
      <c r="G160" s="8"/>
      <c r="H160" s="8"/>
      <c r="I160" s="8">
        <v>28</v>
      </c>
      <c r="J160" s="10" t="s">
        <v>166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12"/>
        <v>80</v>
      </c>
      <c r="F161" s="12"/>
      <c r="G161" s="12"/>
      <c r="H161" s="12"/>
      <c r="I161" s="8">
        <v>16</v>
      </c>
      <c r="J161" s="10" t="s">
        <v>166</v>
      </c>
      <c r="K161" s="30">
        <v>5</v>
      </c>
    </row>
    <row r="162" spans="2:11" s="4" customFormat="1" ht="15.95" hidden="1" customHeight="1" x14ac:dyDescent="0.25">
      <c r="B162" s="29" t="s">
        <v>249</v>
      </c>
      <c r="C162" s="7" t="s">
        <v>17</v>
      </c>
      <c r="D162" s="7"/>
      <c r="E162" s="8">
        <f t="shared" si="12"/>
        <v>119</v>
      </c>
      <c r="F162" s="8"/>
      <c r="G162" s="8"/>
      <c r="H162" s="8"/>
      <c r="I162" s="8">
        <v>10</v>
      </c>
      <c r="J162" s="10" t="s">
        <v>166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166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2"/>
        <v>0</v>
      </c>
      <c r="F164" s="8"/>
      <c r="G164" s="8"/>
      <c r="H164" s="8"/>
      <c r="I164" s="8">
        <v>0</v>
      </c>
      <c r="J164" s="10" t="s">
        <v>166</v>
      </c>
      <c r="K164" s="30">
        <v>2.38</v>
      </c>
    </row>
    <row r="165" spans="2:11" ht="15.95" hidden="1" customHeight="1" x14ac:dyDescent="0.25">
      <c r="C165" s="7" t="s">
        <v>188</v>
      </c>
      <c r="D165" s="7"/>
      <c r="E165" s="8">
        <f t="shared" si="12"/>
        <v>405</v>
      </c>
      <c r="F165" s="8"/>
      <c r="G165" s="8"/>
      <c r="H165" s="8"/>
      <c r="I165" s="8">
        <v>100</v>
      </c>
      <c r="J165" s="10" t="s">
        <v>150</v>
      </c>
      <c r="K165" s="30">
        <v>4.05</v>
      </c>
    </row>
    <row r="166" spans="2:11" s="4" customFormat="1" ht="15.95" hidden="1" customHeight="1" x14ac:dyDescent="0.25">
      <c r="C166" s="7" t="s">
        <v>158</v>
      </c>
      <c r="D166" s="7"/>
      <c r="E166" s="8">
        <f t="shared" si="12"/>
        <v>190.48</v>
      </c>
      <c r="F166" s="8"/>
      <c r="G166" s="8"/>
      <c r="H166" s="8"/>
      <c r="I166" s="8">
        <v>1</v>
      </c>
      <c r="J166" s="10" t="s">
        <v>166</v>
      </c>
      <c r="K166" s="30">
        <v>190.48</v>
      </c>
    </row>
    <row r="167" spans="2:11" s="4" customFormat="1" ht="15.95" customHeight="1" x14ac:dyDescent="0.25">
      <c r="C167" s="26" t="s">
        <v>206</v>
      </c>
      <c r="D167" s="27">
        <f>SUM(E168:E209)</f>
        <v>1481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3">I168*K168</f>
        <v>105</v>
      </c>
      <c r="F168" s="12"/>
      <c r="G168" s="12"/>
      <c r="H168" s="12"/>
      <c r="I168" s="8">
        <v>7</v>
      </c>
      <c r="J168" s="10" t="s">
        <v>166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3"/>
        <v>288</v>
      </c>
      <c r="F169" s="12"/>
      <c r="G169" s="12"/>
      <c r="H169" s="12"/>
      <c r="I169" s="8">
        <v>24</v>
      </c>
      <c r="J169" s="10" t="s">
        <v>166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3"/>
        <v>60</v>
      </c>
      <c r="F170" s="12"/>
      <c r="G170" s="12"/>
      <c r="H170" s="12"/>
      <c r="I170" s="8">
        <v>3</v>
      </c>
      <c r="J170" s="10" t="s">
        <v>166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3"/>
        <v>15</v>
      </c>
      <c r="F171" s="12"/>
      <c r="G171" s="12"/>
      <c r="H171" s="12"/>
      <c r="I171" s="8">
        <v>1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81</v>
      </c>
      <c r="D172" s="7"/>
      <c r="E172" s="8">
        <f t="shared" si="13"/>
        <v>50</v>
      </c>
      <c r="F172" s="12"/>
      <c r="G172" s="12"/>
      <c r="H172" s="12"/>
      <c r="I172" s="8">
        <v>2</v>
      </c>
      <c r="J172" s="10" t="s">
        <v>166</v>
      </c>
      <c r="K172" s="30">
        <v>25</v>
      </c>
    </row>
    <row r="173" spans="2:11" s="4" customFormat="1" ht="15.95" hidden="1" customHeight="1" x14ac:dyDescent="0.25">
      <c r="C173" s="7" t="s">
        <v>179</v>
      </c>
      <c r="D173" s="7"/>
      <c r="E173" s="8">
        <f t="shared" si="13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166</v>
      </c>
      <c r="K173" s="30">
        <v>385</v>
      </c>
    </row>
    <row r="174" spans="2:11" s="4" customFormat="1" ht="15.95" hidden="1" customHeight="1" x14ac:dyDescent="0.25">
      <c r="C174" s="7" t="s">
        <v>80</v>
      </c>
      <c r="D174" s="7"/>
      <c r="E174" s="8">
        <f t="shared" si="13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130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3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3"/>
        <v>0</v>
      </c>
      <c r="F176" s="12"/>
      <c r="G176" s="12"/>
      <c r="H176" s="12"/>
      <c r="I176" s="8">
        <v>0</v>
      </c>
      <c r="J176" s="10" t="s">
        <v>166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3"/>
        <v>0</v>
      </c>
      <c r="F177" s="12"/>
      <c r="G177" s="12"/>
      <c r="H177" s="12"/>
      <c r="I177" s="8">
        <v>0</v>
      </c>
      <c r="J177" s="10" t="s">
        <v>166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3"/>
        <v>0</v>
      </c>
      <c r="F178" s="12"/>
      <c r="G178" s="12"/>
      <c r="H178" s="12"/>
      <c r="I178" s="8">
        <v>0</v>
      </c>
      <c r="J178" s="10" t="s">
        <v>166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3"/>
        <v>0</v>
      </c>
      <c r="F179" s="12"/>
      <c r="G179" s="12"/>
      <c r="H179" s="12"/>
      <c r="I179" s="8">
        <v>0</v>
      </c>
      <c r="J179" s="10" t="s">
        <v>166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3"/>
        <v>40</v>
      </c>
      <c r="F180" s="12"/>
      <c r="G180" s="12"/>
      <c r="H180" s="12"/>
      <c r="I180" s="8">
        <v>5</v>
      </c>
      <c r="J180" s="10" t="s">
        <v>166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166</v>
      </c>
      <c r="K181" s="30">
        <v>15</v>
      </c>
    </row>
    <row r="182" spans="3:11" s="4" customFormat="1" ht="15.95" hidden="1" customHeight="1" x14ac:dyDescent="0.25">
      <c r="C182" s="7" t="s">
        <v>190</v>
      </c>
      <c r="D182" s="7"/>
      <c r="E182" s="8">
        <f t="shared" si="13"/>
        <v>70</v>
      </c>
      <c r="F182" s="12"/>
      <c r="G182" s="12"/>
      <c r="H182" s="12"/>
      <c r="I182" s="8">
        <v>2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3"/>
        <v>0</v>
      </c>
      <c r="F183" s="12"/>
      <c r="G183" s="12"/>
      <c r="H183" s="12"/>
      <c r="I183" s="8">
        <v>0</v>
      </c>
      <c r="J183" s="10" t="s">
        <v>166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3"/>
        <v>35</v>
      </c>
      <c r="F184" s="12"/>
      <c r="G184" s="12"/>
      <c r="H184" s="12"/>
      <c r="I184" s="8">
        <v>1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3"/>
        <v>0</v>
      </c>
      <c r="F185" s="12"/>
      <c r="G185" s="12"/>
      <c r="H185" s="12"/>
      <c r="I185" s="8">
        <v>0</v>
      </c>
      <c r="J185" s="10" t="s">
        <v>166</v>
      </c>
      <c r="K185" s="30">
        <v>25</v>
      </c>
    </row>
    <row r="186" spans="3:11" s="4" customFormat="1" ht="15.95" hidden="1" customHeight="1" x14ac:dyDescent="0.25">
      <c r="C186" s="7" t="s">
        <v>135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3"/>
        <v>0</v>
      </c>
      <c r="F187" s="12"/>
      <c r="G187" s="12"/>
      <c r="H187" s="12"/>
      <c r="I187" s="8">
        <v>0</v>
      </c>
      <c r="J187" s="10" t="s">
        <v>166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166</v>
      </c>
      <c r="K189" s="30">
        <v>150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3"/>
        <v>0</v>
      </c>
      <c r="F190" s="8"/>
      <c r="G190" s="8"/>
      <c r="H190" s="8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159</v>
      </c>
      <c r="D191" s="7"/>
      <c r="E191" s="8">
        <f t="shared" si="13"/>
        <v>0</v>
      </c>
      <c r="F191" s="12"/>
      <c r="G191" s="12"/>
      <c r="H191" s="12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3"/>
        <v>600</v>
      </c>
      <c r="F192" s="12"/>
      <c r="G192" s="12"/>
      <c r="H192" s="12"/>
      <c r="I192" s="8">
        <v>1</v>
      </c>
      <c r="J192" s="10" t="s">
        <v>166</v>
      </c>
      <c r="K192" s="30">
        <v>600</v>
      </c>
    </row>
    <row r="193" spans="2:11" s="4" customFormat="1" ht="15.95" hidden="1" customHeight="1" x14ac:dyDescent="0.25">
      <c r="C193" s="7" t="s">
        <v>209</v>
      </c>
      <c r="D193" s="7"/>
      <c r="E193" s="8">
        <f t="shared" si="13"/>
        <v>0</v>
      </c>
      <c r="F193" s="8"/>
      <c r="G193" s="8"/>
      <c r="H193" s="8"/>
      <c r="I193" s="8">
        <v>0</v>
      </c>
      <c r="J193" s="10" t="s">
        <v>166</v>
      </c>
      <c r="K193" s="30">
        <v>85</v>
      </c>
    </row>
    <row r="194" spans="2:11" s="4" customFormat="1" ht="15.95" hidden="1" customHeight="1" x14ac:dyDescent="0.25">
      <c r="C194" s="7" t="s">
        <v>257</v>
      </c>
      <c r="D194" s="7"/>
      <c r="E194" s="8">
        <f t="shared" si="13"/>
        <v>210</v>
      </c>
      <c r="F194" s="8"/>
      <c r="G194" s="8"/>
      <c r="H194" s="8"/>
      <c r="I194" s="8">
        <v>1</v>
      </c>
      <c r="J194" s="10" t="s">
        <v>166</v>
      </c>
      <c r="K194" s="30">
        <v>210</v>
      </c>
    </row>
    <row r="195" spans="2:11" s="4" customFormat="1" ht="15.95" hidden="1" customHeight="1" x14ac:dyDescent="0.25">
      <c r="C195" s="7" t="s">
        <v>87</v>
      </c>
      <c r="D195" s="7"/>
      <c r="E195" s="8">
        <f t="shared" si="13"/>
        <v>8</v>
      </c>
      <c r="F195" s="8"/>
      <c r="G195" s="8"/>
      <c r="H195" s="8"/>
      <c r="I195" s="8">
        <v>1</v>
      </c>
      <c r="J195" s="10" t="s">
        <v>166</v>
      </c>
      <c r="K195" s="30">
        <v>8</v>
      </c>
    </row>
    <row r="196" spans="2:11" s="4" customFormat="1" ht="15.95" hidden="1" customHeight="1" x14ac:dyDescent="0.25">
      <c r="C196" s="7" t="s">
        <v>73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C197" s="7" t="s">
        <v>84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166</v>
      </c>
      <c r="K197" s="30">
        <v>15</v>
      </c>
    </row>
    <row r="198" spans="2:11" s="4" customFormat="1" ht="15.95" hidden="1" customHeight="1" x14ac:dyDescent="0.25">
      <c r="B198" s="29" t="s">
        <v>249</v>
      </c>
      <c r="C198" s="7" t="s">
        <v>85</v>
      </c>
      <c r="D198" s="7"/>
      <c r="E198" s="8">
        <f t="shared" si="13"/>
        <v>0</v>
      </c>
      <c r="F198" s="8"/>
      <c r="G198" s="8"/>
      <c r="H198" s="8"/>
      <c r="I198" s="8">
        <v>0</v>
      </c>
      <c r="J198" s="10" t="s">
        <v>166</v>
      </c>
      <c r="K198" s="30">
        <v>25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166</v>
      </c>
      <c r="K199" s="30">
        <v>85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C201" s="7" t="s">
        <v>90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166</v>
      </c>
      <c r="K201" s="30">
        <v>5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166</v>
      </c>
      <c r="K202" s="30">
        <v>12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166</v>
      </c>
      <c r="K203" s="30">
        <v>25</v>
      </c>
    </row>
    <row r="204" spans="2:11" s="4" customFormat="1" ht="15.95" hidden="1" customHeight="1" x14ac:dyDescent="0.25">
      <c r="C204" s="7" t="s">
        <v>94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166</v>
      </c>
      <c r="K204" s="30">
        <v>20</v>
      </c>
    </row>
    <row r="205" spans="2:11" s="4" customFormat="1" ht="15.95" hidden="1" customHeight="1" x14ac:dyDescent="0.25">
      <c r="C205" s="7" t="s">
        <v>121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166</v>
      </c>
      <c r="K205" s="30">
        <v>6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166</v>
      </c>
      <c r="K206" s="30">
        <v>3</v>
      </c>
    </row>
    <row r="207" spans="2:11" s="4" customFormat="1" ht="15.95" hidden="1" customHeight="1" x14ac:dyDescent="0.25">
      <c r="C207" s="7" t="s">
        <v>124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166</v>
      </c>
      <c r="K207" s="30">
        <v>35</v>
      </c>
    </row>
    <row r="208" spans="2:11" s="4" customFormat="1" ht="15.95" hidden="1" customHeight="1" x14ac:dyDescent="0.25">
      <c r="C208" s="7" t="s">
        <v>247</v>
      </c>
      <c r="D208" s="7"/>
      <c r="E208" s="8">
        <f t="shared" si="13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166</v>
      </c>
      <c r="K208" s="30">
        <v>20</v>
      </c>
    </row>
    <row r="209" spans="3:11" s="4" customFormat="1" ht="15.95" hidden="1" customHeight="1" x14ac:dyDescent="0.25">
      <c r="C209" s="7" t="s">
        <v>246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166</v>
      </c>
      <c r="K209" s="30">
        <v>85</v>
      </c>
    </row>
    <row r="210" spans="3:11" s="4" customFormat="1" ht="15.95" customHeight="1" x14ac:dyDescent="0.25">
      <c r="C210" s="26" t="s">
        <v>183</v>
      </c>
      <c r="D210" s="27">
        <f>SUM(E211:E221)</f>
        <v>1840.864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244</v>
      </c>
      <c r="D211" s="7"/>
      <c r="E211" s="8">
        <f t="shared" ref="E211:E221" si="14">I211*K211</f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10.71</v>
      </c>
    </row>
    <row r="212" spans="3:11" s="4" customFormat="1" ht="15.95" hidden="1" customHeight="1" x14ac:dyDescent="0.25">
      <c r="C212" s="7" t="s">
        <v>243</v>
      </c>
      <c r="D212" s="7"/>
      <c r="E212" s="8">
        <f t="shared" si="14"/>
        <v>433.44</v>
      </c>
      <c r="F212" s="8">
        <v>1</v>
      </c>
      <c r="G212" s="8">
        <v>1</v>
      </c>
      <c r="H212" s="12"/>
      <c r="I212" s="8">
        <v>28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4"/>
        <v>541.80000000000007</v>
      </c>
      <c r="F213" s="8">
        <v>1</v>
      </c>
      <c r="G213" s="8">
        <v>1</v>
      </c>
      <c r="H213" s="12"/>
      <c r="I213" s="8">
        <v>35</v>
      </c>
      <c r="J213" s="10" t="s">
        <v>111</v>
      </c>
      <c r="K213" s="30">
        <v>15.48</v>
      </c>
    </row>
    <row r="214" spans="3:11" s="4" customFormat="1" ht="15.95" hidden="1" customHeight="1" x14ac:dyDescent="0.25">
      <c r="C214" s="7" t="s">
        <v>191</v>
      </c>
      <c r="D214" s="7"/>
      <c r="E214" s="8">
        <f t="shared" si="14"/>
        <v>26.2</v>
      </c>
      <c r="F214" s="8">
        <v>1</v>
      </c>
      <c r="G214" s="8">
        <v>1</v>
      </c>
      <c r="H214" s="12"/>
      <c r="I214" s="8">
        <v>2</v>
      </c>
      <c r="J214" s="10" t="s">
        <v>111</v>
      </c>
      <c r="K214" s="30">
        <v>13.1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4"/>
        <v>485.72399999999993</v>
      </c>
      <c r="F215" s="8">
        <v>1</v>
      </c>
      <c r="G215" s="8">
        <v>1</v>
      </c>
      <c r="H215" s="12"/>
      <c r="I215" s="8">
        <v>5.0999999999999996</v>
      </c>
      <c r="J215" s="10" t="s">
        <v>111</v>
      </c>
      <c r="K215" s="30">
        <v>95.24</v>
      </c>
    </row>
    <row r="216" spans="3:11" s="4" customFormat="1" ht="15.95" hidden="1" customHeight="1" x14ac:dyDescent="0.25">
      <c r="C216" s="7" t="s">
        <v>259</v>
      </c>
      <c r="D216" s="7"/>
      <c r="E216" s="8">
        <f t="shared" si="14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4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35.71</v>
      </c>
    </row>
    <row r="218" spans="3:11" s="4" customFormat="1" ht="15.95" hidden="1" customHeight="1" x14ac:dyDescent="0.25">
      <c r="C218" s="7" t="s">
        <v>122</v>
      </c>
      <c r="D218" s="7"/>
      <c r="E218" s="8">
        <f t="shared" si="14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4"/>
        <v>353.7</v>
      </c>
      <c r="F219" s="8">
        <v>1</v>
      </c>
      <c r="G219" s="8">
        <v>1</v>
      </c>
      <c r="H219" s="12"/>
      <c r="I219" s="8">
        <v>27</v>
      </c>
      <c r="J219" s="10" t="s">
        <v>111</v>
      </c>
      <c r="K219" s="30">
        <v>13.1</v>
      </c>
    </row>
    <row r="220" spans="3:11" s="4" customFormat="1" ht="15.95" hidden="1" customHeight="1" x14ac:dyDescent="0.25">
      <c r="C220" s="7" t="s">
        <v>245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10.71</v>
      </c>
    </row>
    <row r="222" spans="3:11" s="4" customFormat="1" ht="15.95" customHeight="1" x14ac:dyDescent="0.25">
      <c r="C222" s="26" t="s">
        <v>182</v>
      </c>
      <c r="D222" s="27">
        <f>SUM(E223:E261)</f>
        <v>960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5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166</v>
      </c>
      <c r="K223" s="30">
        <v>320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5"/>
        <v>0</v>
      </c>
      <c r="F224" s="8"/>
      <c r="G224" s="8"/>
      <c r="H224" s="8"/>
      <c r="I224" s="8">
        <v>0</v>
      </c>
      <c r="J224" s="10" t="s">
        <v>166</v>
      </c>
      <c r="K224" s="30">
        <v>210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5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5"/>
        <v>0</v>
      </c>
      <c r="F226" s="8"/>
      <c r="G226" s="8"/>
      <c r="H226" s="8"/>
      <c r="I226" s="8">
        <v>0</v>
      </c>
      <c r="J226" s="10" t="s">
        <v>166</v>
      </c>
      <c r="K226" s="30">
        <v>180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166</v>
      </c>
      <c r="K227" s="30">
        <v>110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166</v>
      </c>
      <c r="K228" s="30">
        <v>310</v>
      </c>
    </row>
    <row r="229" spans="3:11" s="4" customFormat="1" ht="15.95" hidden="1" customHeight="1" x14ac:dyDescent="0.25">
      <c r="C229" s="7" t="s">
        <v>218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5"/>
        <v>0</v>
      </c>
      <c r="F230" s="12"/>
      <c r="G230" s="12"/>
      <c r="H230" s="12"/>
      <c r="I230" s="8">
        <v>0</v>
      </c>
      <c r="J230" s="10" t="s">
        <v>166</v>
      </c>
      <c r="K230" s="30">
        <v>10</v>
      </c>
    </row>
    <row r="231" spans="3:11" s="4" customFormat="1" ht="15.95" hidden="1" customHeight="1" x14ac:dyDescent="0.25">
      <c r="C231" s="7" t="s">
        <v>222</v>
      </c>
      <c r="D231" s="7"/>
      <c r="E231" s="8">
        <f t="shared" si="15"/>
        <v>0</v>
      </c>
      <c r="F231" s="12"/>
      <c r="G231" s="12"/>
      <c r="H231" s="12"/>
      <c r="I231" s="8">
        <v>0</v>
      </c>
      <c r="J231" s="10" t="s">
        <v>166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166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166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181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166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5"/>
        <v>500</v>
      </c>
      <c r="F236" s="8"/>
      <c r="G236" s="8"/>
      <c r="H236" s="8"/>
      <c r="I236" s="8">
        <v>2</v>
      </c>
      <c r="J236" s="10" t="s">
        <v>166</v>
      </c>
      <c r="K236" s="30">
        <v>250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166</v>
      </c>
      <c r="K237" s="30">
        <v>390</v>
      </c>
    </row>
    <row r="238" spans="3:11" s="4" customFormat="1" ht="15.95" hidden="1" customHeight="1" x14ac:dyDescent="0.25">
      <c r="C238" s="7" t="s">
        <v>236</v>
      </c>
      <c r="D238" s="7"/>
      <c r="E238" s="8">
        <f t="shared" si="15"/>
        <v>460</v>
      </c>
      <c r="F238" s="8"/>
      <c r="G238" s="8"/>
      <c r="H238" s="8"/>
      <c r="I238" s="8">
        <v>1</v>
      </c>
      <c r="J238" s="10" t="s">
        <v>166</v>
      </c>
      <c r="K238" s="30">
        <v>460</v>
      </c>
    </row>
    <row r="239" spans="3:11" s="4" customFormat="1" ht="15.95" hidden="1" customHeight="1" x14ac:dyDescent="0.25">
      <c r="C239" s="7" t="s">
        <v>211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166</v>
      </c>
      <c r="K239" s="30">
        <v>850</v>
      </c>
    </row>
    <row r="240" spans="3:11" s="4" customFormat="1" ht="15.95" hidden="1" customHeight="1" x14ac:dyDescent="0.25">
      <c r="C240" s="7" t="s">
        <v>187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166</v>
      </c>
      <c r="K240" s="30">
        <v>1400</v>
      </c>
    </row>
    <row r="241" spans="3:11" s="4" customFormat="1" ht="15.95" hidden="1" customHeight="1" x14ac:dyDescent="0.25">
      <c r="C241" s="7" t="s">
        <v>238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360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166</v>
      </c>
      <c r="K242" s="30">
        <v>550</v>
      </c>
    </row>
    <row r="243" spans="3:11" s="4" customFormat="1" ht="15.95" hidden="1" customHeight="1" x14ac:dyDescent="0.25">
      <c r="C243" s="7" t="s">
        <v>242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166</v>
      </c>
      <c r="K243" s="30">
        <v>580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680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750</v>
      </c>
    </row>
    <row r="246" spans="3:11" s="4" customFormat="1" ht="15.95" hidden="1" customHeight="1" x14ac:dyDescent="0.25">
      <c r="C246" s="7" t="s">
        <v>235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340</v>
      </c>
    </row>
    <row r="247" spans="3:11" s="4" customFormat="1" ht="15.95" hidden="1" customHeight="1" x14ac:dyDescent="0.25">
      <c r="C247" s="7" t="s">
        <v>240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166</v>
      </c>
      <c r="K247" s="30">
        <v>160</v>
      </c>
    </row>
    <row r="248" spans="3:11" s="4" customFormat="1" ht="15.95" hidden="1" customHeight="1" x14ac:dyDescent="0.25">
      <c r="C248" s="7" t="s">
        <v>237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227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130</v>
      </c>
    </row>
    <row r="250" spans="3:11" s="4" customFormat="1" ht="15.95" hidden="1" customHeight="1" x14ac:dyDescent="0.25">
      <c r="C250" s="7" t="s">
        <v>223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400</v>
      </c>
    </row>
    <row r="251" spans="3:11" s="4" customFormat="1" ht="15.95" hidden="1" customHeight="1" x14ac:dyDescent="0.25">
      <c r="C251" s="7" t="s">
        <v>225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260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180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120</v>
      </c>
    </row>
    <row r="254" spans="3:11" s="4" customFormat="1" ht="15.95" hidden="1" customHeight="1" x14ac:dyDescent="0.25">
      <c r="C254" s="7" t="s">
        <v>233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220</v>
      </c>
    </row>
    <row r="255" spans="3:11" s="4" customFormat="1" ht="15.95" hidden="1" customHeight="1" x14ac:dyDescent="0.25">
      <c r="C255" s="7" t="s">
        <v>226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230</v>
      </c>
    </row>
    <row r="256" spans="3:11" s="4" customFormat="1" ht="15.95" hidden="1" customHeight="1" x14ac:dyDescent="0.25">
      <c r="C256" s="7" t="s">
        <v>228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229</v>
      </c>
      <c r="K256" s="30">
        <v>500</v>
      </c>
    </row>
    <row r="257" spans="3:11" s="4" customFormat="1" ht="15.95" hidden="1" customHeight="1" x14ac:dyDescent="0.25">
      <c r="C257" s="7" t="s">
        <v>230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166</v>
      </c>
      <c r="K257" s="30">
        <v>180</v>
      </c>
    </row>
    <row r="258" spans="3:11" s="4" customFormat="1" ht="15.95" hidden="1" customHeight="1" x14ac:dyDescent="0.25">
      <c r="C258" s="7" t="s">
        <v>224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166</v>
      </c>
      <c r="K258" s="30">
        <v>260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166</v>
      </c>
      <c r="K259" s="30">
        <v>6500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166</v>
      </c>
      <c r="K260" s="30">
        <v>8800</v>
      </c>
    </row>
    <row r="261" spans="3:11" s="4" customFormat="1" ht="15.95" hidden="1" customHeight="1" x14ac:dyDescent="0.25">
      <c r="C261" s="7" t="s">
        <v>220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166</v>
      </c>
      <c r="K261" s="30">
        <v>1050</v>
      </c>
    </row>
    <row r="262" spans="3:11" s="22" customFormat="1" ht="15.95" customHeight="1" x14ac:dyDescent="0.25">
      <c r="C262" s="32" t="s">
        <v>148</v>
      </c>
      <c r="D262" s="33">
        <f>SUM(E263)</f>
        <v>9500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9500</v>
      </c>
      <c r="F263" s="24"/>
      <c r="G263" s="24"/>
      <c r="H263" s="24"/>
      <c r="I263" s="24">
        <v>1</v>
      </c>
      <c r="J263" s="25" t="s">
        <v>166</v>
      </c>
      <c r="K263" s="48">
        <v>9500</v>
      </c>
    </row>
    <row r="264" spans="3:11" s="22" customFormat="1" ht="15.95" customHeight="1" x14ac:dyDescent="0.25">
      <c r="C264" s="32" t="s">
        <v>146</v>
      </c>
      <c r="D264" s="33">
        <f>SUM(E265)</f>
        <v>2500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2500</v>
      </c>
      <c r="F265" s="41"/>
      <c r="G265" s="41"/>
      <c r="H265" s="41"/>
      <c r="I265" s="24">
        <v>2</v>
      </c>
      <c r="J265" s="25" t="s">
        <v>149</v>
      </c>
      <c r="K265" s="48">
        <v>1250</v>
      </c>
    </row>
    <row r="266" spans="3:11" s="22" customFormat="1" ht="15.95" customHeight="1" x14ac:dyDescent="0.25">
      <c r="C266" s="32" t="s">
        <v>147</v>
      </c>
      <c r="D266" s="33">
        <f>SUM(E267)</f>
        <v>3000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3000</v>
      </c>
      <c r="F267" s="41"/>
      <c r="G267" s="41"/>
      <c r="H267" s="41"/>
      <c r="I267" s="24">
        <v>2</v>
      </c>
      <c r="J267" s="25" t="s">
        <v>166</v>
      </c>
      <c r="K267" s="48">
        <v>1500</v>
      </c>
    </row>
    <row r="268" spans="3:11" s="22" customFormat="1" ht="15.95" customHeight="1" x14ac:dyDescent="0.25">
      <c r="C268" s="32" t="s">
        <v>212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166</v>
      </c>
      <c r="K269" s="48">
        <v>1200</v>
      </c>
    </row>
    <row r="270" spans="3:11" s="22" customFormat="1" ht="15.95" customHeight="1" x14ac:dyDescent="0.25">
      <c r="C270" s="32" t="s">
        <v>263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262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166</v>
      </c>
      <c r="K271" s="48">
        <v>0</v>
      </c>
    </row>
    <row r="272" spans="3:11" ht="15.95" customHeight="1" thickBot="1" x14ac:dyDescent="0.3">
      <c r="C272" s="18" t="s">
        <v>57</v>
      </c>
      <c r="D272" s="14">
        <f>SUM(D2:D271)</f>
        <v>32458.633999999998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2026-06-01T11:07:27Z</dcterms:modified>
</cp:coreProperties>
</file>