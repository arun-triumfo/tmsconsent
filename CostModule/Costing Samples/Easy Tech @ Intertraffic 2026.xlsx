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Easy Tech @ Intertraffic 2026\54 sqm\2026-01-19\Standard Cost\"/>
    </mc:Choice>
  </mc:AlternateContent>
  <xr:revisionPtr revIDLastSave="0" documentId="13_ncr:1_{4851FEDC-46FD-4214-9A17-A83A9F994C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115" i="1" l="1"/>
  <c r="E148" i="1"/>
  <c r="E114" i="1"/>
  <c r="E113" i="1"/>
  <c r="E35" i="1"/>
  <c r="E139" i="1" l="1"/>
  <c r="E273" i="1" l="1"/>
  <c r="D272" i="1" s="1"/>
  <c r="E82" i="1" l="1"/>
  <c r="E81" i="1"/>
  <c r="E91" i="1" l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1" i="1" l="1"/>
  <c r="D270" i="1" s="1"/>
  <c r="E269" i="1"/>
  <c r="D268" i="1" s="1"/>
  <c r="E267" i="1"/>
  <c r="D266" i="1" s="1"/>
  <c r="E265" i="1"/>
  <c r="D264" i="1" s="1"/>
  <c r="E14" i="1" l="1"/>
  <c r="E90" i="1" l="1"/>
  <c r="D89" i="1" s="1"/>
  <c r="E15" i="1" l="1"/>
  <c r="E85" i="1" l="1"/>
  <c r="E86" i="1"/>
  <c r="E87" i="1"/>
  <c r="E213" i="1" l="1"/>
  <c r="E136" i="1"/>
  <c r="E170" i="1"/>
  <c r="D169" i="1" s="1"/>
  <c r="D212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4" i="1"/>
  <c r="E75" i="1"/>
  <c r="E71" i="1"/>
  <c r="E72" i="1"/>
  <c r="E63" i="1"/>
  <c r="E44" i="1" l="1"/>
  <c r="E45" i="1"/>
  <c r="E39" i="1"/>
  <c r="E40" i="1"/>
  <c r="E41" i="1"/>
  <c r="E32" i="1"/>
  <c r="E33" i="1"/>
  <c r="E28" i="1"/>
  <c r="E84" i="1" l="1"/>
  <c r="E83" i="1"/>
  <c r="E80" i="1"/>
  <c r="E52" i="1"/>
  <c r="E51" i="1"/>
  <c r="E50" i="1"/>
  <c r="E62" i="1" l="1"/>
  <c r="E64" i="1" l="1"/>
  <c r="E61" i="1"/>
  <c r="E46" i="1" l="1"/>
  <c r="E42" i="1"/>
  <c r="E43" i="1"/>
  <c r="E156" i="1" l="1"/>
  <c r="E147" i="1" l="1"/>
  <c r="E69" i="1" l="1"/>
  <c r="E70" i="1"/>
  <c r="E73" i="1"/>
  <c r="E76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6" i="1"/>
  <c r="E37" i="1"/>
  <c r="E38" i="1"/>
  <c r="E47" i="1"/>
  <c r="E48" i="1"/>
  <c r="E49" i="1"/>
  <c r="E53" i="1"/>
  <c r="E54" i="1"/>
  <c r="E55" i="1"/>
  <c r="E56" i="1"/>
  <c r="E57" i="1"/>
  <c r="E58" i="1"/>
  <c r="E59" i="1"/>
  <c r="E60" i="1"/>
  <c r="E65" i="1"/>
  <c r="E66" i="1"/>
  <c r="E67" i="1"/>
  <c r="E68" i="1"/>
  <c r="E77" i="1"/>
  <c r="E78" i="1"/>
  <c r="E79" i="1"/>
  <c r="E111" i="1"/>
  <c r="E225" i="1"/>
  <c r="D224" i="1" s="1"/>
  <c r="D16" i="1" l="1"/>
  <c r="D155" i="1"/>
  <c r="D135" i="1"/>
  <c r="D146" i="1"/>
  <c r="D110" i="1"/>
  <c r="D274" i="1" l="1"/>
</calcChain>
</file>

<file path=xl/sharedStrings.xml><?xml version="1.0" encoding="utf-8"?>
<sst xmlns="http://schemas.openxmlformats.org/spreadsheetml/2006/main" count="591" uniqueCount="284">
  <si>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</si>
  <si>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</si>
  <si>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</si>
  <si>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</si>
  <si>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</si>
  <si>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</si>
  <si>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</si>
  <si>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</si>
  <si>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</si>
  <si>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</si>
  <si>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</si>
  <si>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</si>
  <si>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</si>
  <si>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</si>
  <si>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</si>
  <si>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</si>
  <si>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</si>
  <si>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</si>
  <si>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</si>
  <si>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</si>
  <si>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</si>
  <si>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</si>
  <si>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</si>
  <si>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</si>
  <si>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</si>
  <si>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</si>
  <si>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</si>
  <si>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</si>
  <si>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</si>
  <si>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</si>
  <si>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</si>
  <si>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</si>
  <si>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</si>
  <si>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</si>
  <si>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</si>
  <si>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</si>
  <si>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</si>
  <si>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</si>
  <si>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</si>
  <si>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</si>
  <si>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</si>
  <si>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</si>
  <si>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</si>
  <si>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</si>
  <si>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</si>
  <si>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</si>
  <si>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</si>
  <si>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</si>
  <si>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</si>
  <si>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</si>
  <si>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</si>
  <si>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</si>
  <si>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</si>
  <si>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</si>
  <si>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</si>
  <si>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</si>
  <si>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</si>
  <si>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</si>
  <si>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</si>
  <si>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</si>
  <si>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</si>
  <si>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</si>
  <si>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</si>
  <si>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</si>
  <si>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</si>
  <si>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</si>
  <si>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</si>
  <si>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</si>
  <si>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</si>
  <si>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</si>
  <si>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</si>
  <si>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</si>
  <si>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</si>
  <si>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</si>
  <si>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</si>
  <si>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</si>
  <si>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</si>
  <si>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</si>
  <si>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</si>
  <si>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</si>
  <si>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</si>
  <si>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</si>
  <si>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</si>
  <si>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</si>
  <si>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</si>
  <si>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</si>
  <si>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</si>
  <si>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</si>
  <si>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</si>
  <si>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</si>
  <si>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</si>
  <si>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</si>
  <si>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</si>
  <si>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</si>
  <si>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</si>
  <si>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</si>
  <si>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</si>
  <si>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</si>
  <si>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</si>
  <si>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</si>
  <si>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</si>
  <si>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</si>
  <si>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</si>
  <si>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</si>
  <si>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</si>
  <si>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</si>
  <si>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</si>
  <si>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</si>
  <si>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</si>
  <si>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</si>
  <si>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</si>
  <si>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</si>
  <si>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</si>
  <si>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</si>
  <si>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</si>
  <si>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</si>
  <si>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</si>
  <si>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</si>
  <si>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</si>
  <si>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</si>
  <si>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</si>
  <si>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</si>
  <si>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</si>
  <si>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</si>
  <si>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</si>
  <si>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</si>
  <si>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</si>
  <si>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</si>
  <si>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</si>
  <si>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</si>
  <si>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</si>
  <si>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</si>
  <si>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</si>
  <si>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</si>
  <si>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</si>
  <si>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</si>
  <si>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</si>
  <si>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</si>
  <si>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</si>
  <si>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</si>
  <si>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</si>
  <si>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</si>
  <si>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</si>
  <si>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</si>
  <si>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</si>
  <si>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</si>
  <si>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</si>
  <si>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</si>
  <si>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</si>
  <si>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</si>
  <si>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</si>
  <si>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</si>
  <si>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</si>
  <si>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</si>
  <si>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</si>
  <si>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</si>
  <si>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</si>
  <si>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</si>
  <si>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</si>
  <si>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</si>
  <si>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</si>
  <si>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</si>
  <si>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</si>
  <si>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</si>
  <si>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</si>
  <si>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</si>
  <si>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</si>
  <si>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</si>
  <si>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</si>
  <si>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</si>
  <si>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</si>
  <si>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</si>
  <si>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</si>
  <si>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</si>
  <si>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</si>
  <si>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</si>
  <si>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</si>
  <si>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</si>
  <si>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</si>
  <si>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</si>
  <si>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</si>
  <si>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</si>
  <si>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</si>
  <si>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</si>
  <si>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</si>
  <si>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</si>
  <si>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</si>
  <si>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</si>
  <si>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</si>
  <si>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</si>
  <si>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</si>
  <si>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</si>
  <si>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</si>
  <si>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</si>
  <si>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</si>
  <si>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</si>
  <si>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</si>
  <si>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</si>
  <si>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</si>
  <si>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</si>
  <si>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</si>
  <si>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</si>
  <si>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</si>
  <si>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</si>
  <si>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</si>
  <si>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</si>
  <si>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</si>
  <si>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</si>
  <si>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</si>
  <si>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</si>
  <si>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</si>
  <si>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</si>
  <si>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</si>
  <si>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</si>
  <si>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</si>
  <si>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</si>
  <si>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</si>
  <si>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</si>
  <si>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</si>
  <si>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</si>
  <si>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</si>
  <si>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</si>
  <si>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</si>
  <si>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</si>
  <si>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</si>
  <si>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</si>
  <si>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</si>
  <si>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</si>
  <si>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</si>
  <si>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</si>
  <si>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</si>
  <si>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</si>
  <si>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</si>
  <si>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</si>
  <si>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</si>
  <si>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</si>
  <si>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</si>
  <si>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</si>
  <si>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</si>
  <si>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</si>
  <si>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</si>
  <si>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</si>
  <si>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</si>
  <si>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</si>
  <si>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</si>
  <si>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</si>
  <si>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</si>
  <si>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</si>
  <si>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</si>
  <si>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</si>
  <si>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</si>
  <si>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</si>
  <si>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</si>
  <si>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</si>
  <si>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</si>
  <si>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</si>
  <si>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</si>
  <si>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</si>
  <si>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</si>
  <si>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</si>
  <si>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</si>
  <si>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</si>
  <si>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</si>
  <si>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</si>
  <si>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</si>
  <si>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</si>
  <si>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</si>
  <si>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</si>
  <si>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</si>
  <si>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</si>
  <si>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</si>
  <si>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</si>
  <si>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(Laminated)- 3.5 x 0.5 x 1.0</t>
  </si>
  <si>
    <t>Screen Stand (Laminated)- 1.0 x 0.5 x 1.0</t>
  </si>
  <si>
    <t>Cabinate (Laminated)- 1.2 x 0.3 x 1.0</t>
  </si>
  <si>
    <t>Opt Nr:-  1</t>
  </si>
  <si>
    <t>EASY TECH</t>
  </si>
  <si>
    <t>INTERTRAFFIC 2026</t>
  </si>
  <si>
    <t>9M X 6M</t>
  </si>
  <si>
    <t>54 SQM</t>
  </si>
  <si>
    <t>10-13 March, 2026</t>
  </si>
  <si>
    <t>AMSTERDAM</t>
  </si>
  <si>
    <t>Date:- 19-01-2026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</si>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</sst>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146</xdr:row>
      <xdr:rowOff>0</xdr:rowOff>
    </xdr:from>
    <xdr:to>
      <xdr:col>1</xdr:col>
      <xdr:colOff>1041612</xdr:colOff>
      <xdr:row>271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AFED7-B100-43C3-9C6A-E8187644A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098886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E169" sqref="E16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282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1481.74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800.24</v>
      </c>
      <c r="F5" s="8"/>
      <c r="G5" s="8"/>
      <c r="H5" s="8"/>
      <c r="I5" s="9">
        <v>56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560</v>
      </c>
      <c r="F7" s="8"/>
      <c r="G7" s="8"/>
      <c r="H7" s="8"/>
      <c r="I7" s="9">
        <v>56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121.5</v>
      </c>
      <c r="F9" s="8"/>
      <c r="G9" s="8"/>
      <c r="H9" s="8"/>
      <c r="I9" s="9">
        <v>30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SUM(E17:E88)</f>
        <v>1780.2049999999999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50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B20" s="29" t="s">
        <v>249</v>
      </c>
      <c r="C20" s="7" t="s">
        <v>37</v>
      </c>
      <c r="D20" s="7"/>
      <c r="E20" s="8">
        <f t="shared" si="1"/>
        <v>146.565</v>
      </c>
      <c r="F20" s="8">
        <v>1</v>
      </c>
      <c r="G20" s="8">
        <v>0.1</v>
      </c>
      <c r="H20" s="8">
        <v>2.5</v>
      </c>
      <c r="I20" s="9">
        <v>1.5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697.09999999999991</v>
      </c>
      <c r="F26" s="8">
        <v>1</v>
      </c>
      <c r="G26" s="8">
        <v>0.1</v>
      </c>
      <c r="H26" s="8">
        <v>3</v>
      </c>
      <c r="I26" s="9">
        <v>10</v>
      </c>
      <c r="J26" s="10" t="s">
        <v>154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418.26</v>
      </c>
      <c r="F27" s="8">
        <v>1</v>
      </c>
      <c r="G27" s="8">
        <v>0.1</v>
      </c>
      <c r="H27" s="8">
        <v>3</v>
      </c>
      <c r="I27" s="9">
        <v>6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209.72</v>
      </c>
      <c r="F29" s="8">
        <v>1</v>
      </c>
      <c r="G29" s="8">
        <v>0.1</v>
      </c>
      <c r="H29" s="8">
        <v>3</v>
      </c>
      <c r="I29" s="9">
        <v>2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ref="E35" si="3">I35*K35</f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B36" s="29"/>
      <c r="C36" s="7" t="s">
        <v>31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92.57</v>
      </c>
    </row>
    <row r="37" spans="2:11" ht="15.95" hidden="1" customHeight="1" x14ac:dyDescent="0.25">
      <c r="C37" s="7" t="s">
        <v>30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103.43</v>
      </c>
    </row>
    <row r="38" spans="2:11" ht="15.95" hidden="1" customHeight="1" x14ac:dyDescent="0.25">
      <c r="C38" s="7" t="s">
        <v>29</v>
      </c>
      <c r="D38" s="7"/>
      <c r="E38" s="8">
        <f t="shared" si="1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154</v>
      </c>
      <c r="K38" s="30">
        <v>146.29</v>
      </c>
    </row>
    <row r="39" spans="2:11" ht="15.95" hidden="1" customHeight="1" x14ac:dyDescent="0.25">
      <c r="C39" s="7" t="s">
        <v>75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76.19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104.76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115.24</v>
      </c>
    </row>
    <row r="42" spans="2:11" ht="15.95" hidden="1" customHeight="1" x14ac:dyDescent="0.25"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154</v>
      </c>
      <c r="K42" s="30">
        <v>160.47999999999999</v>
      </c>
    </row>
    <row r="43" spans="2:11" ht="15.95" hidden="1" customHeight="1" x14ac:dyDescent="0.25">
      <c r="B43" s="29" t="s">
        <v>249</v>
      </c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77.38</v>
      </c>
    </row>
    <row r="44" spans="2:11" ht="15.95" hidden="1" customHeight="1" x14ac:dyDescent="0.25">
      <c r="B44" s="29" t="s">
        <v>249</v>
      </c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110.71</v>
      </c>
    </row>
    <row r="45" spans="2:11" ht="15.95" hidden="1" customHeight="1" x14ac:dyDescent="0.25">
      <c r="C45" s="7" t="s">
        <v>77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128.57</v>
      </c>
    </row>
    <row r="46" spans="2:11" ht="15.95" hidden="1" customHeight="1" x14ac:dyDescent="0.25">
      <c r="C46" s="7" t="s">
        <v>104</v>
      </c>
      <c r="D46" s="7"/>
      <c r="E46" s="8">
        <f t="shared" si="1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154</v>
      </c>
      <c r="K46" s="30">
        <v>169.05</v>
      </c>
    </row>
    <row r="47" spans="2:11" ht="15.95" hidden="1" customHeight="1" x14ac:dyDescent="0.25">
      <c r="C47" s="7" t="s">
        <v>28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79.14</v>
      </c>
    </row>
    <row r="48" spans="2:11" ht="15.95" hidden="1" customHeight="1" x14ac:dyDescent="0.25">
      <c r="C48" s="7" t="s">
        <v>27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115.14</v>
      </c>
    </row>
    <row r="49" spans="2:11" ht="15.95" hidden="1" customHeight="1" x14ac:dyDescent="0.25">
      <c r="C49" s="7" t="s">
        <v>26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136</v>
      </c>
    </row>
    <row r="50" spans="2:11" ht="15.95" hidden="1" customHeight="1" x14ac:dyDescent="0.25">
      <c r="C50" s="7" t="s">
        <v>25</v>
      </c>
      <c r="D50" s="7"/>
      <c r="E50" s="8">
        <f t="shared" si="1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154</v>
      </c>
      <c r="K50" s="30">
        <v>193.14</v>
      </c>
    </row>
    <row r="51" spans="2:11" ht="15.95" hidden="1" customHeight="1" x14ac:dyDescent="0.25">
      <c r="C51" s="7" t="s">
        <v>95</v>
      </c>
      <c r="D51" s="7"/>
      <c r="E51" s="8">
        <f t="shared" ref="E51:E82" si="4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41.67</v>
      </c>
    </row>
    <row r="52" spans="2:11" ht="15.95" hidden="1" customHeight="1" x14ac:dyDescent="0.25">
      <c r="C52" s="7" t="s">
        <v>96</v>
      </c>
      <c r="D52" s="7"/>
      <c r="E52" s="8">
        <f t="shared" si="4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154</v>
      </c>
      <c r="K52" s="30">
        <v>83.33</v>
      </c>
    </row>
    <row r="53" spans="2:11" ht="15.95" hidden="1" customHeight="1" x14ac:dyDescent="0.25">
      <c r="C53" s="7" t="s">
        <v>40</v>
      </c>
      <c r="D53" s="7"/>
      <c r="E53" s="8">
        <f t="shared" si="4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62.29</v>
      </c>
    </row>
    <row r="54" spans="2:11" ht="15.95" hidden="1" customHeight="1" x14ac:dyDescent="0.25">
      <c r="B54" s="29" t="s">
        <v>249</v>
      </c>
      <c r="C54" s="7" t="s">
        <v>39</v>
      </c>
      <c r="D54" s="7"/>
      <c r="E54" s="8">
        <f t="shared" si="4"/>
        <v>308.56</v>
      </c>
      <c r="F54" s="8">
        <v>1</v>
      </c>
      <c r="G54" s="8">
        <v>0.2</v>
      </c>
      <c r="H54" s="8">
        <v>2.5</v>
      </c>
      <c r="I54" s="9">
        <v>4</v>
      </c>
      <c r="J54" s="10" t="s">
        <v>156</v>
      </c>
      <c r="K54" s="30">
        <v>77.14</v>
      </c>
    </row>
    <row r="55" spans="2:11" ht="15.95" hidden="1" customHeight="1" x14ac:dyDescent="0.25">
      <c r="C55" s="7" t="s">
        <v>38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79.14</v>
      </c>
    </row>
    <row r="56" spans="2:11" ht="15.95" hidden="1" customHeight="1" x14ac:dyDescent="0.25">
      <c r="C56" s="7" t="s">
        <v>37</v>
      </c>
      <c r="D56" s="7"/>
      <c r="E56" s="8">
        <f t="shared" si="4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156</v>
      </c>
      <c r="K56" s="30">
        <v>100</v>
      </c>
    </row>
    <row r="57" spans="2:11" ht="15.95" hidden="1" customHeight="1" x14ac:dyDescent="0.25">
      <c r="C57" s="7" t="s">
        <v>36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80.569999999999993</v>
      </c>
    </row>
    <row r="58" spans="2:11" ht="15.95" hidden="1" customHeight="1" x14ac:dyDescent="0.25">
      <c r="C58" s="7" t="s">
        <v>35</v>
      </c>
      <c r="D58" s="7"/>
      <c r="E58" s="8">
        <f t="shared" si="4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97.43</v>
      </c>
    </row>
    <row r="59" spans="2:11" ht="15.95" hidden="1" customHeight="1" x14ac:dyDescent="0.25">
      <c r="C59" s="7" t="s">
        <v>34</v>
      </c>
      <c r="D59" s="7"/>
      <c r="E59" s="8">
        <f t="shared" si="4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112.57</v>
      </c>
    </row>
    <row r="60" spans="2:11" ht="15.95" hidden="1" customHeight="1" x14ac:dyDescent="0.25">
      <c r="C60" s="7" t="s">
        <v>33</v>
      </c>
      <c r="D60" s="7"/>
      <c r="E60" s="8">
        <f t="shared" si="4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156</v>
      </c>
      <c r="K60" s="30">
        <v>132.57</v>
      </c>
    </row>
    <row r="61" spans="2:11" ht="15.95" hidden="1" customHeight="1" x14ac:dyDescent="0.25">
      <c r="C61" s="7" t="s">
        <v>105</v>
      </c>
      <c r="D61" s="7"/>
      <c r="E61" s="8">
        <f t="shared" si="4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95.24</v>
      </c>
    </row>
    <row r="62" spans="2:11" ht="15.95" hidden="1" customHeight="1" x14ac:dyDescent="0.25">
      <c r="C62" s="7" t="s">
        <v>106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102.38</v>
      </c>
    </row>
    <row r="63" spans="2:11" ht="15.95" hidden="1" customHeight="1" x14ac:dyDescent="0.25">
      <c r="C63" s="7" t="s">
        <v>107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2:11" ht="15.95" hidden="1" customHeight="1" x14ac:dyDescent="0.25">
      <c r="C64" s="7" t="s">
        <v>78</v>
      </c>
      <c r="D64" s="7"/>
      <c r="E64" s="8">
        <f t="shared" si="4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3:11" ht="15.95" hidden="1" customHeight="1" x14ac:dyDescent="0.25">
      <c r="C65" s="7" t="s">
        <v>32</v>
      </c>
      <c r="D65" s="7"/>
      <c r="E65" s="8">
        <f t="shared" si="4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96.29</v>
      </c>
    </row>
    <row r="66" spans="3:11" ht="15.95" hidden="1" customHeight="1" x14ac:dyDescent="0.25">
      <c r="C66" s="7" t="s">
        <v>31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3:11" ht="15.95" hidden="1" customHeight="1" x14ac:dyDescent="0.25">
      <c r="C67" s="7" t="s">
        <v>30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3:11" ht="15.95" hidden="1" customHeight="1" x14ac:dyDescent="0.25">
      <c r="C68" s="7" t="s">
        <v>29</v>
      </c>
      <c r="D68" s="7"/>
      <c r="E68" s="8">
        <f t="shared" si="4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156</v>
      </c>
      <c r="K68" s="30">
        <v>179.71</v>
      </c>
    </row>
    <row r="69" spans="3:11" ht="15.95" hidden="1" customHeight="1" x14ac:dyDescent="0.25">
      <c r="C69" s="7" t="s">
        <v>69</v>
      </c>
      <c r="D69" s="7"/>
      <c r="E69" s="8">
        <f t="shared" si="4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100.95</v>
      </c>
    </row>
    <row r="70" spans="3:11" ht="15.95" hidden="1" customHeight="1" x14ac:dyDescent="0.25">
      <c r="C70" s="7" t="s">
        <v>70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130.94999999999999</v>
      </c>
    </row>
    <row r="71" spans="3:11" ht="15.95" hidden="1" customHeight="1" x14ac:dyDescent="0.25">
      <c r="C71" s="7" t="s">
        <v>108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140.47999999999999</v>
      </c>
    </row>
    <row r="72" spans="3:11" ht="15.95" hidden="1" customHeight="1" x14ac:dyDescent="0.25">
      <c r="C72" s="7" t="s">
        <v>138</v>
      </c>
      <c r="D72" s="7"/>
      <c r="E72" s="8">
        <f t="shared" si="4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357.14</v>
      </c>
    </row>
    <row r="73" spans="3:11" ht="15.95" hidden="1" customHeight="1" x14ac:dyDescent="0.25">
      <c r="C73" s="7" t="s">
        <v>67</v>
      </c>
      <c r="D73" s="7"/>
      <c r="E73" s="8">
        <f t="shared" si="4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111.43</v>
      </c>
    </row>
    <row r="74" spans="3:11" ht="15.95" hidden="1" customHeight="1" x14ac:dyDescent="0.25">
      <c r="C74" s="7" t="s">
        <v>68</v>
      </c>
      <c r="D74" s="7"/>
      <c r="E74" s="8">
        <f t="shared" si="4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145.24</v>
      </c>
    </row>
    <row r="75" spans="3:11" ht="15.95" hidden="1" customHeight="1" x14ac:dyDescent="0.25">
      <c r="C75" s="7" t="s">
        <v>109</v>
      </c>
      <c r="D75" s="7"/>
      <c r="E75" s="8">
        <f t="shared" si="4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167.86</v>
      </c>
    </row>
    <row r="76" spans="3:11" ht="15.95" hidden="1" customHeight="1" x14ac:dyDescent="0.25">
      <c r="C76" s="7" t="s">
        <v>110</v>
      </c>
      <c r="D76" s="7"/>
      <c r="E76" s="8">
        <f t="shared" si="4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223.81</v>
      </c>
    </row>
    <row r="77" spans="3:11" ht="15.95" hidden="1" customHeight="1" x14ac:dyDescent="0.25">
      <c r="C77" s="7" t="s">
        <v>28</v>
      </c>
      <c r="D77" s="7"/>
      <c r="E77" s="8">
        <f t="shared" si="4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116.29</v>
      </c>
    </row>
    <row r="78" spans="3:11" ht="15.95" hidden="1" customHeight="1" x14ac:dyDescent="0.25">
      <c r="C78" s="7" t="s">
        <v>27</v>
      </c>
      <c r="D78" s="7"/>
      <c r="E78" s="8">
        <f t="shared" si="4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152.29</v>
      </c>
    </row>
    <row r="79" spans="3:11" ht="15.95" hidden="1" customHeight="1" x14ac:dyDescent="0.25">
      <c r="C79" s="7" t="s">
        <v>26</v>
      </c>
      <c r="D79" s="7"/>
      <c r="E79" s="8">
        <f t="shared" si="4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173.14</v>
      </c>
    </row>
    <row r="80" spans="3:11" ht="15.95" hidden="1" customHeight="1" x14ac:dyDescent="0.25">
      <c r="C80" s="7" t="s">
        <v>25</v>
      </c>
      <c r="D80" s="7"/>
      <c r="E80" s="8">
        <f t="shared" si="4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4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262</v>
      </c>
      <c r="D82" s="23"/>
      <c r="E82" s="24">
        <f t="shared" si="4"/>
        <v>0</v>
      </c>
      <c r="F82" s="24">
        <v>1</v>
      </c>
      <c r="G82" s="24"/>
      <c r="H82" s="24">
        <v>1</v>
      </c>
      <c r="I82" s="44">
        <v>0</v>
      </c>
      <c r="J82" s="25" t="s">
        <v>261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280</v>
      </c>
      <c r="C89" s="26" t="s">
        <v>195</v>
      </c>
      <c r="D89" s="27">
        <f>SUM(E90:E109)</f>
        <v>1186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09" si="6">I90*K90</f>
        <v>300</v>
      </c>
      <c r="F90" s="24"/>
      <c r="G90" s="24"/>
      <c r="H90" s="24"/>
      <c r="I90" s="24">
        <v>12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40</v>
      </c>
      <c r="F91" s="24"/>
      <c r="G91" s="24"/>
      <c r="H91" s="24"/>
      <c r="I91" s="24">
        <v>4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16</v>
      </c>
      <c r="F92" s="24"/>
      <c r="G92" s="24"/>
      <c r="H92" s="24"/>
      <c r="I92" s="24">
        <v>8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266</v>
      </c>
      <c r="D96" s="7"/>
      <c r="E96" s="24">
        <f t="shared" si="6"/>
        <v>830</v>
      </c>
      <c r="F96" s="8"/>
      <c r="G96" s="8"/>
      <c r="H96" s="8"/>
      <c r="I96" s="8">
        <v>1</v>
      </c>
      <c r="J96" s="10" t="s">
        <v>166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6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6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6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6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6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278</v>
      </c>
      <c r="C110" s="26" t="s">
        <v>196</v>
      </c>
      <c r="D110" s="27">
        <f>SUM(E111:E134)</f>
        <v>733.38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4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270</v>
      </c>
      <c r="D113" s="7"/>
      <c r="E113" s="8">
        <f t="shared" ref="E113:E115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8"/>
        <v>423.86</v>
      </c>
      <c r="F114" s="8">
        <v>3.5</v>
      </c>
      <c r="G114" s="8">
        <v>0.5</v>
      </c>
      <c r="H114" s="8">
        <v>1</v>
      </c>
      <c r="I114" s="8">
        <v>1</v>
      </c>
      <c r="J114" s="10" t="s">
        <v>166</v>
      </c>
      <c r="K114" s="30">
        <v>423.86</v>
      </c>
    </row>
    <row r="115" spans="2:11" s="4" customFormat="1" ht="15.95" hidden="1" customHeight="1" x14ac:dyDescent="0.25">
      <c r="C115" s="7" t="s">
        <v>273</v>
      </c>
      <c r="D115" s="7"/>
      <c r="E115" s="8">
        <f t="shared" si="8"/>
        <v>154.76</v>
      </c>
      <c r="F115" s="8">
        <v>1</v>
      </c>
      <c r="G115" s="8">
        <v>0.5</v>
      </c>
      <c r="H115" s="8">
        <v>1</v>
      </c>
      <c r="I115" s="8">
        <v>1</v>
      </c>
      <c r="J115" s="10" t="s">
        <v>166</v>
      </c>
      <c r="K115" s="30">
        <v>154.76</v>
      </c>
    </row>
    <row r="116" spans="2:11" s="4" customFormat="1" ht="15.95" hidden="1" customHeight="1" x14ac:dyDescent="0.25">
      <c r="C116" s="7" t="s">
        <v>274</v>
      </c>
      <c r="D116" s="7"/>
      <c r="E116" s="8">
        <f t="shared" si="7"/>
        <v>154.76</v>
      </c>
      <c r="F116" s="8">
        <v>1.2</v>
      </c>
      <c r="G116" s="8">
        <v>0.3</v>
      </c>
      <c r="H116" s="8">
        <v>1</v>
      </c>
      <c r="I116" s="8">
        <v>1</v>
      </c>
      <c r="J116" s="10" t="s">
        <v>166</v>
      </c>
      <c r="K116" s="30">
        <v>154.76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7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7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7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7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7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7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7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7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7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7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7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7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7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7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279</v>
      </c>
      <c r="C135" s="26" t="s">
        <v>204</v>
      </c>
      <c r="D135" s="27">
        <f>SUM(E136:E145)</f>
        <v>273.10000000000002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9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271</v>
      </c>
      <c r="D138" s="7"/>
      <c r="E138" s="8">
        <f t="shared" si="9"/>
        <v>238.1</v>
      </c>
      <c r="F138" s="8">
        <v>1</v>
      </c>
      <c r="G138" s="8">
        <v>0</v>
      </c>
      <c r="H138" s="8">
        <v>2</v>
      </c>
      <c r="I138" s="8">
        <v>2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283</v>
      </c>
      <c r="C146" s="26" t="s">
        <v>205</v>
      </c>
      <c r="D146" s="27">
        <f>SUM(E147:E154)</f>
        <v>652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268</v>
      </c>
      <c r="D147" s="7"/>
      <c r="E147" s="8">
        <f t="shared" ref="E147:E154" si="10">I147*K147</f>
        <v>100</v>
      </c>
      <c r="F147" s="8">
        <v>1</v>
      </c>
      <c r="G147" s="8">
        <v>0.2</v>
      </c>
      <c r="H147" s="8">
        <v>0.2</v>
      </c>
      <c r="I147" s="8">
        <v>1</v>
      </c>
      <c r="J147" s="10" t="s">
        <v>166</v>
      </c>
      <c r="K147" s="30">
        <v>100</v>
      </c>
    </row>
    <row r="148" spans="1:11" s="4" customFormat="1" ht="15.95" hidden="1" customHeight="1" x14ac:dyDescent="0.25">
      <c r="C148" s="7" t="s">
        <v>268</v>
      </c>
      <c r="D148" s="7"/>
      <c r="E148" s="8">
        <f t="shared" ref="E148" si="11">I148*K148</f>
        <v>400</v>
      </c>
      <c r="F148" s="8">
        <v>0.4</v>
      </c>
      <c r="G148" s="8">
        <v>0.4</v>
      </c>
      <c r="H148" s="8">
        <v>1</v>
      </c>
      <c r="I148" s="8">
        <v>4</v>
      </c>
      <c r="J148" s="10" t="s">
        <v>166</v>
      </c>
      <c r="K148" s="30">
        <v>100</v>
      </c>
    </row>
    <row r="149" spans="1:11" s="4" customFormat="1" ht="15.95" hidden="1" customHeight="1" x14ac:dyDescent="0.25">
      <c r="C149" s="7" t="s">
        <v>86</v>
      </c>
      <c r="D149" s="7"/>
      <c r="E149" s="8">
        <f t="shared" si="10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166</v>
      </c>
      <c r="K149" s="30">
        <v>219.05</v>
      </c>
    </row>
    <row r="150" spans="1:11" s="4" customFormat="1" ht="15.95" hidden="1" customHeight="1" x14ac:dyDescent="0.25">
      <c r="C150" s="7" t="s">
        <v>180</v>
      </c>
      <c r="D150" s="7"/>
      <c r="E150" s="8">
        <f t="shared" si="10"/>
        <v>102</v>
      </c>
      <c r="F150" s="8">
        <v>0</v>
      </c>
      <c r="G150" s="8">
        <v>0</v>
      </c>
      <c r="H150" s="8">
        <v>0</v>
      </c>
      <c r="I150" s="8">
        <v>34</v>
      </c>
      <c r="J150" s="10" t="s">
        <v>166</v>
      </c>
      <c r="K150" s="30">
        <v>3</v>
      </c>
    </row>
    <row r="151" spans="1:11" s="4" customFormat="1" ht="15.95" hidden="1" customHeight="1" x14ac:dyDescent="0.25">
      <c r="C151" s="7" t="s">
        <v>53</v>
      </c>
      <c r="D151" s="7"/>
      <c r="E151" s="8">
        <f t="shared" si="10"/>
        <v>50</v>
      </c>
      <c r="F151" s="8">
        <v>0</v>
      </c>
      <c r="G151" s="8">
        <v>0</v>
      </c>
      <c r="H151" s="8">
        <v>0</v>
      </c>
      <c r="I151" s="8">
        <v>1</v>
      </c>
      <c r="J151" s="10" t="s">
        <v>166</v>
      </c>
      <c r="K151" s="30">
        <v>50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10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748.18000000000006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2">I156*K156</f>
        <v>119</v>
      </c>
      <c r="F156" s="8"/>
      <c r="G156" s="8"/>
      <c r="H156" s="8"/>
      <c r="I156" s="8">
        <v>10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2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2"/>
        <v>60</v>
      </c>
      <c r="F163" s="12"/>
      <c r="G163" s="12"/>
      <c r="H163" s="12"/>
      <c r="I163" s="8">
        <v>12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2"/>
        <v>95.2</v>
      </c>
      <c r="F164" s="8"/>
      <c r="G164" s="8"/>
      <c r="H164" s="8"/>
      <c r="I164" s="8">
        <v>8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2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2"/>
        <v>283.5</v>
      </c>
      <c r="F167" s="8"/>
      <c r="G167" s="8"/>
      <c r="H167" s="8"/>
      <c r="I167" s="8">
        <v>70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2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SUM(E170:E211)</f>
        <v>491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3">I170*K170</f>
        <v>15</v>
      </c>
      <c r="F170" s="12"/>
      <c r="G170" s="12"/>
      <c r="H170" s="12"/>
      <c r="I170" s="8">
        <v>1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3"/>
        <v>96</v>
      </c>
      <c r="F171" s="12"/>
      <c r="G171" s="12"/>
      <c r="H171" s="12"/>
      <c r="I171" s="8">
        <v>8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3"/>
        <v>40</v>
      </c>
      <c r="F172" s="12"/>
      <c r="G172" s="12"/>
      <c r="H172" s="12"/>
      <c r="I172" s="8">
        <v>2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3"/>
        <v>0</v>
      </c>
      <c r="F173" s="12"/>
      <c r="G173" s="12"/>
      <c r="H173" s="12"/>
      <c r="I173" s="8">
        <v>0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3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3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3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3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3"/>
        <v>170</v>
      </c>
      <c r="F179" s="12"/>
      <c r="G179" s="12"/>
      <c r="H179" s="12"/>
      <c r="I179" s="8">
        <v>2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3"/>
        <v>32</v>
      </c>
      <c r="F182" s="12"/>
      <c r="G182" s="12"/>
      <c r="H182" s="12"/>
      <c r="I182" s="8">
        <v>4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3"/>
        <v>70</v>
      </c>
      <c r="F184" s="12"/>
      <c r="G184" s="12"/>
      <c r="H184" s="12"/>
      <c r="I184" s="8">
        <v>2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3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3"/>
        <v>35</v>
      </c>
      <c r="F186" s="12"/>
      <c r="G186" s="12"/>
      <c r="H186" s="12"/>
      <c r="I186" s="8">
        <v>1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3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3"/>
        <v>25</v>
      </c>
      <c r="F190" s="12"/>
      <c r="G190" s="12"/>
      <c r="H190" s="12"/>
      <c r="I190" s="8">
        <v>1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3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3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3"/>
        <v>0</v>
      </c>
      <c r="F195" s="8"/>
      <c r="G195" s="8"/>
      <c r="H195" s="8"/>
      <c r="I195" s="8">
        <v>0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257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3"/>
        <v>8</v>
      </c>
      <c r="F197" s="8"/>
      <c r="G197" s="8"/>
      <c r="H197" s="8"/>
      <c r="I197" s="8">
        <v>1</v>
      </c>
      <c r="J197" s="10" t="s">
        <v>166</v>
      </c>
      <c r="K197" s="30">
        <v>8</v>
      </c>
    </row>
    <row r="198" spans="2:11" s="4" customFormat="1" ht="15.95" hidden="1" customHeight="1" x14ac:dyDescent="0.25">
      <c r="C198" s="7" t="s">
        <v>73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84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B200" s="29" t="s">
        <v>249</v>
      </c>
      <c r="C200" s="7" t="s">
        <v>85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25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85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12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25</v>
      </c>
    </row>
    <row r="206" spans="2:11" s="4" customFormat="1" ht="15.95" hidden="1" customHeight="1" x14ac:dyDescent="0.25">
      <c r="C206" s="7" t="s">
        <v>94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6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3</v>
      </c>
    </row>
    <row r="209" spans="3:11" s="4" customFormat="1" ht="15.95" hidden="1" customHeight="1" x14ac:dyDescent="0.25">
      <c r="C209" s="7" t="s">
        <v>124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35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3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166</v>
      </c>
      <c r="K210" s="30">
        <v>20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3"/>
        <v>0</v>
      </c>
      <c r="F211" s="8"/>
      <c r="G211" s="8"/>
      <c r="H211" s="8"/>
      <c r="I211" s="8">
        <v>0</v>
      </c>
      <c r="J211" s="10" t="s">
        <v>166</v>
      </c>
      <c r="K211" s="30">
        <v>85</v>
      </c>
    </row>
    <row r="212" spans="3:11" s="4" customFormat="1" ht="15.95" customHeight="1" x14ac:dyDescent="0.25">
      <c r="C212" s="26" t="s">
        <v>183</v>
      </c>
      <c r="D212" s="27">
        <f>SUM(E213:E223)</f>
        <v>1331.18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244</v>
      </c>
      <c r="D213" s="7"/>
      <c r="E213" s="8">
        <f t="shared" ref="E213:E223" si="14">I213*K213</f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10.71</v>
      </c>
    </row>
    <row r="214" spans="3:11" s="4" customFormat="1" ht="15.95" hidden="1" customHeight="1" x14ac:dyDescent="0.25">
      <c r="C214" s="7" t="s">
        <v>243</v>
      </c>
      <c r="D214" s="7"/>
      <c r="E214" s="8">
        <f t="shared" si="14"/>
        <v>340.56</v>
      </c>
      <c r="F214" s="8">
        <v>1</v>
      </c>
      <c r="G214" s="8">
        <v>1</v>
      </c>
      <c r="H214" s="12"/>
      <c r="I214" s="8">
        <v>22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4"/>
        <v>309.60000000000002</v>
      </c>
      <c r="F215" s="8">
        <v>1</v>
      </c>
      <c r="G215" s="8">
        <v>1</v>
      </c>
      <c r="H215" s="12"/>
      <c r="I215" s="8">
        <v>20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4"/>
        <v>104.8</v>
      </c>
      <c r="F216" s="8">
        <v>1</v>
      </c>
      <c r="G216" s="8">
        <v>1</v>
      </c>
      <c r="H216" s="12"/>
      <c r="I216" s="8">
        <v>8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4"/>
        <v>523.81999999999994</v>
      </c>
      <c r="F217" s="8">
        <v>1</v>
      </c>
      <c r="G217" s="8">
        <v>1</v>
      </c>
      <c r="H217" s="12"/>
      <c r="I217" s="8">
        <v>5.5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259</v>
      </c>
      <c r="D218" s="7"/>
      <c r="E218" s="8">
        <f t="shared" si="14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4"/>
        <v>52.4</v>
      </c>
      <c r="F221" s="8">
        <v>1</v>
      </c>
      <c r="G221" s="8">
        <v>1</v>
      </c>
      <c r="H221" s="12"/>
      <c r="I221" s="8">
        <v>4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4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SUM(E225:E263)</f>
        <v>750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5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5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5"/>
        <v>390</v>
      </c>
      <c r="F239" s="8"/>
      <c r="G239" s="8"/>
      <c r="H239" s="8"/>
      <c r="I239" s="8">
        <v>1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5"/>
        <v>360</v>
      </c>
      <c r="F243" s="8"/>
      <c r="G243" s="8"/>
      <c r="H243" s="8"/>
      <c r="I243" s="8">
        <v>1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1050</v>
      </c>
    </row>
    <row r="264" spans="3:11" s="22" customFormat="1" ht="15.95" customHeight="1" x14ac:dyDescent="0.25">
      <c r="C264" s="32" t="s">
        <v>148</v>
      </c>
      <c r="D264" s="33">
        <f>SUM(E265)</f>
        <v>10500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10500</v>
      </c>
      <c r="F265" s="24"/>
      <c r="G265" s="24"/>
      <c r="H265" s="24"/>
      <c r="I265" s="24">
        <v>1</v>
      </c>
      <c r="J265" s="25" t="s">
        <v>166</v>
      </c>
      <c r="K265" s="48">
        <v>10500</v>
      </c>
    </row>
    <row r="266" spans="3:11" s="22" customFormat="1" ht="15.95" customHeight="1" x14ac:dyDescent="0.25">
      <c r="C266" s="32" t="s">
        <v>146</v>
      </c>
      <c r="D266" s="33">
        <f>SUM(E267)</f>
        <v>3500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3500</v>
      </c>
      <c r="F267" s="41"/>
      <c r="G267" s="41"/>
      <c r="H267" s="41"/>
      <c r="I267" s="24">
        <v>2</v>
      </c>
      <c r="J267" s="25" t="s">
        <v>149</v>
      </c>
      <c r="K267" s="48">
        <v>1750</v>
      </c>
    </row>
    <row r="268" spans="3:11" s="22" customFormat="1" ht="15.95" customHeight="1" x14ac:dyDescent="0.25">
      <c r="C268" s="32" t="s">
        <v>147</v>
      </c>
      <c r="D268" s="33">
        <f>SUM(E269)</f>
        <v>5000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5000</v>
      </c>
      <c r="F269" s="41"/>
      <c r="G269" s="41"/>
      <c r="H269" s="41"/>
      <c r="I269" s="24">
        <v>2</v>
      </c>
      <c r="J269" s="25" t="s">
        <v>166</v>
      </c>
      <c r="K269" s="48">
        <v>2500</v>
      </c>
    </row>
    <row r="270" spans="3:11" s="22" customFormat="1" ht="15.95" customHeight="1" x14ac:dyDescent="0.25">
      <c r="C270" s="32" t="s">
        <v>212</v>
      </c>
      <c r="D270" s="33">
        <f>SUM(E271)</f>
        <v>1200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</v>
      </c>
      <c r="F271" s="41"/>
      <c r="G271" s="41"/>
      <c r="H271" s="41"/>
      <c r="I271" s="24">
        <v>1</v>
      </c>
      <c r="J271" s="25" t="s">
        <v>166</v>
      </c>
      <c r="K271" s="48">
        <v>1200</v>
      </c>
    </row>
    <row r="272" spans="3:11" s="22" customFormat="1" ht="15.95" customHeight="1" x14ac:dyDescent="0.25">
      <c r="C272" s="32" t="s">
        <v>264</v>
      </c>
      <c r="D272" s="33">
        <f>SUM(E273)</f>
        <v>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263</v>
      </c>
      <c r="D273" s="38"/>
      <c r="E273" s="39">
        <f>I273*K273</f>
        <v>0</v>
      </c>
      <c r="F273" s="41"/>
      <c r="G273" s="41"/>
      <c r="H273" s="41"/>
      <c r="I273" s="24">
        <v>0</v>
      </c>
      <c r="J273" s="25" t="s">
        <v>166</v>
      </c>
      <c r="K273" s="48">
        <v>0</v>
      </c>
    </row>
    <row r="274" spans="3:11" ht="15.95" customHeight="1" thickBot="1" x14ac:dyDescent="0.3">
      <c r="C274" s="18" t="s">
        <v>57</v>
      </c>
      <c r="D274" s="14">
        <f>SUM(D2:D273)</f>
        <v>29891.785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2026-01-19T14:23:27Z</dcterms:modified>
</cp:coreProperties>
</file>