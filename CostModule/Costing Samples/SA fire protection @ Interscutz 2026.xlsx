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SA fire protection @ Interscutz 2026\Radon\"/>
    </mc:Choice>
  </mc:AlternateContent>
  <xr:revisionPtr revIDLastSave="0" documentId="13_ncr:1_{52CCF369-AEA0-48B4-AF6B-8ACBCADFD99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Europe!$C$1:$K$274</definedName>
    <definedName name="_xlnm.Print_Area" localSheetId="0">Europe!$A$1:$H$274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1" i="1" l="1"/>
  <c r="E116" i="1"/>
  <c r="E114" i="1"/>
  <c r="E115" i="1"/>
  <c r="E113" i="1"/>
  <c r="E112" i="1"/>
  <c r="E35" i="1"/>
  <c r="E140" i="1" l="1"/>
  <c r="E273" i="1" l="1"/>
  <c r="D272" i="1" s="1"/>
  <c r="E81" i="1" l="1"/>
  <c r="E80" i="1"/>
  <c r="E90" i="1" l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1" i="1"/>
  <c r="E117" i="1"/>
  <c r="E118" i="1"/>
  <c r="E119" i="1"/>
  <c r="E120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8" i="1"/>
  <c r="E139" i="1"/>
  <c r="E141" i="1"/>
  <c r="E142" i="1"/>
  <c r="E143" i="1"/>
  <c r="E144" i="1"/>
  <c r="E145" i="1"/>
  <c r="E146" i="1"/>
  <c r="E149" i="1"/>
  <c r="E150" i="1"/>
  <c r="E151" i="1"/>
  <c r="E152" i="1"/>
  <c r="E153" i="1"/>
  <c r="E154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7" i="1"/>
  <c r="E196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4" i="1"/>
  <c r="E215" i="1"/>
  <c r="E216" i="1"/>
  <c r="E217" i="1"/>
  <c r="E218" i="1"/>
  <c r="E219" i="1"/>
  <c r="E220" i="1"/>
  <c r="E221" i="1"/>
  <c r="E222" i="1"/>
  <c r="E223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71" i="1" l="1"/>
  <c r="D270" i="1" s="1"/>
  <c r="E269" i="1"/>
  <c r="D268" i="1" s="1"/>
  <c r="E267" i="1"/>
  <c r="D266" i="1" s="1"/>
  <c r="E265" i="1"/>
  <c r="D264" i="1" s="1"/>
  <c r="E14" i="1" l="1"/>
  <c r="E89" i="1" l="1"/>
  <c r="D88" i="1" s="1"/>
  <c r="E15" i="1" l="1"/>
  <c r="E84" i="1" l="1"/>
  <c r="E85" i="1"/>
  <c r="E86" i="1"/>
  <c r="E213" i="1" l="1"/>
  <c r="E137" i="1"/>
  <c r="E170" i="1"/>
  <c r="D169" i="1" s="1"/>
  <c r="D212" i="1" l="1"/>
  <c r="E87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3" i="1"/>
  <c r="E74" i="1"/>
  <c r="E70" i="1"/>
  <c r="E71" i="1"/>
  <c r="E62" i="1"/>
  <c r="E43" i="1" l="1"/>
  <c r="E44" i="1"/>
  <c r="E38" i="1"/>
  <c r="E39" i="1"/>
  <c r="E40" i="1"/>
  <c r="E31" i="1"/>
  <c r="E32" i="1"/>
  <c r="E27" i="1"/>
  <c r="E83" i="1" l="1"/>
  <c r="E82" i="1"/>
  <c r="E79" i="1"/>
  <c r="E51" i="1"/>
  <c r="E50" i="1"/>
  <c r="E49" i="1"/>
  <c r="E61" i="1" l="1"/>
  <c r="E63" i="1" l="1"/>
  <c r="E60" i="1"/>
  <c r="E45" i="1" l="1"/>
  <c r="E41" i="1"/>
  <c r="E42" i="1"/>
  <c r="E156" i="1" l="1"/>
  <c r="E148" i="1" l="1"/>
  <c r="E68" i="1" l="1"/>
  <c r="E69" i="1"/>
  <c r="E72" i="1"/>
  <c r="E75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6" i="1"/>
  <c r="E37" i="1"/>
  <c r="E46" i="1"/>
  <c r="E47" i="1"/>
  <c r="E48" i="1"/>
  <c r="E52" i="1"/>
  <c r="E53" i="1"/>
  <c r="E54" i="1"/>
  <c r="E55" i="1"/>
  <c r="E56" i="1"/>
  <c r="E57" i="1"/>
  <c r="E58" i="1"/>
  <c r="E59" i="1"/>
  <c r="E64" i="1"/>
  <c r="E65" i="1"/>
  <c r="E66" i="1"/>
  <c r="E67" i="1"/>
  <c r="E76" i="1"/>
  <c r="E77" i="1"/>
  <c r="E78" i="1"/>
  <c r="E110" i="1"/>
  <c r="E225" i="1"/>
  <c r="D224" i="1" s="1"/>
  <c r="D16" i="1" l="1"/>
  <c r="D155" i="1"/>
  <c r="D136" i="1"/>
  <c r="D147" i="1"/>
  <c r="D109" i="1"/>
  <c r="D274" i="1" l="1"/>
</calcChain>
</file>

<file path=xl/sharedStrings.xml><?xml version="1.0" encoding="utf-8"?>
<sst xmlns="http://schemas.openxmlformats.org/spreadsheetml/2006/main" count="589" uniqueCount="287">
  <si>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</si>
  <si>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</si>
  <si>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</si>
  <si>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</si>
  <si>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</si>
  <si>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</si>
  <si>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</si>
  <si>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</si>
  <si>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</si>
  <si>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</si>
  <si>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</si>
  <si>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</si>
  <si>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</si>
  <si>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</si>
  <si>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</si>
  <si>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</si>
  <si>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</si>
  <si>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</si>
  <si>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</si>
  <si>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</si>
  <si>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</si>
  <si>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</si>
  <si>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</si>
  <si>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</si>
  <si>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</si>
  <si>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</si>
  <si>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</si>
  <si>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</si>
  <si>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</si>
  <si>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</si>
  <si>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</si>
  <si>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</si>
  <si>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</si>
  <si>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</si>
  <si>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</si>
  <si>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</si>
  <si>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</si>
  <si>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</si>
  <si>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</si>
  <si>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</si>
  <si>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</si>
  <si>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</si>
  <si>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</si>
  <si>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</si>
  <si>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</si>
  <si>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</si>
  <si>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</si>
  <si>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</si>
  <si>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</si>
  <si>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</si>
  <si>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</si>
  <si>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</si>
  <si>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</si>
  <si>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</si>
  <si>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</si>
  <si>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</si>
  <si>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</si>
  <si>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</si>
  <si>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</si>
  <si>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</si>
  <si>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</si>
  <si>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</si>
  <si>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</si>
  <si>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</si>
  <si>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</si>
  <si>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</si>
  <si>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</si>
  <si>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</si>
  <si>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</si>
  <si>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</si>
  <si>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</si>
  <si>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</si>
  <si>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</si>
  <si>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</si>
  <si>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</si>
  <si>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</si>
  <si>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</si>
  <si>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</si>
  <si>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</si>
  <si>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</si>
  <si>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</si>
  <si>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</si>
  <si>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</si>
  <si>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</si>
  <si>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</si>
  <si>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</si>
  <si>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</si>
  <si>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</si>
  <si>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</si>
  <si>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</si>
  <si>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</si>
  <si>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</si>
  <si>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</si>
  <si>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</si>
  <si>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</si>
  <si>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</si>
  <si>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</si>
  <si>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</si>
  <si>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</si>
  <si>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</si>
  <si>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</si>
  <si>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</si>
  <si>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</si>
  <si>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</si>
  <si>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</si>
  <si>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</si>
  <si>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</si>
  <si>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</si>
  <si>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</si>
  <si>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</si>
  <si>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</si>
  <si>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</si>
  <si>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</si>
  <si>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</si>
  <si>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</si>
  <si>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</si>
  <si>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</si>
  <si>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</si>
  <si>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</si>
  <si>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</si>
  <si>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</si>
  <si>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</si>
  <si>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</si>
  <si>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</si>
  <si>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</si>
  <si>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</si>
  <si>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</si>
  <si>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</si>
  <si>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</si>
  <si>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</si>
  <si>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</si>
  <si>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</si>
  <si>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</si>
  <si>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</si>
  <si>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</si>
  <si>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</si>
  <si>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</si>
  <si>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</si>
  <si>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</si>
  <si>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</si>
  <si>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</si>
  <si>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</si>
  <si>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</si>
  <si>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</si>
  <si>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</si>
  <si>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</si>
  <si>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</si>
  <si>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</si>
  <si>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</si>
  <si>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</si>
  <si>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</si>
  <si>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</si>
  <si>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</si>
  <si>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</si>
  <si>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</si>
  <si>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</si>
  <si>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</si>
  <si>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</si>
  <si>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</si>
  <si>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</si>
  <si>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</si>
  <si>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</si>
  <si>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</si>
  <si>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</si>
  <si>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</si>
  <si>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</si>
  <si>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</si>
  <si>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</si>
  <si>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</si>
  <si>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</si>
  <si>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</si>
  <si>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</si>
  <si>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</si>
  <si>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</si>
  <si>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</si>
  <si>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</si>
  <si>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</si>
  <si>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</si>
  <si>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</si>
  <si>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</si>
  <si>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</si>
  <si>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</si>
  <si>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</si>
  <si>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</si>
  <si>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</si>
  <si>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</si>
  <si>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</si>
  <si>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</si>
  <si>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</si>
  <si>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</si>
  <si>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</si>
  <si>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</si>
  <si>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</si>
  <si>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</si>
  <si>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</si>
  <si>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</si>
  <si>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</si>
  <si>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</si>
  <si>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</si>
  <si>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</si>
  <si>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</si>
  <si>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</si>
  <si>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</si>
  <si>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</si>
  <si>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</si>
  <si>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</si>
  <si>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</si>
  <si>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</si>
  <si>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</si>
  <si>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</si>
  <si>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</si>
  <si>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</si>
  <si>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</si>
  <si>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</si>
  <si>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</si>
  <si>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</si>
  <si>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</si>
  <si>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</si>
  <si>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</si>
  <si>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</si>
  <si>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</si>
  <si>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</si>
  <si>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</si>
  <si>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</si>
  <si>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</si>
  <si>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</si>
  <si>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</si>
  <si>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</si>
  <si>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</si>
  <si>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</si>
  <si>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</si>
  <si>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</si>
  <si>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</si>
  <si>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</si>
  <si>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</si>
  <si>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</si>
  <si>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</si>
  <si>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</si>
  <si>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</si>
  <si>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</si>
  <si>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</si>
  <si>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</si>
  <si>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</si>
  <si>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</si>
  <si>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</si>
  <si>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</si>
  <si>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</si>
  <si>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</si>
  <si>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</si>
  <si>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</si>
  <si>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</si>
  <si>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</si>
  <si>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</si>
  <si>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</si>
  <si>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</si>
  <si>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</si>
  <si>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</si>
  <si>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</si>
  <si>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</si>
  <si>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</si>
  <si>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</si>
  <si>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</si>
  <si>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</si>
  <si>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</si>
  <si>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</si>
  <si>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</si>
  <si>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</si>
  <si>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</si>
  <si>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</si>
  <si>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</si>
  <si>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</si>
  <si>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</si>
  <si>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MAXIMA/ B-MATRIX STRUCTURE</t>
  </si>
  <si>
    <t>Reception Counter (Laminated)- 4.2 x 0.5 x 1.0</t>
  </si>
  <si>
    <t>Bar Counter (Laminated)- 3.0 x 0.5 x 1.0</t>
  </si>
  <si>
    <t>Podium (Laminated)- 1.0 x 0.5 x 1.0</t>
  </si>
  <si>
    <t>Cabinate (Laminated)- 3.0 x 0.5 x 1.0</t>
  </si>
  <si>
    <t>Showcase (Laminated)- 2.5 x 1.0 x 0.5</t>
  </si>
  <si>
    <t>Opt Nr:-  1</t>
  </si>
  <si>
    <t>Date:- 21-01-2026</t>
  </si>
  <si>
    <t>SA Fire Protection</t>
  </si>
  <si>
    <t>INTERSCHUTZ 2026</t>
  </si>
  <si>
    <t>10M X 10M</t>
  </si>
  <si>
    <t>100 SQM</t>
  </si>
  <si>
    <t>4M</t>
  </si>
  <si>
    <t>01-06  June 2026</t>
  </si>
  <si>
    <t>HANNOVER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</si>
</sst>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  <xf numFmtId="0" fontId="0" fillId="4" borderId="0" xfId="0" applyFont="1" applyFill="1" applyBorder="1"/>
    <xf numFmtId="0" fontId="0" fillId="4" borderId="0" xfId="0" applyFont="1" applyFill="1" applyBorder="1" applyAlignment="1">
      <alignment vertical="top" wrapText="1"/>
    </xf>
    <xf numFmtId="4" fontId="0" fillId="4" borderId="0" xfId="0" applyNumberFormat="1" applyFont="1" applyFill="1" applyBorder="1" applyAlignment="1">
      <alignment horizontal="center" vertical="top" wrapText="1"/>
    </xf>
    <xf numFmtId="4" fontId="0" fillId="4" borderId="0" xfId="0" applyNumberFormat="1" applyFont="1" applyFill="1" applyBorder="1" applyAlignment="1">
      <alignment vertical="center" wrapText="1"/>
    </xf>
    <xf numFmtId="4" fontId="0" fillId="4" borderId="0" xfId="0" applyNumberFormat="1" applyFont="1" applyFill="1" applyBorder="1" applyAlignment="1">
      <alignment horizontal="center" vertical="center" wrapText="1"/>
    </xf>
    <xf numFmtId="166" fontId="0" fillId="4" borderId="0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146</xdr:row>
      <xdr:rowOff>200024</xdr:rowOff>
    </xdr:from>
    <xdr:to>
      <xdr:col>1</xdr:col>
      <xdr:colOff>1053588</xdr:colOff>
      <xdr:row>269</xdr:row>
      <xdr:rowOff>152399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8B3AEA-4755-4DD2-990C-4B589BE61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4"/>
          <a:ext cx="2110863" cy="1552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5"/>
  <sheetViews>
    <sheetView tabSelected="1" zoomScaleNormal="100" zoomScaleSheetLayoutView="85" workbookViewId="0">
      <pane ySplit="1" topLeftCell="A2" activePane="bottomLeft" state="frozen"/>
      <selection pane="bottomLeft" activeCell="D276" sqref="D276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278</v>
      </c>
      <c r="B1" s="31" t="s">
        <v>279</v>
      </c>
      <c r="C1" s="19" t="s">
        <v>46</v>
      </c>
      <c r="D1" s="19" t="s">
        <v>131</v>
      </c>
      <c r="E1" s="20" t="s">
        <v>267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267</v>
      </c>
    </row>
    <row r="2" spans="1:11" s="4" customFormat="1" ht="15.95" customHeight="1" x14ac:dyDescent="0.25">
      <c r="A2" s="21" t="s">
        <v>140</v>
      </c>
      <c r="B2" s="4" t="s">
        <v>280</v>
      </c>
      <c r="C2" s="26" t="s">
        <v>151</v>
      </c>
      <c r="D2" s="27">
        <f>SUM(E3:E11)</f>
        <v>286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1" si="0">I3*K3</f>
        <v>286</v>
      </c>
      <c r="F3" s="8"/>
      <c r="G3" s="8"/>
      <c r="H3" s="8"/>
      <c r="I3" s="9">
        <v>100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165</v>
      </c>
      <c r="K4" s="30">
        <v>9.52</v>
      </c>
    </row>
    <row r="5" spans="1:11" ht="15.95" hidden="1" customHeight="1" x14ac:dyDescent="0.25">
      <c r="C5" s="7" t="s">
        <v>172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165</v>
      </c>
      <c r="K5" s="30">
        <v>14.29</v>
      </c>
    </row>
    <row r="6" spans="1:11" ht="15.95" hidden="1" customHeight="1" x14ac:dyDescent="0.25">
      <c r="C6" s="7" t="s">
        <v>161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28.1</v>
      </c>
    </row>
    <row r="7" spans="1:11" ht="15.95" hidden="1" customHeight="1" x14ac:dyDescent="0.25">
      <c r="B7" s="29" t="s">
        <v>249</v>
      </c>
      <c r="C7" s="7" t="s">
        <v>152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165</v>
      </c>
      <c r="K7" s="30">
        <v>10</v>
      </c>
    </row>
    <row r="8" spans="1:11" ht="15.95" hidden="1" customHeight="1" x14ac:dyDescent="0.25">
      <c r="B8" s="29" t="s">
        <v>249</v>
      </c>
      <c r="C8" s="7" t="s">
        <v>167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165</v>
      </c>
      <c r="K8" s="30">
        <v>22.86</v>
      </c>
    </row>
    <row r="9" spans="1:11" ht="15.95" hidden="1" customHeight="1" x14ac:dyDescent="0.25">
      <c r="C9" s="7" t="s">
        <v>153</v>
      </c>
      <c r="D9" s="7"/>
      <c r="E9" s="8">
        <f t="shared" si="0"/>
        <v>0</v>
      </c>
      <c r="F9" s="8"/>
      <c r="G9" s="8"/>
      <c r="H9" s="8"/>
      <c r="I9" s="9">
        <v>0</v>
      </c>
      <c r="J9" s="10" t="s">
        <v>150</v>
      </c>
      <c r="K9" s="30">
        <v>4.05</v>
      </c>
    </row>
    <row r="10" spans="1:11" ht="15.95" hidden="1" customHeight="1" x14ac:dyDescent="0.25">
      <c r="C10" s="7" t="s">
        <v>112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165</v>
      </c>
      <c r="K10" s="30">
        <v>28.57</v>
      </c>
    </row>
    <row r="11" spans="1:11" ht="15.95" hidden="1" customHeight="1" x14ac:dyDescent="0.25">
      <c r="C11" s="7" t="s">
        <v>113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22.62</v>
      </c>
    </row>
    <row r="12" spans="1:11" s="4" customFormat="1" ht="15.95" customHeight="1" x14ac:dyDescent="0.25">
      <c r="A12" s="21" t="s">
        <v>139</v>
      </c>
      <c r="B12" s="4" t="s">
        <v>281</v>
      </c>
      <c r="C12" s="26" t="s">
        <v>194</v>
      </c>
      <c r="D12" s="52">
        <f>SUM(E13:E15)</f>
        <v>0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185</v>
      </c>
      <c r="D13" s="17"/>
      <c r="E13" s="11">
        <f>I13*K13</f>
        <v>0</v>
      </c>
      <c r="F13" s="8"/>
      <c r="G13" s="8"/>
      <c r="H13" s="8"/>
      <c r="I13" s="9">
        <v>0</v>
      </c>
      <c r="J13" s="10" t="s">
        <v>166</v>
      </c>
      <c r="K13" s="30">
        <v>265</v>
      </c>
    </row>
    <row r="14" spans="1:11" ht="15.95" hidden="1" customHeight="1" x14ac:dyDescent="0.25">
      <c r="B14" s="13"/>
      <c r="C14" s="16" t="s">
        <v>186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365</v>
      </c>
    </row>
    <row r="15" spans="1:11" ht="15.95" hidden="1" customHeight="1" x14ac:dyDescent="0.25">
      <c r="B15" s="13"/>
      <c r="C15" s="16" t="s">
        <v>189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810</v>
      </c>
    </row>
    <row r="16" spans="1:11" s="4" customFormat="1" ht="15.95" customHeight="1" x14ac:dyDescent="0.25">
      <c r="A16" s="21" t="s">
        <v>144</v>
      </c>
      <c r="B16" s="4" t="s">
        <v>286</v>
      </c>
      <c r="C16" s="26" t="s">
        <v>184</v>
      </c>
      <c r="D16" s="27">
        <f>SUM(E17:E87)</f>
        <v>0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249</v>
      </c>
      <c r="C17" s="7" t="s">
        <v>40</v>
      </c>
      <c r="D17" s="7"/>
      <c r="E17" s="8">
        <f t="shared" ref="E17:E49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154</v>
      </c>
      <c r="K17" s="30">
        <v>52.86</v>
      </c>
    </row>
    <row r="18" spans="2:11" ht="15.95" hidden="1" customHeight="1" x14ac:dyDescent="0.25">
      <c r="B18" s="29" t="s">
        <v>249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154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97.71</v>
      </c>
    </row>
    <row r="21" spans="2:11" ht="15.95" hidden="1" customHeight="1" x14ac:dyDescent="0.25">
      <c r="C21" s="7" t="s">
        <v>136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154</v>
      </c>
      <c r="K21" s="30">
        <v>214.29</v>
      </c>
    </row>
    <row r="22" spans="2:11" ht="15.95" hidden="1" customHeight="1" x14ac:dyDescent="0.25">
      <c r="C22" s="7" t="s">
        <v>137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333.33</v>
      </c>
    </row>
    <row r="23" spans="2:11" ht="15.95" hidden="1" customHeight="1" x14ac:dyDescent="0.25">
      <c r="C23" s="7" t="s">
        <v>128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99.52</v>
      </c>
    </row>
    <row r="24" spans="2:11" ht="15.95" hidden="1" customHeight="1" x14ac:dyDescent="0.25">
      <c r="C24" s="7" t="s">
        <v>129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199.05</v>
      </c>
    </row>
    <row r="25" spans="2:11" ht="15.95" hidden="1" customHeight="1" x14ac:dyDescent="0.25">
      <c r="B25" s="29" t="s">
        <v>249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154</v>
      </c>
      <c r="K25" s="30">
        <v>62.86</v>
      </c>
    </row>
    <row r="26" spans="2:11" ht="15.95" hidden="1" customHeight="1" x14ac:dyDescent="0.25">
      <c r="B26" s="29" t="s">
        <v>249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154</v>
      </c>
      <c r="K26" s="30">
        <v>69.709999999999994</v>
      </c>
    </row>
    <row r="27" spans="2:11" ht="15.95" hidden="1" customHeight="1" x14ac:dyDescent="0.25">
      <c r="C27" s="7" t="s">
        <v>99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154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104.86</v>
      </c>
    </row>
    <row r="29" spans="2:11" ht="15.95" hidden="1" customHeight="1" x14ac:dyDescent="0.25">
      <c r="B29" s="29" t="s">
        <v>249</v>
      </c>
      <c r="C29" s="7" t="s">
        <v>65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154</v>
      </c>
      <c r="K29" s="30">
        <v>71.430000000000007</v>
      </c>
    </row>
    <row r="30" spans="2:11" ht="15.95" hidden="1" customHeight="1" x14ac:dyDescent="0.25">
      <c r="B30" s="29" t="s">
        <v>249</v>
      </c>
      <c r="C30" s="7" t="s">
        <v>66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154</v>
      </c>
      <c r="K30" s="30">
        <v>83.81</v>
      </c>
    </row>
    <row r="31" spans="2:11" ht="15.95" hidden="1" customHeight="1" x14ac:dyDescent="0.25">
      <c r="C31" s="7" t="s">
        <v>97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154</v>
      </c>
      <c r="K31" s="30">
        <v>98.57</v>
      </c>
    </row>
    <row r="32" spans="2:11" ht="15.95" hidden="1" customHeight="1" x14ac:dyDescent="0.25">
      <c r="C32" s="7" t="s">
        <v>98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123.81</v>
      </c>
    </row>
    <row r="33" spans="2:11" ht="15.95" hidden="1" customHeight="1" x14ac:dyDescent="0.25">
      <c r="B33" s="29" t="s">
        <v>249</v>
      </c>
      <c r="C33" s="7" t="s">
        <v>32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154</v>
      </c>
      <c r="K33" s="30">
        <v>67.86</v>
      </c>
    </row>
    <row r="34" spans="2:11" ht="15.95" hidden="1" customHeight="1" x14ac:dyDescent="0.25">
      <c r="B34" s="29" t="s">
        <v>249</v>
      </c>
      <c r="C34" s="7" t="s">
        <v>31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154</v>
      </c>
      <c r="K34" s="30">
        <v>92.57</v>
      </c>
    </row>
    <row r="35" spans="2:11" ht="15.95" hidden="1" customHeight="1" x14ac:dyDescent="0.25">
      <c r="B35" s="54"/>
      <c r="C35" s="55" t="s">
        <v>272</v>
      </c>
      <c r="D35" s="55"/>
      <c r="E35" s="56">
        <f t="shared" ref="E35" si="2">I35*K35</f>
        <v>0</v>
      </c>
      <c r="F35" s="56"/>
      <c r="G35" s="56"/>
      <c r="H35" s="56"/>
      <c r="I35" s="57">
        <v>142</v>
      </c>
      <c r="J35" s="58" t="s">
        <v>111</v>
      </c>
      <c r="K35" s="59">
        <v>0</v>
      </c>
    </row>
    <row r="36" spans="2:11" ht="15.95" hidden="1" customHeight="1" x14ac:dyDescent="0.25">
      <c r="C36" s="7" t="s">
        <v>30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103.43</v>
      </c>
    </row>
    <row r="37" spans="2:11" ht="15.95" hidden="1" customHeight="1" x14ac:dyDescent="0.25">
      <c r="C37" s="7" t="s">
        <v>29</v>
      </c>
      <c r="D37" s="7"/>
      <c r="E37" s="8">
        <f t="shared" si="1"/>
        <v>0</v>
      </c>
      <c r="F37" s="8">
        <v>1</v>
      </c>
      <c r="G37" s="8">
        <v>0.1</v>
      </c>
      <c r="H37" s="8">
        <v>4</v>
      </c>
      <c r="I37" s="9">
        <v>0</v>
      </c>
      <c r="J37" s="10" t="s">
        <v>154</v>
      </c>
      <c r="K37" s="30">
        <v>146.29</v>
      </c>
    </row>
    <row r="38" spans="2:11" ht="15.95" hidden="1" customHeight="1" x14ac:dyDescent="0.25">
      <c r="C38" s="7" t="s">
        <v>75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76.19</v>
      </c>
    </row>
    <row r="39" spans="2:11" ht="15.95" hidden="1" customHeight="1" x14ac:dyDescent="0.25">
      <c r="C39" s="7" t="s">
        <v>100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104.76</v>
      </c>
    </row>
    <row r="40" spans="2:11" ht="15.95" hidden="1" customHeight="1" x14ac:dyDescent="0.25">
      <c r="C40" s="7" t="s">
        <v>101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115.24</v>
      </c>
    </row>
    <row r="41" spans="2:11" ht="15.95" hidden="1" customHeight="1" x14ac:dyDescent="0.25">
      <c r="C41" s="7" t="s">
        <v>102</v>
      </c>
      <c r="D41" s="7"/>
      <c r="E41" s="8">
        <f t="shared" si="1"/>
        <v>0</v>
      </c>
      <c r="F41" s="8">
        <v>1</v>
      </c>
      <c r="G41" s="8">
        <v>0.1</v>
      </c>
      <c r="H41" s="8">
        <v>4.5</v>
      </c>
      <c r="I41" s="9">
        <v>0</v>
      </c>
      <c r="J41" s="10" t="s">
        <v>154</v>
      </c>
      <c r="K41" s="30">
        <v>160.47999999999999</v>
      </c>
    </row>
    <row r="42" spans="2:11" ht="15.95" hidden="1" customHeight="1" x14ac:dyDescent="0.25">
      <c r="B42" s="29" t="s">
        <v>249</v>
      </c>
      <c r="C42" s="7" t="s">
        <v>76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154</v>
      </c>
      <c r="K42" s="30">
        <v>77.38</v>
      </c>
    </row>
    <row r="43" spans="2:11" ht="15.95" hidden="1" customHeight="1" x14ac:dyDescent="0.25">
      <c r="B43" s="29" t="s">
        <v>249</v>
      </c>
      <c r="C43" s="7" t="s">
        <v>103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110.71</v>
      </c>
    </row>
    <row r="44" spans="2:11" ht="15.95" hidden="1" customHeight="1" x14ac:dyDescent="0.25">
      <c r="C44" s="7" t="s">
        <v>77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128.57</v>
      </c>
    </row>
    <row r="45" spans="2:11" ht="15.95" hidden="1" customHeight="1" x14ac:dyDescent="0.25">
      <c r="C45" s="7" t="s">
        <v>104</v>
      </c>
      <c r="D45" s="7"/>
      <c r="E45" s="8">
        <f t="shared" si="1"/>
        <v>0</v>
      </c>
      <c r="F45" s="8">
        <v>1</v>
      </c>
      <c r="G45" s="8">
        <v>0.1</v>
      </c>
      <c r="H45" s="8">
        <v>5</v>
      </c>
      <c r="I45" s="9">
        <v>0</v>
      </c>
      <c r="J45" s="10" t="s">
        <v>154</v>
      </c>
      <c r="K45" s="30">
        <v>169.05</v>
      </c>
    </row>
    <row r="46" spans="2:11" ht="15.95" hidden="1" customHeight="1" x14ac:dyDescent="0.25">
      <c r="C46" s="7" t="s">
        <v>28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154</v>
      </c>
      <c r="K46" s="30">
        <v>79.14</v>
      </c>
    </row>
    <row r="47" spans="2:11" ht="15.95" hidden="1" customHeight="1" x14ac:dyDescent="0.25">
      <c r="C47" s="7" t="s">
        <v>27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115.14</v>
      </c>
    </row>
    <row r="48" spans="2:11" ht="15.95" hidden="1" customHeight="1" x14ac:dyDescent="0.25">
      <c r="C48" s="7" t="s">
        <v>26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136</v>
      </c>
    </row>
    <row r="49" spans="3:11" ht="15.95" hidden="1" customHeight="1" x14ac:dyDescent="0.25">
      <c r="C49" s="7" t="s">
        <v>25</v>
      </c>
      <c r="D49" s="7"/>
      <c r="E49" s="8">
        <f t="shared" si="1"/>
        <v>0</v>
      </c>
      <c r="F49" s="8">
        <v>1</v>
      </c>
      <c r="G49" s="8">
        <v>0.1</v>
      </c>
      <c r="H49" s="8">
        <v>6</v>
      </c>
      <c r="I49" s="9">
        <v>0</v>
      </c>
      <c r="J49" s="10" t="s">
        <v>154</v>
      </c>
      <c r="K49" s="30">
        <v>193.14</v>
      </c>
    </row>
    <row r="50" spans="3:11" ht="15.95" hidden="1" customHeight="1" x14ac:dyDescent="0.25">
      <c r="C50" s="7" t="s">
        <v>95</v>
      </c>
      <c r="D50" s="7"/>
      <c r="E50" s="8">
        <f t="shared" ref="E50:E81" si="3">I50*K50</f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41.67</v>
      </c>
    </row>
    <row r="51" spans="3:11" ht="15.95" hidden="1" customHeight="1" x14ac:dyDescent="0.25">
      <c r="C51" s="7" t="s">
        <v>96</v>
      </c>
      <c r="D51" s="7"/>
      <c r="E51" s="8">
        <f t="shared" si="3"/>
        <v>0</v>
      </c>
      <c r="F51" s="8">
        <v>1</v>
      </c>
      <c r="G51" s="8">
        <v>0.1</v>
      </c>
      <c r="H51" s="8">
        <v>4</v>
      </c>
      <c r="I51" s="9">
        <v>0</v>
      </c>
      <c r="J51" s="10" t="s">
        <v>154</v>
      </c>
      <c r="K51" s="30">
        <v>83.33</v>
      </c>
    </row>
    <row r="52" spans="3:11" ht="15.95" hidden="1" customHeight="1" x14ac:dyDescent="0.25">
      <c r="C52" s="7" t="s">
        <v>40</v>
      </c>
      <c r="D52" s="7"/>
      <c r="E52" s="8">
        <f t="shared" si="3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156</v>
      </c>
      <c r="K52" s="30">
        <v>62.29</v>
      </c>
    </row>
    <row r="53" spans="3:11" ht="15.95" hidden="1" customHeight="1" x14ac:dyDescent="0.25">
      <c r="C53" s="7" t="s">
        <v>39</v>
      </c>
      <c r="D53" s="7"/>
      <c r="E53" s="8">
        <f t="shared" si="3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77.14</v>
      </c>
    </row>
    <row r="54" spans="3:11" ht="15.95" hidden="1" customHeight="1" x14ac:dyDescent="0.25">
      <c r="C54" s="7" t="s">
        <v>38</v>
      </c>
      <c r="D54" s="7"/>
      <c r="E54" s="8">
        <f t="shared" si="3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79.14</v>
      </c>
    </row>
    <row r="55" spans="3:11" ht="15.95" hidden="1" customHeight="1" x14ac:dyDescent="0.25">
      <c r="C55" s="7" t="s">
        <v>37</v>
      </c>
      <c r="D55" s="7"/>
      <c r="E55" s="8">
        <f t="shared" si="3"/>
        <v>0</v>
      </c>
      <c r="F55" s="8">
        <v>1</v>
      </c>
      <c r="G55" s="8">
        <v>0.2</v>
      </c>
      <c r="H55" s="8">
        <v>2.5</v>
      </c>
      <c r="I55" s="9">
        <v>0</v>
      </c>
      <c r="J55" s="10" t="s">
        <v>156</v>
      </c>
      <c r="K55" s="30">
        <v>100</v>
      </c>
    </row>
    <row r="56" spans="3:11" ht="15.95" hidden="1" customHeight="1" x14ac:dyDescent="0.25">
      <c r="C56" s="7" t="s">
        <v>36</v>
      </c>
      <c r="D56" s="7"/>
      <c r="E56" s="8">
        <f t="shared" si="3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156</v>
      </c>
      <c r="K56" s="30">
        <v>80.569999999999993</v>
      </c>
    </row>
    <row r="57" spans="3:11" ht="15.95" hidden="1" customHeight="1" x14ac:dyDescent="0.25">
      <c r="C57" s="7" t="s">
        <v>35</v>
      </c>
      <c r="D57" s="7"/>
      <c r="E57" s="8">
        <f t="shared" si="3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156</v>
      </c>
      <c r="K57" s="30">
        <v>97.43</v>
      </c>
    </row>
    <row r="58" spans="3:11" ht="15.95" hidden="1" customHeight="1" x14ac:dyDescent="0.25">
      <c r="C58" s="7" t="s">
        <v>34</v>
      </c>
      <c r="D58" s="7"/>
      <c r="E58" s="8">
        <f t="shared" si="3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112.57</v>
      </c>
    </row>
    <row r="59" spans="3:11" ht="15.95" hidden="1" customHeight="1" x14ac:dyDescent="0.25">
      <c r="C59" s="7" t="s">
        <v>33</v>
      </c>
      <c r="D59" s="7"/>
      <c r="E59" s="8">
        <f t="shared" si="3"/>
        <v>0</v>
      </c>
      <c r="F59" s="8">
        <v>1</v>
      </c>
      <c r="G59" s="8">
        <v>0.2</v>
      </c>
      <c r="H59" s="8">
        <v>3</v>
      </c>
      <c r="I59" s="9">
        <v>0</v>
      </c>
      <c r="J59" s="10" t="s">
        <v>156</v>
      </c>
      <c r="K59" s="30">
        <v>132.57</v>
      </c>
    </row>
    <row r="60" spans="3:11" ht="15.95" hidden="1" customHeight="1" x14ac:dyDescent="0.25">
      <c r="C60" s="7" t="s">
        <v>105</v>
      </c>
      <c r="D60" s="7"/>
      <c r="E60" s="8">
        <f t="shared" si="3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156</v>
      </c>
      <c r="K60" s="30">
        <v>95.24</v>
      </c>
    </row>
    <row r="61" spans="3:11" ht="15.95" hidden="1" customHeight="1" x14ac:dyDescent="0.25">
      <c r="C61" s="7" t="s">
        <v>106</v>
      </c>
      <c r="D61" s="7"/>
      <c r="E61" s="8">
        <f t="shared" si="3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102.38</v>
      </c>
    </row>
    <row r="62" spans="3:11" ht="15.95" hidden="1" customHeight="1" x14ac:dyDescent="0.25">
      <c r="C62" s="7" t="s">
        <v>107</v>
      </c>
      <c r="D62" s="7"/>
      <c r="E62" s="8">
        <f t="shared" si="3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117.14</v>
      </c>
    </row>
    <row r="63" spans="3:11" ht="15.95" hidden="1" customHeight="1" x14ac:dyDescent="0.25">
      <c r="C63" s="7" t="s">
        <v>78</v>
      </c>
      <c r="D63" s="7"/>
      <c r="E63" s="8">
        <f t="shared" si="3"/>
        <v>0</v>
      </c>
      <c r="F63" s="8">
        <v>1</v>
      </c>
      <c r="G63" s="8">
        <v>0.2</v>
      </c>
      <c r="H63" s="8">
        <v>3.5</v>
      </c>
      <c r="I63" s="9">
        <v>0</v>
      </c>
      <c r="J63" s="10" t="s">
        <v>156</v>
      </c>
      <c r="K63" s="30">
        <v>142.86000000000001</v>
      </c>
    </row>
    <row r="64" spans="3:11" ht="15.95" hidden="1" customHeight="1" x14ac:dyDescent="0.25">
      <c r="C64" s="7" t="s">
        <v>32</v>
      </c>
      <c r="D64" s="7"/>
      <c r="E64" s="8">
        <f t="shared" si="3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156</v>
      </c>
      <c r="K64" s="30">
        <v>96.29</v>
      </c>
    </row>
    <row r="65" spans="1:11" ht="15.95" hidden="1" customHeight="1" x14ac:dyDescent="0.25">
      <c r="C65" s="7" t="s">
        <v>31</v>
      </c>
      <c r="D65" s="7"/>
      <c r="E65" s="8">
        <f t="shared" si="3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126</v>
      </c>
    </row>
    <row r="66" spans="1:11" ht="15.95" hidden="1" customHeight="1" x14ac:dyDescent="0.25">
      <c r="C66" s="7" t="s">
        <v>30</v>
      </c>
      <c r="D66" s="7"/>
      <c r="E66" s="8">
        <f t="shared" si="3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136</v>
      </c>
    </row>
    <row r="67" spans="1:11" ht="15.95" hidden="1" customHeight="1" x14ac:dyDescent="0.25">
      <c r="C67" s="7" t="s">
        <v>29</v>
      </c>
      <c r="D67" s="7"/>
      <c r="E67" s="8">
        <f t="shared" si="3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156</v>
      </c>
      <c r="K67" s="30">
        <v>179.71</v>
      </c>
    </row>
    <row r="68" spans="1:11" ht="15.95" hidden="1" customHeight="1" x14ac:dyDescent="0.25">
      <c r="C68" s="7" t="s">
        <v>69</v>
      </c>
      <c r="D68" s="7"/>
      <c r="E68" s="8">
        <f t="shared" si="3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156</v>
      </c>
      <c r="K68" s="30">
        <v>100.95</v>
      </c>
    </row>
    <row r="69" spans="1:11" ht="15.95" hidden="1" customHeight="1" x14ac:dyDescent="0.25">
      <c r="C69" s="7" t="s">
        <v>70</v>
      </c>
      <c r="D69" s="7"/>
      <c r="E69" s="8">
        <f t="shared" si="3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130.94999999999999</v>
      </c>
    </row>
    <row r="70" spans="1:11" ht="15.95" hidden="1" customHeight="1" x14ac:dyDescent="0.25">
      <c r="C70" s="7" t="s">
        <v>108</v>
      </c>
      <c r="D70" s="7"/>
      <c r="E70" s="8">
        <f t="shared" si="3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140.47999999999999</v>
      </c>
    </row>
    <row r="71" spans="1:11" ht="15.95" hidden="1" customHeight="1" x14ac:dyDescent="0.25">
      <c r="C71" s="7" t="s">
        <v>138</v>
      </c>
      <c r="D71" s="7"/>
      <c r="E71" s="8">
        <f t="shared" si="3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156</v>
      </c>
      <c r="K71" s="30">
        <v>357.14</v>
      </c>
    </row>
    <row r="72" spans="1:11" ht="15.95" hidden="1" customHeight="1" x14ac:dyDescent="0.25">
      <c r="C72" s="7" t="s">
        <v>67</v>
      </c>
      <c r="D72" s="7"/>
      <c r="E72" s="8">
        <f t="shared" si="3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156</v>
      </c>
      <c r="K72" s="30">
        <v>111.43</v>
      </c>
    </row>
    <row r="73" spans="1:11" ht="15.95" hidden="1" customHeight="1" x14ac:dyDescent="0.25">
      <c r="C73" s="7" t="s">
        <v>68</v>
      </c>
      <c r="D73" s="7"/>
      <c r="E73" s="8">
        <f t="shared" si="3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145.24</v>
      </c>
    </row>
    <row r="74" spans="1:11" ht="15.95" hidden="1" customHeight="1" x14ac:dyDescent="0.25">
      <c r="C74" s="7" t="s">
        <v>109</v>
      </c>
      <c r="D74" s="7"/>
      <c r="E74" s="8">
        <f t="shared" si="3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167.86</v>
      </c>
    </row>
    <row r="75" spans="1:11" ht="15.95" hidden="1" customHeight="1" x14ac:dyDescent="0.25">
      <c r="C75" s="7" t="s">
        <v>110</v>
      </c>
      <c r="D75" s="7"/>
      <c r="E75" s="8">
        <f t="shared" si="3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156</v>
      </c>
      <c r="K75" s="30">
        <v>223.81</v>
      </c>
    </row>
    <row r="76" spans="1:11" ht="15.95" hidden="1" customHeight="1" x14ac:dyDescent="0.25">
      <c r="C76" s="7" t="s">
        <v>28</v>
      </c>
      <c r="D76" s="7"/>
      <c r="E76" s="8">
        <f t="shared" si="3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156</v>
      </c>
      <c r="K76" s="30">
        <v>116.29</v>
      </c>
    </row>
    <row r="77" spans="1:11" ht="15.95" hidden="1" customHeight="1" x14ac:dyDescent="0.25">
      <c r="C77" s="7" t="s">
        <v>27</v>
      </c>
      <c r="D77" s="7"/>
      <c r="E77" s="8">
        <f t="shared" si="3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156</v>
      </c>
      <c r="K77" s="30">
        <v>152.29</v>
      </c>
    </row>
    <row r="78" spans="1:11" ht="15.95" hidden="1" customHeight="1" x14ac:dyDescent="0.25">
      <c r="C78" s="7" t="s">
        <v>26</v>
      </c>
      <c r="D78" s="7"/>
      <c r="E78" s="8">
        <f t="shared" si="3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173.14</v>
      </c>
    </row>
    <row r="79" spans="1:11" ht="15.95" hidden="1" customHeight="1" x14ac:dyDescent="0.25">
      <c r="C79" s="7" t="s">
        <v>25</v>
      </c>
      <c r="D79" s="7"/>
      <c r="E79" s="8">
        <f t="shared" si="3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156</v>
      </c>
      <c r="K79" s="30">
        <v>230.29</v>
      </c>
    </row>
    <row r="80" spans="1:11" customFormat="1" ht="15.95" hidden="1" customHeight="1" x14ac:dyDescent="0.25">
      <c r="A80" s="43"/>
      <c r="B80" s="45"/>
      <c r="C80" s="23" t="s">
        <v>260</v>
      </c>
      <c r="D80" s="23"/>
      <c r="E80" s="24">
        <f t="shared" si="3"/>
        <v>0</v>
      </c>
      <c r="F80" s="24">
        <v>1</v>
      </c>
      <c r="G80" s="24"/>
      <c r="H80" s="24">
        <v>1</v>
      </c>
      <c r="I80" s="44">
        <v>0</v>
      </c>
      <c r="J80" s="25" t="s">
        <v>261</v>
      </c>
      <c r="K80" s="30">
        <v>7.85</v>
      </c>
    </row>
    <row r="81" spans="1:11" customFormat="1" ht="15.95" hidden="1" customHeight="1" x14ac:dyDescent="0.25">
      <c r="A81" s="43"/>
      <c r="B81" s="45"/>
      <c r="C81" s="23" t="s">
        <v>262</v>
      </c>
      <c r="D81" s="23"/>
      <c r="E81" s="24">
        <f t="shared" si="3"/>
        <v>0</v>
      </c>
      <c r="F81" s="24">
        <v>1</v>
      </c>
      <c r="G81" s="24"/>
      <c r="H81" s="24">
        <v>1</v>
      </c>
      <c r="I81" s="44">
        <v>0</v>
      </c>
      <c r="J81" s="25" t="s">
        <v>261</v>
      </c>
      <c r="K81" s="30">
        <v>15.7</v>
      </c>
    </row>
    <row r="82" spans="1:11" ht="15.95" hidden="1" customHeight="1" x14ac:dyDescent="0.25">
      <c r="C82" s="7" t="s">
        <v>95</v>
      </c>
      <c r="D82" s="7"/>
      <c r="E82" s="8">
        <f t="shared" ref="E82:E87" si="4">I82*K82</f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156</v>
      </c>
      <c r="K82" s="30">
        <v>41.67</v>
      </c>
    </row>
    <row r="83" spans="1:11" ht="15.95" hidden="1" customHeight="1" x14ac:dyDescent="0.25">
      <c r="C83" s="7" t="s">
        <v>96</v>
      </c>
      <c r="D83" s="7"/>
      <c r="E83" s="8">
        <f t="shared" si="4"/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156</v>
      </c>
      <c r="K83" s="30">
        <v>83.33</v>
      </c>
    </row>
    <row r="84" spans="1:11" ht="15.95" hidden="1" customHeight="1" x14ac:dyDescent="0.25">
      <c r="B84" s="29" t="s">
        <v>249</v>
      </c>
      <c r="C84" s="7" t="s">
        <v>173</v>
      </c>
      <c r="D84" s="7"/>
      <c r="E84" s="8">
        <f t="shared" si="4"/>
        <v>0</v>
      </c>
      <c r="F84" s="8">
        <v>1</v>
      </c>
      <c r="G84" s="8"/>
      <c r="H84" s="8"/>
      <c r="I84" s="9">
        <v>0</v>
      </c>
      <c r="J84" s="10" t="s">
        <v>111</v>
      </c>
      <c r="K84" s="30">
        <v>47.62</v>
      </c>
    </row>
    <row r="85" spans="1:11" ht="15.95" hidden="1" customHeight="1" x14ac:dyDescent="0.25">
      <c r="B85" s="29" t="s">
        <v>249</v>
      </c>
      <c r="C85" s="7" t="s">
        <v>174</v>
      </c>
      <c r="D85" s="7"/>
      <c r="E85" s="8">
        <f t="shared" si="4"/>
        <v>0</v>
      </c>
      <c r="F85" s="8">
        <v>1</v>
      </c>
      <c r="G85" s="8"/>
      <c r="H85" s="8"/>
      <c r="I85" s="9">
        <v>0</v>
      </c>
      <c r="J85" s="10" t="s">
        <v>169</v>
      </c>
      <c r="K85" s="30">
        <v>190.48</v>
      </c>
    </row>
    <row r="86" spans="1:11" ht="15.95" hidden="1" customHeight="1" x14ac:dyDescent="0.25">
      <c r="B86" s="29" t="s">
        <v>249</v>
      </c>
      <c r="C86" s="7" t="s">
        <v>175</v>
      </c>
      <c r="D86" s="7"/>
      <c r="E86" s="8">
        <f t="shared" si="4"/>
        <v>0</v>
      </c>
      <c r="F86" s="8">
        <v>1</v>
      </c>
      <c r="G86" s="8"/>
      <c r="H86" s="8"/>
      <c r="I86" s="9">
        <v>0</v>
      </c>
      <c r="J86" s="10" t="s">
        <v>169</v>
      </c>
      <c r="K86" s="30">
        <v>190.48</v>
      </c>
    </row>
    <row r="87" spans="1:11" ht="15.95" hidden="1" customHeight="1" x14ac:dyDescent="0.25">
      <c r="C87" s="7" t="s">
        <v>176</v>
      </c>
      <c r="D87" s="7"/>
      <c r="E87" s="8">
        <f t="shared" si="4"/>
        <v>0</v>
      </c>
      <c r="F87" s="8">
        <v>1</v>
      </c>
      <c r="G87" s="8">
        <v>0.2</v>
      </c>
      <c r="H87" s="8">
        <v>1</v>
      </c>
      <c r="I87" s="9">
        <v>0</v>
      </c>
      <c r="J87" s="10" t="s">
        <v>111</v>
      </c>
      <c r="K87" s="30">
        <v>32.14</v>
      </c>
    </row>
    <row r="88" spans="1:11" s="4" customFormat="1" ht="15.95" customHeight="1" x14ac:dyDescent="0.25">
      <c r="A88" s="21" t="s">
        <v>145</v>
      </c>
      <c r="B88" s="4" t="s">
        <v>285</v>
      </c>
      <c r="C88" s="26" t="s">
        <v>195</v>
      </c>
      <c r="D88" s="27">
        <f>SUM(E89:E108)</f>
        <v>0</v>
      </c>
      <c r="E88" s="51"/>
      <c r="F88" s="27"/>
      <c r="G88" s="27"/>
      <c r="H88" s="27"/>
      <c r="I88" s="27"/>
      <c r="J88" s="28"/>
      <c r="K88" s="47"/>
    </row>
    <row r="89" spans="1:11" s="22" customFormat="1" ht="15.95" hidden="1" customHeight="1" x14ac:dyDescent="0.25">
      <c r="B89" s="29" t="s">
        <v>249</v>
      </c>
      <c r="C89" s="23" t="s">
        <v>170</v>
      </c>
      <c r="D89" s="23"/>
      <c r="E89" s="24">
        <f t="shared" ref="E89:E108" si="5">I89*K89</f>
        <v>0</v>
      </c>
      <c r="F89" s="24"/>
      <c r="G89" s="24"/>
      <c r="H89" s="24"/>
      <c r="I89" s="24">
        <v>0</v>
      </c>
      <c r="J89" s="25" t="s">
        <v>166</v>
      </c>
      <c r="K89" s="48">
        <v>25</v>
      </c>
    </row>
    <row r="90" spans="1:11" s="22" customFormat="1" ht="15.95" hidden="1" customHeight="1" x14ac:dyDescent="0.25">
      <c r="B90" s="29" t="s">
        <v>249</v>
      </c>
      <c r="C90" s="23" t="s">
        <v>192</v>
      </c>
      <c r="D90" s="23"/>
      <c r="E90" s="24">
        <f t="shared" si="5"/>
        <v>0</v>
      </c>
      <c r="F90" s="24"/>
      <c r="G90" s="24"/>
      <c r="H90" s="24"/>
      <c r="I90" s="24">
        <v>0</v>
      </c>
      <c r="J90" s="25" t="s">
        <v>166</v>
      </c>
      <c r="K90" s="48">
        <v>10</v>
      </c>
    </row>
    <row r="91" spans="1:11" s="22" customFormat="1" ht="15.95" hidden="1" customHeight="1" x14ac:dyDescent="0.25">
      <c r="B91" s="29" t="s">
        <v>249</v>
      </c>
      <c r="C91" s="23" t="s">
        <v>193</v>
      </c>
      <c r="D91" s="23"/>
      <c r="E91" s="24">
        <f t="shared" si="5"/>
        <v>0</v>
      </c>
      <c r="F91" s="24"/>
      <c r="G91" s="24"/>
      <c r="H91" s="24"/>
      <c r="I91" s="24">
        <v>0</v>
      </c>
      <c r="J91" s="25" t="s">
        <v>166</v>
      </c>
      <c r="K91" s="48">
        <v>2</v>
      </c>
    </row>
    <row r="92" spans="1:11" s="4" customFormat="1" ht="15.95" hidden="1" customHeight="1" x14ac:dyDescent="0.25">
      <c r="B92" s="29" t="s">
        <v>249</v>
      </c>
      <c r="C92" s="7" t="s">
        <v>250</v>
      </c>
      <c r="D92" s="7"/>
      <c r="E92" s="24">
        <f t="shared" si="5"/>
        <v>0</v>
      </c>
      <c r="F92" s="8"/>
      <c r="G92" s="8"/>
      <c r="H92" s="8"/>
      <c r="I92" s="8">
        <v>0</v>
      </c>
      <c r="J92" s="10" t="s">
        <v>166</v>
      </c>
      <c r="K92" s="48">
        <v>800</v>
      </c>
    </row>
    <row r="93" spans="1:11" s="4" customFormat="1" ht="15.95" hidden="1" customHeight="1" x14ac:dyDescent="0.25">
      <c r="B93" s="29" t="s">
        <v>249</v>
      </c>
      <c r="C93" s="7" t="s">
        <v>251</v>
      </c>
      <c r="D93" s="7"/>
      <c r="E93" s="24">
        <f t="shared" si="5"/>
        <v>0</v>
      </c>
      <c r="F93" s="8"/>
      <c r="G93" s="8"/>
      <c r="H93" s="8"/>
      <c r="I93" s="8">
        <v>0</v>
      </c>
      <c r="J93" s="10" t="s">
        <v>166</v>
      </c>
      <c r="K93" s="48">
        <v>1210</v>
      </c>
    </row>
    <row r="94" spans="1:11" s="4" customFormat="1" ht="15.95" hidden="1" customHeight="1" x14ac:dyDescent="0.25">
      <c r="B94" s="29" t="s">
        <v>249</v>
      </c>
      <c r="C94" s="7" t="s">
        <v>265</v>
      </c>
      <c r="D94" s="7"/>
      <c r="E94" s="24">
        <f t="shared" si="5"/>
        <v>0</v>
      </c>
      <c r="F94" s="8"/>
      <c r="G94" s="8"/>
      <c r="H94" s="8"/>
      <c r="I94" s="8">
        <v>0</v>
      </c>
      <c r="J94" s="10" t="s">
        <v>166</v>
      </c>
      <c r="K94" s="48">
        <v>1820</v>
      </c>
    </row>
    <row r="95" spans="1:11" s="4" customFormat="1" ht="15.95" hidden="1" customHeight="1" x14ac:dyDescent="0.25">
      <c r="B95" s="29" t="s">
        <v>249</v>
      </c>
      <c r="C95" s="7" t="s">
        <v>266</v>
      </c>
      <c r="D95" s="7"/>
      <c r="E95" s="24">
        <f t="shared" si="5"/>
        <v>0</v>
      </c>
      <c r="F95" s="8"/>
      <c r="G95" s="8"/>
      <c r="H95" s="8"/>
      <c r="I95" s="8">
        <v>0</v>
      </c>
      <c r="J95" s="10" t="s">
        <v>166</v>
      </c>
      <c r="K95" s="48">
        <v>830</v>
      </c>
    </row>
    <row r="96" spans="1:11" s="4" customFormat="1" ht="15.95" hidden="1" customHeight="1" x14ac:dyDescent="0.25">
      <c r="B96" s="42"/>
      <c r="C96" s="7" t="s">
        <v>24</v>
      </c>
      <c r="D96" s="7"/>
      <c r="E96" s="24">
        <f t="shared" si="5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166</v>
      </c>
      <c r="K96" s="48">
        <v>714.29</v>
      </c>
    </row>
    <row r="97" spans="1:11" s="4" customFormat="1" ht="15.95" hidden="1" customHeight="1" x14ac:dyDescent="0.25">
      <c r="B97" s="42"/>
      <c r="C97" s="7" t="s">
        <v>23</v>
      </c>
      <c r="D97" s="7"/>
      <c r="E97" s="24">
        <f t="shared" si="5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166</v>
      </c>
      <c r="K97" s="48">
        <v>1000</v>
      </c>
    </row>
    <row r="98" spans="1:11" s="4" customFormat="1" ht="15.95" hidden="1" customHeight="1" x14ac:dyDescent="0.25">
      <c r="B98" s="42"/>
      <c r="C98" s="7" t="s">
        <v>177</v>
      </c>
      <c r="D98" s="7"/>
      <c r="E98" s="24">
        <f t="shared" si="5"/>
        <v>0</v>
      </c>
      <c r="F98" s="8">
        <v>4</v>
      </c>
      <c r="G98" s="8">
        <v>1</v>
      </c>
      <c r="H98" s="8">
        <v>1</v>
      </c>
      <c r="I98" s="8">
        <v>0</v>
      </c>
      <c r="J98" s="10" t="s">
        <v>166</v>
      </c>
      <c r="K98" s="48">
        <v>250</v>
      </c>
    </row>
    <row r="99" spans="1:11" s="4" customFormat="1" ht="15.95" hidden="1" customHeight="1" x14ac:dyDescent="0.25">
      <c r="B99" s="42"/>
      <c r="C99" s="7" t="s">
        <v>22</v>
      </c>
      <c r="D99" s="7"/>
      <c r="E99" s="24">
        <f t="shared" si="5"/>
        <v>0</v>
      </c>
      <c r="F99" s="8">
        <v>6</v>
      </c>
      <c r="G99" s="8">
        <v>4</v>
      </c>
      <c r="H99" s="8">
        <v>1</v>
      </c>
      <c r="I99" s="8">
        <v>0</v>
      </c>
      <c r="J99" s="10" t="s">
        <v>166</v>
      </c>
      <c r="K99" s="48">
        <v>1166.67</v>
      </c>
    </row>
    <row r="100" spans="1:11" s="4" customFormat="1" ht="15.95" hidden="1" customHeight="1" x14ac:dyDescent="0.25">
      <c r="B100" s="42"/>
      <c r="C100" s="7" t="s">
        <v>133</v>
      </c>
      <c r="D100" s="7"/>
      <c r="E100" s="24">
        <f t="shared" si="5"/>
        <v>0</v>
      </c>
      <c r="F100" s="8">
        <v>1</v>
      </c>
      <c r="G100" s="8">
        <v>0.2</v>
      </c>
      <c r="H100" s="8">
        <v>1</v>
      </c>
      <c r="I100" s="8">
        <v>0</v>
      </c>
      <c r="J100" s="10" t="s">
        <v>166</v>
      </c>
      <c r="K100" s="48">
        <v>35.71</v>
      </c>
    </row>
    <row r="101" spans="1:11" s="4" customFormat="1" ht="15.95" hidden="1" customHeight="1" x14ac:dyDescent="0.25">
      <c r="B101" s="29" t="s">
        <v>249</v>
      </c>
      <c r="C101" s="7" t="s">
        <v>114</v>
      </c>
      <c r="D101" s="7"/>
      <c r="E101" s="24">
        <f t="shared" si="5"/>
        <v>0</v>
      </c>
      <c r="F101" s="8">
        <v>1</v>
      </c>
      <c r="G101" s="8">
        <v>0.1</v>
      </c>
      <c r="H101" s="8">
        <v>1</v>
      </c>
      <c r="I101" s="8">
        <v>0</v>
      </c>
      <c r="J101" s="10" t="s">
        <v>111</v>
      </c>
      <c r="K101" s="48">
        <v>23.33</v>
      </c>
    </row>
    <row r="102" spans="1:11" s="4" customFormat="1" ht="15.95" hidden="1" customHeight="1" x14ac:dyDescent="0.25">
      <c r="B102" s="29" t="s">
        <v>249</v>
      </c>
      <c r="C102" s="7" t="s">
        <v>116</v>
      </c>
      <c r="D102" s="7"/>
      <c r="E102" s="24">
        <f t="shared" si="5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166</v>
      </c>
      <c r="K102" s="48">
        <v>12.86</v>
      </c>
    </row>
    <row r="103" spans="1:11" s="4" customFormat="1" ht="15.95" hidden="1" customHeight="1" x14ac:dyDescent="0.25">
      <c r="B103" s="29" t="s">
        <v>249</v>
      </c>
      <c r="C103" s="7" t="s">
        <v>117</v>
      </c>
      <c r="D103" s="7"/>
      <c r="E103" s="24">
        <f t="shared" si="5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166</v>
      </c>
      <c r="K103" s="48">
        <v>11.9</v>
      </c>
    </row>
    <row r="104" spans="1:11" s="4" customFormat="1" ht="15.95" hidden="1" customHeight="1" x14ac:dyDescent="0.25">
      <c r="B104" s="29" t="s">
        <v>249</v>
      </c>
      <c r="C104" s="7" t="s">
        <v>118</v>
      </c>
      <c r="D104" s="7"/>
      <c r="E104" s="24">
        <f t="shared" si="5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166</v>
      </c>
      <c r="K104" s="48">
        <v>9.52</v>
      </c>
    </row>
    <row r="105" spans="1:11" s="4" customFormat="1" ht="15.95" hidden="1" customHeight="1" x14ac:dyDescent="0.25">
      <c r="C105" s="7" t="s">
        <v>252</v>
      </c>
      <c r="D105" s="7"/>
      <c r="E105" s="24">
        <f t="shared" si="5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111</v>
      </c>
      <c r="K105" s="48">
        <v>15.48</v>
      </c>
    </row>
    <row r="106" spans="1:11" s="4" customFormat="1" ht="15.95" hidden="1" customHeight="1" x14ac:dyDescent="0.25">
      <c r="C106" s="7" t="s">
        <v>115</v>
      </c>
      <c r="D106" s="7"/>
      <c r="E106" s="24">
        <f t="shared" si="5"/>
        <v>0</v>
      </c>
      <c r="F106" s="8">
        <v>1</v>
      </c>
      <c r="G106" s="8">
        <v>0.5</v>
      </c>
      <c r="H106" s="8">
        <v>1</v>
      </c>
      <c r="I106" s="8">
        <v>0</v>
      </c>
      <c r="J106" s="10" t="s">
        <v>111</v>
      </c>
      <c r="K106" s="48">
        <v>16.07</v>
      </c>
    </row>
    <row r="107" spans="1:11" s="4" customFormat="1" ht="15.95" hidden="1" customHeight="1" x14ac:dyDescent="0.25">
      <c r="C107" s="7" t="s">
        <v>119</v>
      </c>
      <c r="D107" s="7"/>
      <c r="E107" s="24">
        <f>I107*K107</f>
        <v>0</v>
      </c>
      <c r="F107" s="8">
        <v>1.5</v>
      </c>
      <c r="G107" s="8">
        <v>1.5</v>
      </c>
      <c r="H107" s="8">
        <v>1.5</v>
      </c>
      <c r="I107" s="8">
        <v>0</v>
      </c>
      <c r="J107" s="10" t="s">
        <v>166</v>
      </c>
      <c r="K107" s="48">
        <v>2142.86</v>
      </c>
    </row>
    <row r="108" spans="1:11" s="4" customFormat="1" ht="15.95" hidden="1" customHeight="1" x14ac:dyDescent="0.25">
      <c r="C108" s="7" t="s">
        <v>134</v>
      </c>
      <c r="D108" s="7"/>
      <c r="E108" s="24">
        <f t="shared" si="5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166</v>
      </c>
      <c r="K108" s="48">
        <v>11.9</v>
      </c>
    </row>
    <row r="109" spans="1:11" s="4" customFormat="1" ht="15.95" customHeight="1" x14ac:dyDescent="0.25">
      <c r="A109" s="21" t="s">
        <v>141</v>
      </c>
      <c r="B109" s="4" t="s">
        <v>282</v>
      </c>
      <c r="C109" s="26" t="s">
        <v>196</v>
      </c>
      <c r="D109" s="27">
        <f>SUM(E110:E135)</f>
        <v>1819.0900000000001</v>
      </c>
      <c r="E109" s="51"/>
      <c r="F109" s="27"/>
      <c r="G109" s="27"/>
      <c r="H109" s="27"/>
      <c r="I109" s="27"/>
      <c r="J109" s="28"/>
      <c r="K109" s="47"/>
    </row>
    <row r="110" spans="1:11" s="4" customFormat="1" ht="15.95" hidden="1" customHeight="1" x14ac:dyDescent="0.25">
      <c r="C110" s="7" t="s">
        <v>269</v>
      </c>
      <c r="D110" s="7"/>
      <c r="E110" s="8">
        <f t="shared" ref="E110:E135" si="6">I110*K110</f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166</v>
      </c>
      <c r="K110" s="30">
        <v>262.86</v>
      </c>
    </row>
    <row r="111" spans="1:11" s="4" customFormat="1" ht="15.95" hidden="1" customHeight="1" x14ac:dyDescent="0.25">
      <c r="C111" s="7" t="s">
        <v>254</v>
      </c>
      <c r="D111" s="7"/>
      <c r="E111" s="8">
        <f t="shared" si="6"/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166</v>
      </c>
      <c r="K111" s="30">
        <v>564.6</v>
      </c>
    </row>
    <row r="112" spans="1:11" s="4" customFormat="1" ht="15.95" hidden="1" customHeight="1" x14ac:dyDescent="0.25">
      <c r="C112" s="7" t="s">
        <v>270</v>
      </c>
      <c r="D112" s="7"/>
      <c r="E112" s="8">
        <f t="shared" ref="E112:E116" si="7">I112*K112</f>
        <v>0</v>
      </c>
      <c r="F112" s="8">
        <v>2.5</v>
      </c>
      <c r="G112" s="8">
        <v>0.5</v>
      </c>
      <c r="H112" s="8">
        <v>1</v>
      </c>
      <c r="I112" s="8">
        <v>0</v>
      </c>
      <c r="J112" s="10" t="s">
        <v>166</v>
      </c>
      <c r="K112" s="30">
        <v>358.69</v>
      </c>
    </row>
    <row r="113" spans="2:11" s="4" customFormat="1" ht="15.95" hidden="1" customHeight="1" x14ac:dyDescent="0.25">
      <c r="C113" s="7" t="s">
        <v>273</v>
      </c>
      <c r="D113" s="7"/>
      <c r="E113" s="8">
        <f t="shared" si="7"/>
        <v>423.86</v>
      </c>
      <c r="F113" s="8">
        <v>4.2</v>
      </c>
      <c r="G113" s="8">
        <v>0.5</v>
      </c>
      <c r="H113" s="8">
        <v>1</v>
      </c>
      <c r="I113" s="8">
        <v>1</v>
      </c>
      <c r="J113" s="10" t="s">
        <v>166</v>
      </c>
      <c r="K113" s="30">
        <v>423.86</v>
      </c>
    </row>
    <row r="114" spans="2:11" s="4" customFormat="1" ht="15.95" hidden="1" customHeight="1" x14ac:dyDescent="0.25">
      <c r="C114" s="7" t="s">
        <v>274</v>
      </c>
      <c r="D114" s="7"/>
      <c r="E114" s="8">
        <f t="shared" ref="E114" si="8">I114*K114</f>
        <v>400</v>
      </c>
      <c r="F114" s="8">
        <v>3</v>
      </c>
      <c r="G114" s="8">
        <v>0.5</v>
      </c>
      <c r="H114" s="8">
        <v>1</v>
      </c>
      <c r="I114" s="8">
        <v>1</v>
      </c>
      <c r="J114" s="10" t="s">
        <v>166</v>
      </c>
      <c r="K114" s="30">
        <v>400</v>
      </c>
    </row>
    <row r="115" spans="2:11" s="4" customFormat="1" ht="15.95" hidden="1" customHeight="1" x14ac:dyDescent="0.25">
      <c r="C115" s="7" t="s">
        <v>276</v>
      </c>
      <c r="D115" s="7"/>
      <c r="E115" s="8">
        <f t="shared" si="7"/>
        <v>400</v>
      </c>
      <c r="F115" s="8">
        <v>3</v>
      </c>
      <c r="G115" s="8">
        <v>0.5</v>
      </c>
      <c r="H115" s="8">
        <v>1</v>
      </c>
      <c r="I115" s="8">
        <v>1</v>
      </c>
      <c r="J115" s="10" t="s">
        <v>166</v>
      </c>
      <c r="K115" s="30">
        <v>400</v>
      </c>
    </row>
    <row r="116" spans="2:11" s="4" customFormat="1" ht="15.95" hidden="1" customHeight="1" x14ac:dyDescent="0.25">
      <c r="C116" s="7" t="s">
        <v>275</v>
      </c>
      <c r="D116" s="7"/>
      <c r="E116" s="8">
        <f t="shared" si="7"/>
        <v>309.52</v>
      </c>
      <c r="F116" s="8">
        <v>1</v>
      </c>
      <c r="G116" s="8">
        <v>0.5</v>
      </c>
      <c r="H116" s="8">
        <v>1</v>
      </c>
      <c r="I116" s="8">
        <v>2</v>
      </c>
      <c r="J116" s="10" t="s">
        <v>166</v>
      </c>
      <c r="K116" s="30">
        <v>154.76</v>
      </c>
    </row>
    <row r="117" spans="2:11" s="4" customFormat="1" ht="15.95" hidden="1" customHeight="1" x14ac:dyDescent="0.25">
      <c r="C117" s="7" t="s">
        <v>277</v>
      </c>
      <c r="D117" s="7"/>
      <c r="E117" s="8">
        <f t="shared" si="6"/>
        <v>285.70999999999998</v>
      </c>
      <c r="F117" s="8">
        <v>2.5</v>
      </c>
      <c r="G117" s="8">
        <v>1</v>
      </c>
      <c r="H117" s="8">
        <v>0.5</v>
      </c>
      <c r="I117" s="8">
        <v>1</v>
      </c>
      <c r="J117" s="10" t="s">
        <v>166</v>
      </c>
      <c r="K117" s="30">
        <v>285.70999999999998</v>
      </c>
    </row>
    <row r="118" spans="2:11" s="4" customFormat="1" ht="15.95" hidden="1" customHeight="1" x14ac:dyDescent="0.25">
      <c r="C118" s="7" t="s">
        <v>255</v>
      </c>
      <c r="D118" s="7"/>
      <c r="E118" s="8">
        <f t="shared" si="6"/>
        <v>0</v>
      </c>
      <c r="F118" s="8">
        <v>4.5</v>
      </c>
      <c r="G118" s="8">
        <v>1</v>
      </c>
      <c r="H118" s="8">
        <v>1</v>
      </c>
      <c r="I118" s="8">
        <v>0</v>
      </c>
      <c r="J118" s="10" t="s">
        <v>166</v>
      </c>
      <c r="K118" s="30">
        <v>302.29000000000002</v>
      </c>
    </row>
    <row r="119" spans="2:11" s="4" customFormat="1" ht="15.95" hidden="1" customHeight="1" x14ac:dyDescent="0.25">
      <c r="C119" s="7" t="s">
        <v>253</v>
      </c>
      <c r="D119" s="7"/>
      <c r="E119" s="8">
        <f t="shared" si="6"/>
        <v>0</v>
      </c>
      <c r="F119" s="8">
        <v>4.5</v>
      </c>
      <c r="G119" s="8">
        <v>1</v>
      </c>
      <c r="H119" s="8">
        <v>1</v>
      </c>
      <c r="I119" s="8">
        <v>0</v>
      </c>
      <c r="J119" s="10" t="s">
        <v>166</v>
      </c>
      <c r="K119" s="30">
        <v>604.02</v>
      </c>
    </row>
    <row r="120" spans="2:11" s="4" customFormat="1" ht="15.95" hidden="1" customHeight="1" x14ac:dyDescent="0.25">
      <c r="C120" s="7" t="s">
        <v>256</v>
      </c>
      <c r="D120" s="7"/>
      <c r="E120" s="8">
        <f t="shared" si="6"/>
        <v>0</v>
      </c>
      <c r="F120" s="8">
        <v>4.5</v>
      </c>
      <c r="G120" s="8">
        <v>1</v>
      </c>
      <c r="H120" s="8">
        <v>1</v>
      </c>
      <c r="I120" s="8">
        <v>0</v>
      </c>
      <c r="J120" s="10" t="s">
        <v>166</v>
      </c>
      <c r="K120" s="30">
        <v>423.86</v>
      </c>
    </row>
    <row r="121" spans="2:11" s="4" customFormat="1" ht="15.95" hidden="1" customHeight="1" x14ac:dyDescent="0.25">
      <c r="C121" s="7" t="s">
        <v>157</v>
      </c>
      <c r="D121" s="7"/>
      <c r="E121" s="8">
        <f>I121*K121</f>
        <v>0</v>
      </c>
      <c r="F121" s="8">
        <v>4</v>
      </c>
      <c r="G121" s="8">
        <v>0.5</v>
      </c>
      <c r="H121" s="8">
        <v>1</v>
      </c>
      <c r="I121" s="8">
        <v>0</v>
      </c>
      <c r="J121" s="10" t="s">
        <v>166</v>
      </c>
      <c r="K121" s="30">
        <v>595.24</v>
      </c>
    </row>
    <row r="122" spans="2:11" s="4" customFormat="1" ht="15.95" hidden="1" customHeight="1" x14ac:dyDescent="0.25">
      <c r="C122" s="7" t="s">
        <v>197</v>
      </c>
      <c r="D122" s="7"/>
      <c r="E122" s="8">
        <f t="shared" si="6"/>
        <v>0</v>
      </c>
      <c r="F122" s="8">
        <v>1.5</v>
      </c>
      <c r="G122" s="8">
        <v>0.4</v>
      </c>
      <c r="H122" s="8">
        <v>1</v>
      </c>
      <c r="I122" s="8">
        <v>0</v>
      </c>
      <c r="J122" s="10" t="s">
        <v>166</v>
      </c>
      <c r="K122" s="30">
        <v>161.9</v>
      </c>
    </row>
    <row r="123" spans="2:11" s="4" customFormat="1" ht="15.95" hidden="1" customHeight="1" x14ac:dyDescent="0.25">
      <c r="C123" s="7" t="s">
        <v>198</v>
      </c>
      <c r="D123" s="7"/>
      <c r="E123" s="8">
        <f t="shared" si="6"/>
        <v>0</v>
      </c>
      <c r="F123" s="8">
        <v>1</v>
      </c>
      <c r="G123" s="8">
        <v>0.5</v>
      </c>
      <c r="H123" s="8">
        <v>0.9</v>
      </c>
      <c r="I123" s="8">
        <v>0</v>
      </c>
      <c r="J123" s="10" t="s">
        <v>166</v>
      </c>
      <c r="K123" s="30">
        <v>190.48</v>
      </c>
    </row>
    <row r="124" spans="2:11" s="4" customFormat="1" ht="15.95" hidden="1" customHeight="1" x14ac:dyDescent="0.25">
      <c r="C124" s="7" t="s">
        <v>199</v>
      </c>
      <c r="D124" s="7"/>
      <c r="E124" s="8">
        <f t="shared" si="6"/>
        <v>0</v>
      </c>
      <c r="F124" s="8">
        <v>2.4</v>
      </c>
      <c r="G124" s="8">
        <v>0.4</v>
      </c>
      <c r="H124" s="8">
        <v>1</v>
      </c>
      <c r="I124" s="8">
        <v>0</v>
      </c>
      <c r="J124" s="10" t="s">
        <v>166</v>
      </c>
      <c r="K124" s="30">
        <v>216.67</v>
      </c>
    </row>
    <row r="125" spans="2:11" s="4" customFormat="1" ht="15.95" hidden="1" customHeight="1" x14ac:dyDescent="0.25">
      <c r="C125" s="7" t="s">
        <v>200</v>
      </c>
      <c r="D125" s="7"/>
      <c r="E125" s="8">
        <f t="shared" si="6"/>
        <v>0</v>
      </c>
      <c r="F125" s="8">
        <v>1.2</v>
      </c>
      <c r="G125" s="8">
        <v>0.4</v>
      </c>
      <c r="H125" s="8">
        <v>1</v>
      </c>
      <c r="I125" s="8">
        <v>0</v>
      </c>
      <c r="J125" s="10" t="s">
        <v>166</v>
      </c>
      <c r="K125" s="30">
        <v>154.76</v>
      </c>
    </row>
    <row r="126" spans="2:11" s="4" customFormat="1" ht="15.95" hidden="1" customHeight="1" x14ac:dyDescent="0.25">
      <c r="C126" s="7" t="s">
        <v>201</v>
      </c>
      <c r="D126" s="7"/>
      <c r="E126" s="8">
        <f t="shared" si="6"/>
        <v>0</v>
      </c>
      <c r="F126" s="8">
        <v>0.5</v>
      </c>
      <c r="G126" s="8">
        <v>0.5</v>
      </c>
      <c r="H126" s="8">
        <v>1</v>
      </c>
      <c r="I126" s="8">
        <v>0</v>
      </c>
      <c r="J126" s="10" t="s">
        <v>166</v>
      </c>
      <c r="K126" s="30">
        <v>177.98</v>
      </c>
    </row>
    <row r="127" spans="2:11" s="4" customFormat="1" ht="15.95" hidden="1" customHeight="1" x14ac:dyDescent="0.25">
      <c r="C127" s="7" t="s">
        <v>202</v>
      </c>
      <c r="D127" s="7"/>
      <c r="E127" s="8">
        <f t="shared" si="6"/>
        <v>0</v>
      </c>
      <c r="F127" s="8">
        <v>0.5</v>
      </c>
      <c r="G127" s="8">
        <v>0.5</v>
      </c>
      <c r="H127" s="8">
        <v>1</v>
      </c>
      <c r="I127" s="8">
        <v>0</v>
      </c>
      <c r="J127" s="10" t="s">
        <v>166</v>
      </c>
      <c r="K127" s="30">
        <v>260.12</v>
      </c>
    </row>
    <row r="128" spans="2:11" s="4" customFormat="1" ht="15.95" hidden="1" customHeight="1" x14ac:dyDescent="0.25">
      <c r="B128" s="29" t="s">
        <v>249</v>
      </c>
      <c r="C128" s="7" t="s">
        <v>120</v>
      </c>
      <c r="D128" s="7"/>
      <c r="E128" s="8">
        <f t="shared" si="6"/>
        <v>0</v>
      </c>
      <c r="F128" s="8">
        <v>0.5</v>
      </c>
      <c r="G128" s="8">
        <v>0.5</v>
      </c>
      <c r="H128" s="8">
        <v>2</v>
      </c>
      <c r="I128" s="8">
        <v>0</v>
      </c>
      <c r="J128" s="10" t="s">
        <v>166</v>
      </c>
      <c r="K128" s="30">
        <v>210</v>
      </c>
    </row>
    <row r="129" spans="1:11" s="4" customFormat="1" ht="15.95" hidden="1" customHeight="1" x14ac:dyDescent="0.25">
      <c r="C129" s="7" t="s">
        <v>125</v>
      </c>
      <c r="D129" s="7"/>
      <c r="E129" s="8">
        <f t="shared" si="6"/>
        <v>0</v>
      </c>
      <c r="F129" s="8">
        <v>2.1</v>
      </c>
      <c r="G129" s="8">
        <v>2</v>
      </c>
      <c r="H129" s="8">
        <v>0.9</v>
      </c>
      <c r="I129" s="8">
        <v>0</v>
      </c>
      <c r="J129" s="10" t="s">
        <v>166</v>
      </c>
      <c r="K129" s="30">
        <v>223.81</v>
      </c>
    </row>
    <row r="130" spans="1:11" s="4" customFormat="1" ht="15.95" hidden="1" customHeight="1" x14ac:dyDescent="0.25">
      <c r="C130" s="7" t="s">
        <v>126</v>
      </c>
      <c r="D130" s="7"/>
      <c r="E130" s="8">
        <f t="shared" si="6"/>
        <v>0</v>
      </c>
      <c r="F130" s="8">
        <v>0.45</v>
      </c>
      <c r="G130" s="8">
        <v>0.45</v>
      </c>
      <c r="H130" s="8">
        <v>0.5</v>
      </c>
      <c r="I130" s="8">
        <v>0</v>
      </c>
      <c r="J130" s="10" t="s">
        <v>166</v>
      </c>
      <c r="K130" s="30">
        <v>65</v>
      </c>
    </row>
    <row r="131" spans="1:11" s="4" customFormat="1" ht="15.95" hidden="1" customHeight="1" x14ac:dyDescent="0.25">
      <c r="C131" s="7" t="s">
        <v>127</v>
      </c>
      <c r="D131" s="7"/>
      <c r="E131" s="8">
        <f t="shared" si="6"/>
        <v>0</v>
      </c>
      <c r="F131" s="8">
        <v>1.1000000000000001</v>
      </c>
      <c r="G131" s="8">
        <v>0.35</v>
      </c>
      <c r="H131" s="8">
        <v>1.8</v>
      </c>
      <c r="I131" s="8">
        <v>0</v>
      </c>
      <c r="J131" s="10" t="s">
        <v>166</v>
      </c>
      <c r="K131" s="30">
        <v>35</v>
      </c>
    </row>
    <row r="132" spans="1:11" s="4" customFormat="1" ht="15.95" hidden="1" customHeight="1" x14ac:dyDescent="0.25">
      <c r="B132" s="29" t="s">
        <v>249</v>
      </c>
      <c r="C132" s="7" t="s">
        <v>55</v>
      </c>
      <c r="D132" s="7"/>
      <c r="E132" s="8">
        <f t="shared" si="6"/>
        <v>0</v>
      </c>
      <c r="F132" s="8"/>
      <c r="G132" s="8"/>
      <c r="H132" s="8"/>
      <c r="I132" s="8">
        <v>0</v>
      </c>
      <c r="J132" s="10" t="s">
        <v>166</v>
      </c>
      <c r="K132" s="30">
        <v>12</v>
      </c>
    </row>
    <row r="133" spans="1:11" s="4" customFormat="1" ht="15.95" hidden="1" customHeight="1" x14ac:dyDescent="0.25">
      <c r="C133" s="7" t="s">
        <v>130</v>
      </c>
      <c r="D133" s="7"/>
      <c r="E133" s="8">
        <f t="shared" si="6"/>
        <v>0</v>
      </c>
      <c r="F133" s="8">
        <v>1</v>
      </c>
      <c r="G133" s="8">
        <v>0.1</v>
      </c>
      <c r="H133" s="8">
        <v>1</v>
      </c>
      <c r="I133" s="8">
        <v>0</v>
      </c>
      <c r="J133" s="10" t="s">
        <v>111</v>
      </c>
      <c r="K133" s="30">
        <v>21.9</v>
      </c>
    </row>
    <row r="134" spans="1:11" s="4" customFormat="1" ht="15.95" hidden="1" customHeight="1" x14ac:dyDescent="0.25">
      <c r="C134" s="7" t="s">
        <v>203</v>
      </c>
      <c r="D134" s="7"/>
      <c r="E134" s="8">
        <f t="shared" si="6"/>
        <v>0</v>
      </c>
      <c r="F134" s="8">
        <v>0.5</v>
      </c>
      <c r="G134" s="8">
        <v>0.5</v>
      </c>
      <c r="H134" s="8">
        <v>0.5</v>
      </c>
      <c r="I134" s="8">
        <v>0</v>
      </c>
      <c r="J134" s="10" t="s">
        <v>166</v>
      </c>
      <c r="K134" s="30">
        <v>177.98</v>
      </c>
    </row>
    <row r="135" spans="1:11" s="4" customFormat="1" ht="15.95" hidden="1" customHeight="1" x14ac:dyDescent="0.25">
      <c r="C135" s="7" t="s">
        <v>178</v>
      </c>
      <c r="D135" s="7"/>
      <c r="E135" s="8">
        <f t="shared" si="6"/>
        <v>0</v>
      </c>
      <c r="F135" s="8">
        <v>0.84</v>
      </c>
      <c r="G135" s="8">
        <v>0.84</v>
      </c>
      <c r="H135" s="8">
        <v>2.1</v>
      </c>
      <c r="I135" s="8">
        <v>0</v>
      </c>
      <c r="J135" s="10" t="s">
        <v>166</v>
      </c>
      <c r="K135" s="30">
        <v>383.33</v>
      </c>
    </row>
    <row r="136" spans="1:11" s="4" customFormat="1" ht="15.95" customHeight="1" x14ac:dyDescent="0.25">
      <c r="A136" s="21" t="s">
        <v>143</v>
      </c>
      <c r="B136" s="4" t="s">
        <v>283</v>
      </c>
      <c r="C136" s="26" t="s">
        <v>204</v>
      </c>
      <c r="D136" s="27">
        <f>SUM(E137:E146)</f>
        <v>885.01</v>
      </c>
      <c r="E136" s="51"/>
      <c r="F136" s="27"/>
      <c r="G136" s="27"/>
      <c r="H136" s="27"/>
      <c r="I136" s="27"/>
      <c r="J136" s="28"/>
      <c r="K136" s="47"/>
    </row>
    <row r="137" spans="1:11" s="4" customFormat="1" ht="15.95" hidden="1" customHeight="1" x14ac:dyDescent="0.25">
      <c r="B137" s="29" t="s">
        <v>249</v>
      </c>
      <c r="C137" s="7" t="s">
        <v>49</v>
      </c>
      <c r="D137" s="7"/>
      <c r="E137" s="8">
        <f t="shared" ref="E137:E146" si="9">I137*K137</f>
        <v>35</v>
      </c>
      <c r="F137" s="12"/>
      <c r="G137" s="12"/>
      <c r="H137" s="12"/>
      <c r="I137" s="8">
        <v>1</v>
      </c>
      <c r="J137" s="10" t="s">
        <v>166</v>
      </c>
      <c r="K137" s="30">
        <v>35</v>
      </c>
    </row>
    <row r="138" spans="1:11" s="4" customFormat="1" ht="15.95" hidden="1" customHeight="1" x14ac:dyDescent="0.25">
      <c r="B138" s="29" t="s">
        <v>249</v>
      </c>
      <c r="C138" s="7" t="s">
        <v>50</v>
      </c>
      <c r="D138" s="7"/>
      <c r="E138" s="8">
        <f t="shared" si="9"/>
        <v>50</v>
      </c>
      <c r="F138" s="8"/>
      <c r="G138" s="8"/>
      <c r="H138" s="8"/>
      <c r="I138" s="8">
        <v>1</v>
      </c>
      <c r="J138" s="10" t="s">
        <v>166</v>
      </c>
      <c r="K138" s="30">
        <v>50</v>
      </c>
    </row>
    <row r="139" spans="1:11" s="4" customFormat="1" ht="15.95" hidden="1" customHeight="1" x14ac:dyDescent="0.25">
      <c r="B139" s="29" t="s">
        <v>249</v>
      </c>
      <c r="C139" s="7" t="s">
        <v>271</v>
      </c>
      <c r="D139" s="7"/>
      <c r="E139" s="8">
        <f t="shared" si="9"/>
        <v>714.3</v>
      </c>
      <c r="F139" s="8">
        <v>1</v>
      </c>
      <c r="G139" s="8">
        <v>0</v>
      </c>
      <c r="H139" s="8">
        <v>2</v>
      </c>
      <c r="I139" s="8">
        <v>6</v>
      </c>
      <c r="J139" s="10" t="s">
        <v>166</v>
      </c>
      <c r="K139" s="30">
        <v>119.05</v>
      </c>
    </row>
    <row r="140" spans="1:11" s="4" customFormat="1" ht="15.95" hidden="1" customHeight="1" x14ac:dyDescent="0.25">
      <c r="C140" s="7" t="s">
        <v>122</v>
      </c>
      <c r="D140" s="7"/>
      <c r="E140" s="8">
        <f t="shared" si="9"/>
        <v>85.710000000000008</v>
      </c>
      <c r="F140" s="8">
        <v>1</v>
      </c>
      <c r="G140" s="8">
        <v>1</v>
      </c>
      <c r="H140" s="8"/>
      <c r="I140" s="8">
        <v>3</v>
      </c>
      <c r="J140" s="10" t="s">
        <v>111</v>
      </c>
      <c r="K140" s="30">
        <v>28.57</v>
      </c>
    </row>
    <row r="141" spans="1:11" s="4" customFormat="1" ht="15.95" hidden="1" customHeight="1" x14ac:dyDescent="0.25">
      <c r="C141" s="7" t="s">
        <v>74</v>
      </c>
      <c r="D141" s="7"/>
      <c r="E141" s="8">
        <f t="shared" si="9"/>
        <v>0</v>
      </c>
      <c r="F141" s="8">
        <v>1</v>
      </c>
      <c r="G141" s="8">
        <v>0</v>
      </c>
      <c r="H141" s="8">
        <v>1</v>
      </c>
      <c r="I141" s="8">
        <v>0</v>
      </c>
      <c r="J141" s="10" t="s">
        <v>166</v>
      </c>
      <c r="K141" s="30">
        <v>11.9</v>
      </c>
    </row>
    <row r="142" spans="1:11" s="4" customFormat="1" ht="15.95" hidden="1" customHeight="1" x14ac:dyDescent="0.25">
      <c r="C142" s="7" t="s">
        <v>20</v>
      </c>
      <c r="D142" s="7"/>
      <c r="E142" s="8">
        <f t="shared" si="9"/>
        <v>0</v>
      </c>
      <c r="F142" s="8">
        <v>2</v>
      </c>
      <c r="G142" s="8">
        <v>0.2</v>
      </c>
      <c r="H142" s="8">
        <v>0.2</v>
      </c>
      <c r="I142" s="8">
        <v>0</v>
      </c>
      <c r="J142" s="10" t="s">
        <v>166</v>
      </c>
      <c r="K142" s="30">
        <v>136.9</v>
      </c>
    </row>
    <row r="143" spans="1:11" s="4" customFormat="1" ht="15.95" hidden="1" customHeight="1" x14ac:dyDescent="0.25">
      <c r="C143" s="7" t="s">
        <v>171</v>
      </c>
      <c r="D143" s="7"/>
      <c r="E143" s="8">
        <f t="shared" si="9"/>
        <v>0</v>
      </c>
      <c r="F143" s="8">
        <v>1</v>
      </c>
      <c r="G143" s="8">
        <v>1</v>
      </c>
      <c r="H143" s="8">
        <v>0</v>
      </c>
      <c r="I143" s="8">
        <v>0</v>
      </c>
      <c r="J143" s="10" t="s">
        <v>111</v>
      </c>
      <c r="K143" s="30">
        <v>22.62</v>
      </c>
    </row>
    <row r="144" spans="1:11" s="4" customFormat="1" ht="15.95" hidden="1" customHeight="1" x14ac:dyDescent="0.25">
      <c r="C144" s="7" t="s">
        <v>162</v>
      </c>
      <c r="D144" s="7"/>
      <c r="E144" s="8">
        <f t="shared" si="9"/>
        <v>0</v>
      </c>
      <c r="F144" s="8">
        <v>1</v>
      </c>
      <c r="G144" s="8">
        <v>0.1</v>
      </c>
      <c r="H144" s="8">
        <v>1</v>
      </c>
      <c r="I144" s="8">
        <v>0</v>
      </c>
      <c r="J144" s="10" t="s">
        <v>111</v>
      </c>
      <c r="K144" s="30">
        <v>83.33</v>
      </c>
    </row>
    <row r="145" spans="1:11" s="4" customFormat="1" ht="15.95" hidden="1" customHeight="1" x14ac:dyDescent="0.25">
      <c r="C145" s="7" t="s">
        <v>163</v>
      </c>
      <c r="D145" s="7"/>
      <c r="E145" s="8">
        <f t="shared" si="9"/>
        <v>0</v>
      </c>
      <c r="F145" s="8">
        <v>1</v>
      </c>
      <c r="G145" s="8">
        <v>0.1</v>
      </c>
      <c r="H145" s="8">
        <v>1</v>
      </c>
      <c r="I145" s="8">
        <v>0</v>
      </c>
      <c r="J145" s="10" t="s">
        <v>111</v>
      </c>
      <c r="K145" s="30">
        <v>32.14</v>
      </c>
    </row>
    <row r="146" spans="1:11" s="4" customFormat="1" ht="15.95" hidden="1" customHeight="1" x14ac:dyDescent="0.25">
      <c r="C146" s="7" t="s">
        <v>164</v>
      </c>
      <c r="D146" s="7"/>
      <c r="E146" s="8">
        <f t="shared" si="9"/>
        <v>0</v>
      </c>
      <c r="F146" s="8">
        <v>1</v>
      </c>
      <c r="G146" s="8">
        <v>0.1</v>
      </c>
      <c r="H146" s="8">
        <v>1</v>
      </c>
      <c r="I146" s="8">
        <v>0</v>
      </c>
      <c r="J146" s="10" t="s">
        <v>111</v>
      </c>
      <c r="K146" s="30">
        <v>38.1</v>
      </c>
    </row>
    <row r="147" spans="1:11" s="4" customFormat="1" ht="15.95" customHeight="1" x14ac:dyDescent="0.25">
      <c r="A147" s="21" t="s">
        <v>142</v>
      </c>
      <c r="B147" s="4" t="s">
        <v>284</v>
      </c>
      <c r="C147" s="26" t="s">
        <v>205</v>
      </c>
      <c r="D147" s="27">
        <f>SUM(E148:E154)</f>
        <v>278.76</v>
      </c>
      <c r="E147" s="51"/>
      <c r="F147" s="27"/>
      <c r="G147" s="27"/>
      <c r="H147" s="27"/>
      <c r="I147" s="27"/>
      <c r="J147" s="28"/>
      <c r="K147" s="47"/>
    </row>
    <row r="148" spans="1:11" s="4" customFormat="1" ht="15.95" hidden="1" customHeight="1" x14ac:dyDescent="0.25">
      <c r="C148" s="7" t="s">
        <v>268</v>
      </c>
      <c r="D148" s="7"/>
      <c r="E148" s="8">
        <f t="shared" ref="E148:E154" si="10">I148*K148</f>
        <v>154.76</v>
      </c>
      <c r="F148" s="8">
        <v>2</v>
      </c>
      <c r="G148" s="8">
        <v>0.2</v>
      </c>
      <c r="H148" s="8">
        <v>0.5</v>
      </c>
      <c r="I148" s="8">
        <v>1</v>
      </c>
      <c r="J148" s="10" t="s">
        <v>166</v>
      </c>
      <c r="K148" s="30">
        <v>154.76</v>
      </c>
    </row>
    <row r="149" spans="1:11" s="4" customFormat="1" ht="15.95" hidden="1" customHeight="1" x14ac:dyDescent="0.25">
      <c r="C149" s="7" t="s">
        <v>86</v>
      </c>
      <c r="D149" s="7"/>
      <c r="E149" s="8">
        <f t="shared" si="10"/>
        <v>0</v>
      </c>
      <c r="F149" s="8">
        <v>6</v>
      </c>
      <c r="G149" s="8">
        <v>0.2</v>
      </c>
      <c r="H149" s="8">
        <v>1</v>
      </c>
      <c r="I149" s="8">
        <v>0</v>
      </c>
      <c r="J149" s="10" t="s">
        <v>166</v>
      </c>
      <c r="K149" s="30">
        <v>219.05</v>
      </c>
    </row>
    <row r="150" spans="1:11" s="4" customFormat="1" ht="15.95" hidden="1" customHeight="1" x14ac:dyDescent="0.25">
      <c r="C150" s="7" t="s">
        <v>180</v>
      </c>
      <c r="D150" s="7"/>
      <c r="E150" s="8">
        <f t="shared" si="10"/>
        <v>24</v>
      </c>
      <c r="F150" s="8">
        <v>0</v>
      </c>
      <c r="G150" s="8">
        <v>0</v>
      </c>
      <c r="H150" s="8">
        <v>0</v>
      </c>
      <c r="I150" s="8">
        <v>8</v>
      </c>
      <c r="J150" s="10" t="s">
        <v>166</v>
      </c>
      <c r="K150" s="30">
        <v>3</v>
      </c>
    </row>
    <row r="151" spans="1:11" s="4" customFormat="1" ht="15.95" hidden="1" customHeight="1" x14ac:dyDescent="0.25">
      <c r="C151" s="7" t="s">
        <v>53</v>
      </c>
      <c r="D151" s="7"/>
      <c r="E151" s="8">
        <f t="shared" si="10"/>
        <v>0</v>
      </c>
      <c r="F151" s="8">
        <v>0</v>
      </c>
      <c r="G151" s="8">
        <v>0</v>
      </c>
      <c r="H151" s="8">
        <v>0</v>
      </c>
      <c r="I151" s="8">
        <v>0</v>
      </c>
      <c r="J151" s="10" t="s">
        <v>166</v>
      </c>
      <c r="K151" s="30">
        <v>25</v>
      </c>
    </row>
    <row r="152" spans="1:11" s="4" customFormat="1" ht="15.95" hidden="1" customHeight="1" x14ac:dyDescent="0.25">
      <c r="B152" s="29" t="s">
        <v>249</v>
      </c>
      <c r="C152" s="7" t="s">
        <v>72</v>
      </c>
      <c r="D152" s="7"/>
      <c r="E152" s="8">
        <f t="shared" si="10"/>
        <v>0</v>
      </c>
      <c r="F152" s="8">
        <v>0.5</v>
      </c>
      <c r="G152" s="8">
        <v>0.5</v>
      </c>
      <c r="H152" s="8"/>
      <c r="I152" s="8">
        <v>0</v>
      </c>
      <c r="J152" s="10" t="s">
        <v>111</v>
      </c>
      <c r="K152" s="30">
        <v>25</v>
      </c>
    </row>
    <row r="153" spans="1:11" s="4" customFormat="1" ht="15.95" hidden="1" customHeight="1" x14ac:dyDescent="0.25">
      <c r="C153" s="7" t="s">
        <v>91</v>
      </c>
      <c r="D153" s="7"/>
      <c r="E153" s="8">
        <f t="shared" si="10"/>
        <v>0</v>
      </c>
      <c r="F153" s="8"/>
      <c r="G153" s="8"/>
      <c r="H153" s="8"/>
      <c r="I153" s="8">
        <v>0</v>
      </c>
      <c r="J153" s="10" t="s">
        <v>166</v>
      </c>
      <c r="K153" s="30">
        <v>25</v>
      </c>
    </row>
    <row r="154" spans="1:11" s="4" customFormat="1" ht="15.95" hidden="1" customHeight="1" x14ac:dyDescent="0.25">
      <c r="C154" s="7" t="s">
        <v>248</v>
      </c>
      <c r="D154" s="7"/>
      <c r="E154" s="8">
        <f t="shared" si="10"/>
        <v>100</v>
      </c>
      <c r="F154" s="8"/>
      <c r="G154" s="8"/>
      <c r="H154" s="8"/>
      <c r="I154" s="8">
        <v>5</v>
      </c>
      <c r="J154" s="10" t="s">
        <v>166</v>
      </c>
      <c r="K154" s="30">
        <v>20</v>
      </c>
    </row>
    <row r="155" spans="1:11" s="4" customFormat="1" ht="15.95" customHeight="1" x14ac:dyDescent="0.25">
      <c r="C155" s="26" t="s">
        <v>132</v>
      </c>
      <c r="D155" s="27">
        <f>SUM(E156:E168)</f>
        <v>715.48</v>
      </c>
      <c r="E155" s="51"/>
      <c r="F155" s="27"/>
      <c r="G155" s="27"/>
      <c r="H155" s="27"/>
      <c r="I155" s="27"/>
      <c r="J155" s="28"/>
      <c r="K155" s="47"/>
    </row>
    <row r="156" spans="1:11" s="4" customFormat="1" ht="15.95" hidden="1" customHeight="1" x14ac:dyDescent="0.25">
      <c r="B156" s="29" t="s">
        <v>249</v>
      </c>
      <c r="C156" s="7" t="s">
        <v>19</v>
      </c>
      <c r="D156" s="7"/>
      <c r="E156" s="8">
        <f t="shared" ref="E156:E168" si="11">I156*K156</f>
        <v>0</v>
      </c>
      <c r="F156" s="8"/>
      <c r="G156" s="8"/>
      <c r="H156" s="8"/>
      <c r="I156" s="8">
        <v>0</v>
      </c>
      <c r="J156" s="10" t="s">
        <v>166</v>
      </c>
      <c r="K156" s="30">
        <v>11.9</v>
      </c>
    </row>
    <row r="157" spans="1:11" s="4" customFormat="1" ht="15.95" hidden="1" customHeight="1" x14ac:dyDescent="0.25">
      <c r="B157" s="29" t="s">
        <v>249</v>
      </c>
      <c r="C157" s="7" t="s">
        <v>62</v>
      </c>
      <c r="D157" s="7"/>
      <c r="E157" s="8">
        <f t="shared" si="11"/>
        <v>0</v>
      </c>
      <c r="F157" s="8"/>
      <c r="G157" s="8"/>
      <c r="H157" s="8"/>
      <c r="I157" s="8">
        <v>0</v>
      </c>
      <c r="J157" s="10" t="s">
        <v>166</v>
      </c>
      <c r="K157" s="30">
        <v>50</v>
      </c>
    </row>
    <row r="158" spans="1:11" s="4" customFormat="1" ht="15.95" hidden="1" customHeight="1" x14ac:dyDescent="0.25">
      <c r="B158" s="29" t="s">
        <v>249</v>
      </c>
      <c r="C158" s="7" t="s">
        <v>63</v>
      </c>
      <c r="D158" s="7"/>
      <c r="E158" s="8">
        <f t="shared" si="11"/>
        <v>0</v>
      </c>
      <c r="F158" s="8"/>
      <c r="G158" s="8"/>
      <c r="H158" s="8"/>
      <c r="I158" s="8">
        <v>0</v>
      </c>
      <c r="J158" s="10" t="s">
        <v>166</v>
      </c>
      <c r="K158" s="30">
        <v>65</v>
      </c>
    </row>
    <row r="159" spans="1:11" s="4" customFormat="1" ht="15.95" hidden="1" customHeight="1" x14ac:dyDescent="0.25">
      <c r="C159" s="7" t="s">
        <v>82</v>
      </c>
      <c r="D159" s="7"/>
      <c r="E159" s="8">
        <f t="shared" si="11"/>
        <v>0</v>
      </c>
      <c r="F159" s="8"/>
      <c r="G159" s="8"/>
      <c r="H159" s="8"/>
      <c r="I159" s="8">
        <v>0</v>
      </c>
      <c r="J159" s="10" t="s">
        <v>166</v>
      </c>
      <c r="K159" s="30">
        <v>23.81</v>
      </c>
    </row>
    <row r="160" spans="1:11" s="4" customFormat="1" ht="15.95" hidden="1" customHeight="1" x14ac:dyDescent="0.25">
      <c r="C160" s="7" t="s">
        <v>83</v>
      </c>
      <c r="D160" s="7"/>
      <c r="E160" s="8">
        <f t="shared" si="11"/>
        <v>0</v>
      </c>
      <c r="F160" s="8"/>
      <c r="G160" s="8"/>
      <c r="H160" s="8"/>
      <c r="I160" s="8">
        <v>0</v>
      </c>
      <c r="J160" s="10" t="s">
        <v>166</v>
      </c>
      <c r="K160" s="30">
        <v>14.29</v>
      </c>
    </row>
    <row r="161" spans="2:11" s="4" customFormat="1" ht="15.95" hidden="1" customHeight="1" x14ac:dyDescent="0.25">
      <c r="B161" s="29" t="s">
        <v>249</v>
      </c>
      <c r="C161" s="7" t="s">
        <v>64</v>
      </c>
      <c r="D161" s="7"/>
      <c r="E161" s="8">
        <f t="shared" si="11"/>
        <v>0</v>
      </c>
      <c r="F161" s="8"/>
      <c r="G161" s="8"/>
      <c r="H161" s="8"/>
      <c r="I161" s="8">
        <v>0</v>
      </c>
      <c r="J161" s="10" t="s">
        <v>166</v>
      </c>
      <c r="K161" s="30">
        <v>10</v>
      </c>
    </row>
    <row r="162" spans="2:11" s="4" customFormat="1" ht="15.95" hidden="1" customHeight="1" x14ac:dyDescent="0.25">
      <c r="B162" s="29" t="s">
        <v>249</v>
      </c>
      <c r="C162" s="7" t="s">
        <v>18</v>
      </c>
      <c r="D162" s="7"/>
      <c r="E162" s="8">
        <f t="shared" si="11"/>
        <v>0</v>
      </c>
      <c r="F162" s="8"/>
      <c r="G162" s="8"/>
      <c r="H162" s="8"/>
      <c r="I162" s="8">
        <v>0</v>
      </c>
      <c r="J162" s="10" t="s">
        <v>166</v>
      </c>
      <c r="K162" s="30">
        <v>10</v>
      </c>
    </row>
    <row r="163" spans="2:11" s="4" customFormat="1" ht="15.95" hidden="1" customHeight="1" x14ac:dyDescent="0.25">
      <c r="C163" s="7" t="s">
        <v>51</v>
      </c>
      <c r="D163" s="7"/>
      <c r="E163" s="8">
        <f t="shared" si="11"/>
        <v>125</v>
      </c>
      <c r="F163" s="12"/>
      <c r="G163" s="12"/>
      <c r="H163" s="12"/>
      <c r="I163" s="8">
        <v>25</v>
      </c>
      <c r="J163" s="10" t="s">
        <v>166</v>
      </c>
      <c r="K163" s="30">
        <v>5</v>
      </c>
    </row>
    <row r="164" spans="2:11" s="4" customFormat="1" ht="15.95" hidden="1" customHeight="1" x14ac:dyDescent="0.25">
      <c r="B164" s="29" t="s">
        <v>249</v>
      </c>
      <c r="C164" s="7" t="s">
        <v>17</v>
      </c>
      <c r="D164" s="7"/>
      <c r="E164" s="8">
        <f t="shared" si="11"/>
        <v>238</v>
      </c>
      <c r="F164" s="8"/>
      <c r="G164" s="8"/>
      <c r="H164" s="8"/>
      <c r="I164" s="8">
        <v>20</v>
      </c>
      <c r="J164" s="10" t="s">
        <v>166</v>
      </c>
      <c r="K164" s="30">
        <v>11.9</v>
      </c>
    </row>
    <row r="165" spans="2:11" s="4" customFormat="1" ht="15.95" hidden="1" customHeight="1" x14ac:dyDescent="0.25">
      <c r="C165" s="7" t="s">
        <v>56</v>
      </c>
      <c r="D165" s="7"/>
      <c r="E165" s="8">
        <f t="shared" si="11"/>
        <v>0</v>
      </c>
      <c r="F165" s="8"/>
      <c r="G165" s="8"/>
      <c r="H165" s="8"/>
      <c r="I165" s="8">
        <v>0</v>
      </c>
      <c r="J165" s="10" t="s">
        <v>166</v>
      </c>
      <c r="K165" s="30">
        <v>4.76</v>
      </c>
    </row>
    <row r="166" spans="2:11" s="4" customFormat="1" ht="15.95" hidden="1" customHeight="1" x14ac:dyDescent="0.25">
      <c r="C166" s="7" t="s">
        <v>16</v>
      </c>
      <c r="D166" s="7"/>
      <c r="E166" s="8">
        <f t="shared" si="11"/>
        <v>0</v>
      </c>
      <c r="F166" s="8"/>
      <c r="G166" s="8"/>
      <c r="H166" s="8"/>
      <c r="I166" s="8">
        <v>0</v>
      </c>
      <c r="J166" s="10" t="s">
        <v>166</v>
      </c>
      <c r="K166" s="30">
        <v>2.38</v>
      </c>
    </row>
    <row r="167" spans="2:11" ht="15.95" hidden="1" customHeight="1" x14ac:dyDescent="0.25">
      <c r="C167" s="7" t="s">
        <v>188</v>
      </c>
      <c r="D167" s="7"/>
      <c r="E167" s="8">
        <f t="shared" si="11"/>
        <v>162</v>
      </c>
      <c r="F167" s="8"/>
      <c r="G167" s="8"/>
      <c r="H167" s="8"/>
      <c r="I167" s="8">
        <v>40</v>
      </c>
      <c r="J167" s="10" t="s">
        <v>150</v>
      </c>
      <c r="K167" s="30">
        <v>4.05</v>
      </c>
    </row>
    <row r="168" spans="2:11" s="4" customFormat="1" ht="15.95" hidden="1" customHeight="1" x14ac:dyDescent="0.25">
      <c r="C168" s="7" t="s">
        <v>158</v>
      </c>
      <c r="D168" s="7"/>
      <c r="E168" s="8">
        <f t="shared" si="11"/>
        <v>190.48</v>
      </c>
      <c r="F168" s="8"/>
      <c r="G168" s="8"/>
      <c r="H168" s="8"/>
      <c r="I168" s="8">
        <v>1</v>
      </c>
      <c r="J168" s="10" t="s">
        <v>166</v>
      </c>
      <c r="K168" s="30">
        <v>190.48</v>
      </c>
    </row>
    <row r="169" spans="2:11" s="4" customFormat="1" ht="15.95" customHeight="1" x14ac:dyDescent="0.25">
      <c r="C169" s="26" t="s">
        <v>206</v>
      </c>
      <c r="D169" s="27">
        <f>SUM(E170:E211)</f>
        <v>661</v>
      </c>
      <c r="E169" s="51"/>
      <c r="F169" s="27"/>
      <c r="G169" s="27"/>
      <c r="H169" s="27"/>
      <c r="I169" s="27"/>
      <c r="J169" s="28"/>
      <c r="K169" s="47"/>
    </row>
    <row r="170" spans="2:11" s="4" customFormat="1" ht="15.95" hidden="1" customHeight="1" x14ac:dyDescent="0.25">
      <c r="C170" s="7" t="s">
        <v>15</v>
      </c>
      <c r="D170" s="7"/>
      <c r="E170" s="8">
        <f t="shared" ref="E170:E211" si="12">I170*K170</f>
        <v>75</v>
      </c>
      <c r="F170" s="12"/>
      <c r="G170" s="12"/>
      <c r="H170" s="12"/>
      <c r="I170" s="8">
        <v>5</v>
      </c>
      <c r="J170" s="10" t="s">
        <v>166</v>
      </c>
      <c r="K170" s="30">
        <v>15</v>
      </c>
    </row>
    <row r="171" spans="2:11" s="4" customFormat="1" ht="15.95" hidden="1" customHeight="1" x14ac:dyDescent="0.25">
      <c r="C171" s="7" t="s">
        <v>14</v>
      </c>
      <c r="D171" s="7"/>
      <c r="E171" s="8">
        <f t="shared" si="12"/>
        <v>288</v>
      </c>
      <c r="F171" s="12"/>
      <c r="G171" s="12"/>
      <c r="H171" s="12"/>
      <c r="I171" s="8">
        <v>24</v>
      </c>
      <c r="J171" s="10" t="s">
        <v>166</v>
      </c>
      <c r="K171" s="30">
        <v>12</v>
      </c>
    </row>
    <row r="172" spans="2:11" s="4" customFormat="1" ht="15.95" hidden="1" customHeight="1" x14ac:dyDescent="0.25">
      <c r="C172" s="7" t="s">
        <v>13</v>
      </c>
      <c r="D172" s="7"/>
      <c r="E172" s="8">
        <f t="shared" si="12"/>
        <v>80</v>
      </c>
      <c r="F172" s="12"/>
      <c r="G172" s="12"/>
      <c r="H172" s="12"/>
      <c r="I172" s="8">
        <v>4</v>
      </c>
      <c r="J172" s="10" t="s">
        <v>166</v>
      </c>
      <c r="K172" s="30">
        <v>20</v>
      </c>
    </row>
    <row r="173" spans="2:11" s="4" customFormat="1" ht="15.95" hidden="1" customHeight="1" x14ac:dyDescent="0.25">
      <c r="C173" s="7" t="s">
        <v>12</v>
      </c>
      <c r="D173" s="7"/>
      <c r="E173" s="8">
        <f t="shared" si="12"/>
        <v>0</v>
      </c>
      <c r="F173" s="12"/>
      <c r="G173" s="12"/>
      <c r="H173" s="12"/>
      <c r="I173" s="8">
        <v>0</v>
      </c>
      <c r="J173" s="10" t="s">
        <v>166</v>
      </c>
      <c r="K173" s="30">
        <v>15</v>
      </c>
    </row>
    <row r="174" spans="2:11" s="4" customFormat="1" ht="15.95" hidden="1" customHeight="1" x14ac:dyDescent="0.25">
      <c r="C174" s="7" t="s">
        <v>81</v>
      </c>
      <c r="D174" s="7"/>
      <c r="E174" s="8">
        <f t="shared" si="12"/>
        <v>50</v>
      </c>
      <c r="F174" s="12"/>
      <c r="G174" s="12"/>
      <c r="H174" s="12"/>
      <c r="I174" s="8">
        <v>2</v>
      </c>
      <c r="J174" s="10" t="s">
        <v>166</v>
      </c>
      <c r="K174" s="30">
        <v>25</v>
      </c>
    </row>
    <row r="175" spans="2:11" s="4" customFormat="1" ht="15.95" hidden="1" customHeight="1" x14ac:dyDescent="0.25">
      <c r="C175" s="7" t="s">
        <v>179</v>
      </c>
      <c r="D175" s="7"/>
      <c r="E175" s="8">
        <f t="shared" si="12"/>
        <v>0</v>
      </c>
      <c r="F175" s="12">
        <v>2.4</v>
      </c>
      <c r="G175" s="12">
        <v>0.7</v>
      </c>
      <c r="H175" s="12">
        <v>1</v>
      </c>
      <c r="I175" s="8">
        <v>0</v>
      </c>
      <c r="J175" s="10" t="s">
        <v>166</v>
      </c>
      <c r="K175" s="30">
        <v>385</v>
      </c>
    </row>
    <row r="176" spans="2:11" s="4" customFormat="1" ht="15.95" hidden="1" customHeight="1" x14ac:dyDescent="0.25">
      <c r="C176" s="7" t="s">
        <v>80</v>
      </c>
      <c r="D176" s="7"/>
      <c r="E176" s="8">
        <f t="shared" si="12"/>
        <v>0</v>
      </c>
      <c r="F176" s="12">
        <v>2</v>
      </c>
      <c r="G176" s="12">
        <v>0.4</v>
      </c>
      <c r="H176" s="12">
        <v>0.75</v>
      </c>
      <c r="I176" s="8">
        <v>0</v>
      </c>
      <c r="J176" s="10" t="s">
        <v>166</v>
      </c>
      <c r="K176" s="30">
        <v>130</v>
      </c>
    </row>
    <row r="177" spans="3:11" s="4" customFormat="1" ht="15.95" hidden="1" customHeight="1" x14ac:dyDescent="0.25">
      <c r="C177" s="7" t="s">
        <v>79</v>
      </c>
      <c r="D177" s="7"/>
      <c r="E177" s="8">
        <f t="shared" si="12"/>
        <v>0</v>
      </c>
      <c r="F177" s="12">
        <v>1.5</v>
      </c>
      <c r="G177" s="12">
        <v>0.4</v>
      </c>
      <c r="H177" s="12">
        <v>0.75</v>
      </c>
      <c r="I177" s="8">
        <v>0</v>
      </c>
      <c r="J177" s="10" t="s">
        <v>166</v>
      </c>
      <c r="K177" s="30">
        <v>230</v>
      </c>
    </row>
    <row r="178" spans="3:11" s="4" customFormat="1" ht="15.95" hidden="1" customHeight="1" x14ac:dyDescent="0.25">
      <c r="C178" s="7" t="s">
        <v>11</v>
      </c>
      <c r="D178" s="7"/>
      <c r="E178" s="8">
        <f t="shared" si="12"/>
        <v>0</v>
      </c>
      <c r="F178" s="12"/>
      <c r="G178" s="12"/>
      <c r="H178" s="12"/>
      <c r="I178" s="8">
        <v>0</v>
      </c>
      <c r="J178" s="10" t="s">
        <v>166</v>
      </c>
      <c r="K178" s="30">
        <v>65</v>
      </c>
    </row>
    <row r="179" spans="3:11" s="4" customFormat="1" ht="15.95" hidden="1" customHeight="1" x14ac:dyDescent="0.25">
      <c r="C179" s="7" t="s">
        <v>10</v>
      </c>
      <c r="D179" s="7"/>
      <c r="E179" s="8">
        <f t="shared" si="12"/>
        <v>0</v>
      </c>
      <c r="F179" s="12"/>
      <c r="G179" s="12"/>
      <c r="H179" s="12"/>
      <c r="I179" s="8">
        <v>0</v>
      </c>
      <c r="J179" s="10" t="s">
        <v>166</v>
      </c>
      <c r="K179" s="30">
        <v>85</v>
      </c>
    </row>
    <row r="180" spans="3:11" s="4" customFormat="1" ht="15.95" hidden="1" customHeight="1" x14ac:dyDescent="0.25">
      <c r="C180" s="7" t="s">
        <v>9</v>
      </c>
      <c r="D180" s="7"/>
      <c r="E180" s="8">
        <f t="shared" si="12"/>
        <v>0</v>
      </c>
      <c r="F180" s="12"/>
      <c r="G180" s="12"/>
      <c r="H180" s="12"/>
      <c r="I180" s="8">
        <v>0</v>
      </c>
      <c r="J180" s="10" t="s">
        <v>166</v>
      </c>
      <c r="K180" s="30">
        <v>120</v>
      </c>
    </row>
    <row r="181" spans="3:11" s="4" customFormat="1" ht="15.95" hidden="1" customHeight="1" x14ac:dyDescent="0.25">
      <c r="C181" s="7" t="s">
        <v>8</v>
      </c>
      <c r="D181" s="7"/>
      <c r="E181" s="8">
        <f t="shared" si="12"/>
        <v>0</v>
      </c>
      <c r="F181" s="12"/>
      <c r="G181" s="12"/>
      <c r="H181" s="12"/>
      <c r="I181" s="8">
        <v>0</v>
      </c>
      <c r="J181" s="10" t="s">
        <v>166</v>
      </c>
      <c r="K181" s="30">
        <v>10</v>
      </c>
    </row>
    <row r="182" spans="3:11" s="4" customFormat="1" ht="15.95" hidden="1" customHeight="1" x14ac:dyDescent="0.25">
      <c r="C182" s="7" t="s">
        <v>7</v>
      </c>
      <c r="D182" s="7"/>
      <c r="E182" s="8">
        <f t="shared" si="12"/>
        <v>40</v>
      </c>
      <c r="F182" s="12"/>
      <c r="G182" s="12"/>
      <c r="H182" s="12"/>
      <c r="I182" s="8">
        <v>5</v>
      </c>
      <c r="J182" s="10" t="s">
        <v>166</v>
      </c>
      <c r="K182" s="30">
        <v>8</v>
      </c>
    </row>
    <row r="183" spans="3:11" s="4" customFormat="1" ht="15.95" hidden="1" customHeight="1" x14ac:dyDescent="0.25">
      <c r="C183" s="7" t="s">
        <v>6</v>
      </c>
      <c r="D183" s="7"/>
      <c r="E183" s="8">
        <f t="shared" si="12"/>
        <v>15</v>
      </c>
      <c r="F183" s="12"/>
      <c r="G183" s="12"/>
      <c r="H183" s="12"/>
      <c r="I183" s="8">
        <v>1</v>
      </c>
      <c r="J183" s="10" t="s">
        <v>166</v>
      </c>
      <c r="K183" s="30">
        <v>15</v>
      </c>
    </row>
    <row r="184" spans="3:11" s="4" customFormat="1" ht="15.95" hidden="1" customHeight="1" x14ac:dyDescent="0.25">
      <c r="C184" s="7" t="s">
        <v>190</v>
      </c>
      <c r="D184" s="7"/>
      <c r="E184" s="8">
        <f t="shared" si="12"/>
        <v>70</v>
      </c>
      <c r="F184" s="12"/>
      <c r="G184" s="12"/>
      <c r="H184" s="12"/>
      <c r="I184" s="8">
        <v>2</v>
      </c>
      <c r="J184" s="10" t="s">
        <v>166</v>
      </c>
      <c r="K184" s="30">
        <v>35</v>
      </c>
    </row>
    <row r="185" spans="3:11" s="4" customFormat="1" ht="15.95" hidden="1" customHeight="1" x14ac:dyDescent="0.25">
      <c r="C185" s="7" t="s">
        <v>61</v>
      </c>
      <c r="D185" s="7"/>
      <c r="E185" s="8">
        <f t="shared" si="12"/>
        <v>0</v>
      </c>
      <c r="F185" s="12"/>
      <c r="G185" s="12"/>
      <c r="H185" s="12"/>
      <c r="I185" s="8">
        <v>0</v>
      </c>
      <c r="J185" s="10" t="s">
        <v>166</v>
      </c>
      <c r="K185" s="30">
        <v>85</v>
      </c>
    </row>
    <row r="186" spans="3:11" s="4" customFormat="1" ht="15.95" hidden="1" customHeight="1" x14ac:dyDescent="0.25">
      <c r="C186" s="7" t="s">
        <v>58</v>
      </c>
      <c r="D186" s="7"/>
      <c r="E186" s="8">
        <f t="shared" si="12"/>
        <v>35</v>
      </c>
      <c r="F186" s="12"/>
      <c r="G186" s="12"/>
      <c r="H186" s="12"/>
      <c r="I186" s="8">
        <v>1</v>
      </c>
      <c r="J186" s="10" t="s">
        <v>166</v>
      </c>
      <c r="K186" s="30">
        <v>35</v>
      </c>
    </row>
    <row r="187" spans="3:11" s="4" customFormat="1" ht="15.95" hidden="1" customHeight="1" x14ac:dyDescent="0.25">
      <c r="C187" s="7" t="s">
        <v>60</v>
      </c>
      <c r="D187" s="7"/>
      <c r="E187" s="8">
        <f t="shared" si="12"/>
        <v>0</v>
      </c>
      <c r="F187" s="12"/>
      <c r="G187" s="12"/>
      <c r="H187" s="12"/>
      <c r="I187" s="8">
        <v>0</v>
      </c>
      <c r="J187" s="10" t="s">
        <v>166</v>
      </c>
      <c r="K187" s="30">
        <v>25</v>
      </c>
    </row>
    <row r="188" spans="3:11" s="4" customFormat="1" ht="15.95" hidden="1" customHeight="1" x14ac:dyDescent="0.25">
      <c r="C188" s="7" t="s">
        <v>135</v>
      </c>
      <c r="D188" s="7"/>
      <c r="E188" s="8">
        <f t="shared" si="12"/>
        <v>0</v>
      </c>
      <c r="F188" s="12"/>
      <c r="G188" s="12"/>
      <c r="H188" s="12"/>
      <c r="I188" s="8">
        <v>0</v>
      </c>
      <c r="J188" s="10" t="s">
        <v>166</v>
      </c>
      <c r="K188" s="30">
        <v>35</v>
      </c>
    </row>
    <row r="189" spans="3:11" s="4" customFormat="1" ht="15.95" hidden="1" customHeight="1" x14ac:dyDescent="0.25">
      <c r="C189" s="7" t="s">
        <v>47</v>
      </c>
      <c r="D189" s="7"/>
      <c r="E189" s="8">
        <f t="shared" si="12"/>
        <v>0</v>
      </c>
      <c r="F189" s="12"/>
      <c r="G189" s="12"/>
      <c r="H189" s="12"/>
      <c r="I189" s="8">
        <v>0</v>
      </c>
      <c r="J189" s="10" t="s">
        <v>166</v>
      </c>
      <c r="K189" s="30">
        <v>12</v>
      </c>
    </row>
    <row r="190" spans="3:11" s="4" customFormat="1" ht="15.95" hidden="1" customHeight="1" x14ac:dyDescent="0.25">
      <c r="C190" s="7" t="s">
        <v>48</v>
      </c>
      <c r="D190" s="7"/>
      <c r="E190" s="8">
        <f t="shared" si="12"/>
        <v>0</v>
      </c>
      <c r="F190" s="12"/>
      <c r="G190" s="12"/>
      <c r="H190" s="12"/>
      <c r="I190" s="8">
        <v>0</v>
      </c>
      <c r="J190" s="10" t="s">
        <v>166</v>
      </c>
      <c r="K190" s="30">
        <v>25</v>
      </c>
    </row>
    <row r="191" spans="3:11" s="4" customFormat="1" ht="15.95" hidden="1" customHeight="1" x14ac:dyDescent="0.25">
      <c r="C191" s="7" t="s">
        <v>54</v>
      </c>
      <c r="D191" s="7"/>
      <c r="E191" s="8">
        <f t="shared" si="12"/>
        <v>0</v>
      </c>
      <c r="F191" s="12"/>
      <c r="G191" s="12"/>
      <c r="H191" s="12"/>
      <c r="I191" s="8">
        <v>0</v>
      </c>
      <c r="J191" s="10" t="s">
        <v>166</v>
      </c>
      <c r="K191" s="30">
        <v>150</v>
      </c>
    </row>
    <row r="192" spans="3:11" s="4" customFormat="1" ht="15.95" hidden="1" customHeight="1" x14ac:dyDescent="0.25">
      <c r="C192" s="7" t="s">
        <v>207</v>
      </c>
      <c r="D192" s="7"/>
      <c r="E192" s="8">
        <f t="shared" si="12"/>
        <v>0</v>
      </c>
      <c r="F192" s="8"/>
      <c r="G192" s="8"/>
      <c r="H192" s="8"/>
      <c r="I192" s="8">
        <v>0</v>
      </c>
      <c r="J192" s="10" t="s">
        <v>166</v>
      </c>
      <c r="K192" s="30">
        <v>15</v>
      </c>
    </row>
    <row r="193" spans="2:11" s="4" customFormat="1" ht="15.95" hidden="1" customHeight="1" x14ac:dyDescent="0.25">
      <c r="C193" s="7" t="s">
        <v>159</v>
      </c>
      <c r="D193" s="7"/>
      <c r="E193" s="8">
        <f t="shared" si="12"/>
        <v>0</v>
      </c>
      <c r="F193" s="12"/>
      <c r="G193" s="12"/>
      <c r="H193" s="12"/>
      <c r="I193" s="8">
        <v>0</v>
      </c>
      <c r="J193" s="10" t="s">
        <v>166</v>
      </c>
      <c r="K193" s="30">
        <v>15</v>
      </c>
    </row>
    <row r="194" spans="2:11" s="4" customFormat="1" ht="15.95" hidden="1" customHeight="1" x14ac:dyDescent="0.25">
      <c r="C194" s="7" t="s">
        <v>208</v>
      </c>
      <c r="D194" s="7"/>
      <c r="E194" s="8">
        <f t="shared" si="12"/>
        <v>0</v>
      </c>
      <c r="F194" s="12"/>
      <c r="G194" s="12"/>
      <c r="H194" s="12"/>
      <c r="I194" s="8">
        <v>0</v>
      </c>
      <c r="J194" s="10" t="s">
        <v>166</v>
      </c>
      <c r="K194" s="30">
        <v>600</v>
      </c>
    </row>
    <row r="195" spans="2:11" s="4" customFormat="1" ht="15.95" hidden="1" customHeight="1" x14ac:dyDescent="0.25">
      <c r="C195" s="7" t="s">
        <v>209</v>
      </c>
      <c r="D195" s="7"/>
      <c r="E195" s="8">
        <f t="shared" si="12"/>
        <v>0</v>
      </c>
      <c r="F195" s="8"/>
      <c r="G195" s="8"/>
      <c r="H195" s="8"/>
      <c r="I195" s="8">
        <v>0</v>
      </c>
      <c r="J195" s="10" t="s">
        <v>166</v>
      </c>
      <c r="K195" s="30">
        <v>85</v>
      </c>
    </row>
    <row r="196" spans="2:11" s="4" customFormat="1" ht="15.95" hidden="1" customHeight="1" x14ac:dyDescent="0.25">
      <c r="C196" s="7" t="s">
        <v>257</v>
      </c>
      <c r="D196" s="7"/>
      <c r="E196" s="8">
        <f t="shared" si="12"/>
        <v>0</v>
      </c>
      <c r="F196" s="8"/>
      <c r="G196" s="8"/>
      <c r="H196" s="8"/>
      <c r="I196" s="8">
        <v>0</v>
      </c>
      <c r="J196" s="10" t="s">
        <v>166</v>
      </c>
      <c r="K196" s="30">
        <v>210</v>
      </c>
    </row>
    <row r="197" spans="2:11" s="4" customFormat="1" ht="15.95" hidden="1" customHeight="1" x14ac:dyDescent="0.25">
      <c r="C197" s="7" t="s">
        <v>87</v>
      </c>
      <c r="D197" s="7"/>
      <c r="E197" s="8">
        <f t="shared" si="12"/>
        <v>8</v>
      </c>
      <c r="F197" s="8"/>
      <c r="G197" s="8"/>
      <c r="H197" s="8"/>
      <c r="I197" s="8">
        <v>1</v>
      </c>
      <c r="J197" s="10" t="s">
        <v>166</v>
      </c>
      <c r="K197" s="30">
        <v>8</v>
      </c>
    </row>
    <row r="198" spans="2:11" s="4" customFormat="1" ht="15.95" hidden="1" customHeight="1" x14ac:dyDescent="0.25">
      <c r="C198" s="7" t="s">
        <v>73</v>
      </c>
      <c r="D198" s="7"/>
      <c r="E198" s="8">
        <f t="shared" si="12"/>
        <v>0</v>
      </c>
      <c r="F198" s="8"/>
      <c r="G198" s="8"/>
      <c r="H198" s="8"/>
      <c r="I198" s="8">
        <v>0</v>
      </c>
      <c r="J198" s="10" t="s">
        <v>166</v>
      </c>
      <c r="K198" s="30">
        <v>15</v>
      </c>
    </row>
    <row r="199" spans="2:11" s="4" customFormat="1" ht="15.95" hidden="1" customHeight="1" x14ac:dyDescent="0.25">
      <c r="C199" s="7" t="s">
        <v>84</v>
      </c>
      <c r="D199" s="7"/>
      <c r="E199" s="8">
        <f t="shared" si="12"/>
        <v>0</v>
      </c>
      <c r="F199" s="8"/>
      <c r="G199" s="8"/>
      <c r="H199" s="8"/>
      <c r="I199" s="8">
        <v>0</v>
      </c>
      <c r="J199" s="10" t="s">
        <v>166</v>
      </c>
      <c r="K199" s="30">
        <v>15</v>
      </c>
    </row>
    <row r="200" spans="2:11" s="4" customFormat="1" ht="15.95" hidden="1" customHeight="1" x14ac:dyDescent="0.25">
      <c r="B200" s="29" t="s">
        <v>249</v>
      </c>
      <c r="C200" s="7" t="s">
        <v>85</v>
      </c>
      <c r="D200" s="7"/>
      <c r="E200" s="8">
        <f t="shared" si="12"/>
        <v>0</v>
      </c>
      <c r="F200" s="8"/>
      <c r="G200" s="8"/>
      <c r="H200" s="8"/>
      <c r="I200" s="8">
        <v>0</v>
      </c>
      <c r="J200" s="10" t="s">
        <v>166</v>
      </c>
      <c r="K200" s="30">
        <v>25</v>
      </c>
    </row>
    <row r="201" spans="2:11" s="4" customFormat="1" ht="15.95" hidden="1" customHeight="1" x14ac:dyDescent="0.25">
      <c r="C201" s="7" t="s">
        <v>88</v>
      </c>
      <c r="D201" s="7"/>
      <c r="E201" s="8">
        <f t="shared" si="12"/>
        <v>0</v>
      </c>
      <c r="F201" s="8"/>
      <c r="G201" s="8"/>
      <c r="H201" s="8"/>
      <c r="I201" s="8">
        <v>0</v>
      </c>
      <c r="J201" s="10" t="s">
        <v>166</v>
      </c>
      <c r="K201" s="30">
        <v>85</v>
      </c>
    </row>
    <row r="202" spans="2:11" s="4" customFormat="1" ht="15.95" hidden="1" customHeight="1" x14ac:dyDescent="0.25">
      <c r="C202" s="7" t="s">
        <v>89</v>
      </c>
      <c r="D202" s="7"/>
      <c r="E202" s="8">
        <f t="shared" si="12"/>
        <v>0</v>
      </c>
      <c r="F202" s="8"/>
      <c r="G202" s="8"/>
      <c r="H202" s="8"/>
      <c r="I202" s="8">
        <v>0</v>
      </c>
      <c r="J202" s="10" t="s">
        <v>166</v>
      </c>
      <c r="K202" s="30">
        <v>15</v>
      </c>
    </row>
    <row r="203" spans="2:11" s="4" customFormat="1" ht="15.95" hidden="1" customHeight="1" x14ac:dyDescent="0.25">
      <c r="C203" s="7" t="s">
        <v>90</v>
      </c>
      <c r="D203" s="7"/>
      <c r="E203" s="8">
        <f t="shared" si="12"/>
        <v>0</v>
      </c>
      <c r="F203" s="8"/>
      <c r="G203" s="8"/>
      <c r="H203" s="8"/>
      <c r="I203" s="8">
        <v>0</v>
      </c>
      <c r="J203" s="10" t="s">
        <v>166</v>
      </c>
      <c r="K203" s="30">
        <v>5</v>
      </c>
    </row>
    <row r="204" spans="2:11" s="4" customFormat="1" ht="15.95" hidden="1" customHeight="1" x14ac:dyDescent="0.25">
      <c r="C204" s="7" t="s">
        <v>92</v>
      </c>
      <c r="D204" s="7"/>
      <c r="E204" s="8">
        <f t="shared" si="12"/>
        <v>0</v>
      </c>
      <c r="F204" s="8"/>
      <c r="G204" s="8"/>
      <c r="H204" s="8"/>
      <c r="I204" s="8">
        <v>0</v>
      </c>
      <c r="J204" s="10" t="s">
        <v>166</v>
      </c>
      <c r="K204" s="30">
        <v>12</v>
      </c>
    </row>
    <row r="205" spans="2:11" s="4" customFormat="1" ht="15.95" hidden="1" customHeight="1" x14ac:dyDescent="0.25">
      <c r="C205" s="7" t="s">
        <v>93</v>
      </c>
      <c r="D205" s="7"/>
      <c r="E205" s="8">
        <f t="shared" si="12"/>
        <v>0</v>
      </c>
      <c r="F205" s="8"/>
      <c r="G205" s="8"/>
      <c r="H205" s="8"/>
      <c r="I205" s="8">
        <v>0</v>
      </c>
      <c r="J205" s="10" t="s">
        <v>166</v>
      </c>
      <c r="K205" s="30">
        <v>25</v>
      </c>
    </row>
    <row r="206" spans="2:11" s="4" customFormat="1" ht="15.95" hidden="1" customHeight="1" x14ac:dyDescent="0.25">
      <c r="C206" s="7" t="s">
        <v>94</v>
      </c>
      <c r="D206" s="7"/>
      <c r="E206" s="8">
        <f t="shared" si="12"/>
        <v>0</v>
      </c>
      <c r="F206" s="8"/>
      <c r="G206" s="8"/>
      <c r="H206" s="8"/>
      <c r="I206" s="8">
        <v>0</v>
      </c>
      <c r="J206" s="10" t="s">
        <v>166</v>
      </c>
      <c r="K206" s="30">
        <v>20</v>
      </c>
    </row>
    <row r="207" spans="2:11" s="4" customFormat="1" ht="15.95" hidden="1" customHeight="1" x14ac:dyDescent="0.25">
      <c r="C207" s="7" t="s">
        <v>121</v>
      </c>
      <c r="D207" s="7"/>
      <c r="E207" s="8">
        <f t="shared" si="12"/>
        <v>0</v>
      </c>
      <c r="F207" s="8"/>
      <c r="G207" s="8"/>
      <c r="H207" s="8"/>
      <c r="I207" s="8">
        <v>0</v>
      </c>
      <c r="J207" s="10" t="s">
        <v>166</v>
      </c>
      <c r="K207" s="30">
        <v>6</v>
      </c>
    </row>
    <row r="208" spans="2:11" s="4" customFormat="1" ht="15.95" hidden="1" customHeight="1" x14ac:dyDescent="0.25">
      <c r="C208" s="7" t="s">
        <v>123</v>
      </c>
      <c r="D208" s="7"/>
      <c r="E208" s="8">
        <f t="shared" si="12"/>
        <v>0</v>
      </c>
      <c r="F208" s="8"/>
      <c r="G208" s="8"/>
      <c r="H208" s="8"/>
      <c r="I208" s="8">
        <v>0</v>
      </c>
      <c r="J208" s="10" t="s">
        <v>166</v>
      </c>
      <c r="K208" s="30">
        <v>3</v>
      </c>
    </row>
    <row r="209" spans="3:11" s="4" customFormat="1" ht="15.95" hidden="1" customHeight="1" x14ac:dyDescent="0.25">
      <c r="C209" s="7" t="s">
        <v>124</v>
      </c>
      <c r="D209" s="7"/>
      <c r="E209" s="8">
        <f t="shared" si="12"/>
        <v>0</v>
      </c>
      <c r="F209" s="8"/>
      <c r="G209" s="8"/>
      <c r="H209" s="8"/>
      <c r="I209" s="8">
        <v>0</v>
      </c>
      <c r="J209" s="10" t="s">
        <v>166</v>
      </c>
      <c r="K209" s="30">
        <v>35</v>
      </c>
    </row>
    <row r="210" spans="3:11" s="4" customFormat="1" ht="15.95" hidden="1" customHeight="1" x14ac:dyDescent="0.25">
      <c r="C210" s="7" t="s">
        <v>247</v>
      </c>
      <c r="D210" s="7"/>
      <c r="E210" s="8">
        <f t="shared" si="12"/>
        <v>0</v>
      </c>
      <c r="F210" s="8">
        <v>0.5</v>
      </c>
      <c r="G210" s="8">
        <v>0.5</v>
      </c>
      <c r="H210" s="8">
        <v>0.5</v>
      </c>
      <c r="I210" s="8">
        <v>0</v>
      </c>
      <c r="J210" s="10" t="s">
        <v>166</v>
      </c>
      <c r="K210" s="30">
        <v>20</v>
      </c>
    </row>
    <row r="211" spans="3:11" s="4" customFormat="1" ht="15.95" hidden="1" customHeight="1" x14ac:dyDescent="0.25">
      <c r="C211" s="7" t="s">
        <v>246</v>
      </c>
      <c r="D211" s="7"/>
      <c r="E211" s="8">
        <f t="shared" si="12"/>
        <v>0</v>
      </c>
      <c r="F211" s="8"/>
      <c r="G211" s="8"/>
      <c r="H211" s="8"/>
      <c r="I211" s="8">
        <v>0</v>
      </c>
      <c r="J211" s="10" t="s">
        <v>166</v>
      </c>
      <c r="K211" s="30">
        <v>85</v>
      </c>
    </row>
    <row r="212" spans="3:11" s="4" customFormat="1" ht="15.95" customHeight="1" x14ac:dyDescent="0.25">
      <c r="C212" s="26" t="s">
        <v>183</v>
      </c>
      <c r="D212" s="27">
        <f>SUM(E213:E223)</f>
        <v>2772.09</v>
      </c>
      <c r="E212" s="51"/>
      <c r="F212" s="27"/>
      <c r="G212" s="27"/>
      <c r="H212" s="27"/>
      <c r="I212" s="27"/>
      <c r="J212" s="28"/>
      <c r="K212" s="47"/>
    </row>
    <row r="213" spans="3:11" s="4" customFormat="1" ht="15.95" hidden="1" customHeight="1" x14ac:dyDescent="0.25">
      <c r="C213" s="7" t="s">
        <v>244</v>
      </c>
      <c r="D213" s="7"/>
      <c r="E213" s="8">
        <f t="shared" ref="E213:E223" si="13">I213*K213</f>
        <v>0</v>
      </c>
      <c r="F213" s="8">
        <v>1</v>
      </c>
      <c r="G213" s="8">
        <v>1</v>
      </c>
      <c r="H213" s="12"/>
      <c r="I213" s="8">
        <v>0</v>
      </c>
      <c r="J213" s="10" t="s">
        <v>111</v>
      </c>
      <c r="K213" s="30">
        <v>10.71</v>
      </c>
    </row>
    <row r="214" spans="3:11" s="4" customFormat="1" ht="15.95" hidden="1" customHeight="1" x14ac:dyDescent="0.25">
      <c r="C214" s="7" t="s">
        <v>243</v>
      </c>
      <c r="D214" s="7"/>
      <c r="E214" s="8">
        <f t="shared" si="13"/>
        <v>2322</v>
      </c>
      <c r="F214" s="8">
        <v>1</v>
      </c>
      <c r="G214" s="8">
        <v>1</v>
      </c>
      <c r="H214" s="12"/>
      <c r="I214" s="8">
        <v>150</v>
      </c>
      <c r="J214" s="10" t="s">
        <v>111</v>
      </c>
      <c r="K214" s="30">
        <v>15.48</v>
      </c>
    </row>
    <row r="215" spans="3:11" s="4" customFormat="1" ht="15.95" hidden="1" customHeight="1" x14ac:dyDescent="0.25">
      <c r="C215" s="7" t="s">
        <v>5</v>
      </c>
      <c r="D215" s="7"/>
      <c r="E215" s="8">
        <f t="shared" si="13"/>
        <v>0</v>
      </c>
      <c r="F215" s="8">
        <v>1</v>
      </c>
      <c r="G215" s="8">
        <v>1</v>
      </c>
      <c r="H215" s="12"/>
      <c r="I215" s="8">
        <v>0</v>
      </c>
      <c r="J215" s="10" t="s">
        <v>111</v>
      </c>
      <c r="K215" s="30">
        <v>15.48</v>
      </c>
    </row>
    <row r="216" spans="3:11" s="4" customFormat="1" ht="15.95" hidden="1" customHeight="1" x14ac:dyDescent="0.25">
      <c r="C216" s="7" t="s">
        <v>191</v>
      </c>
      <c r="D216" s="7"/>
      <c r="E216" s="8">
        <f t="shared" si="13"/>
        <v>52.4</v>
      </c>
      <c r="F216" s="8">
        <v>1</v>
      </c>
      <c r="G216" s="8">
        <v>1</v>
      </c>
      <c r="H216" s="12"/>
      <c r="I216" s="8">
        <v>4</v>
      </c>
      <c r="J216" s="10" t="s">
        <v>111</v>
      </c>
      <c r="K216" s="30">
        <v>13.1</v>
      </c>
    </row>
    <row r="217" spans="3:11" s="4" customFormat="1" ht="15.95" hidden="1" customHeight="1" x14ac:dyDescent="0.25">
      <c r="C217" s="7" t="s">
        <v>258</v>
      </c>
      <c r="D217" s="7"/>
      <c r="E217" s="8">
        <f t="shared" si="13"/>
        <v>142.85999999999999</v>
      </c>
      <c r="F217" s="8">
        <v>1</v>
      </c>
      <c r="G217" s="8">
        <v>1</v>
      </c>
      <c r="H217" s="12"/>
      <c r="I217" s="8">
        <v>1.5</v>
      </c>
      <c r="J217" s="10" t="s">
        <v>111</v>
      </c>
      <c r="K217" s="30">
        <v>95.24</v>
      </c>
    </row>
    <row r="218" spans="3:11" s="4" customFormat="1" ht="15.95" hidden="1" customHeight="1" x14ac:dyDescent="0.25">
      <c r="C218" s="7" t="s">
        <v>259</v>
      </c>
      <c r="D218" s="7"/>
      <c r="E218" s="8">
        <f t="shared" si="13"/>
        <v>71.429999999999993</v>
      </c>
      <c r="F218" s="8">
        <v>1</v>
      </c>
      <c r="G218" s="8">
        <v>1</v>
      </c>
      <c r="H218" s="12"/>
      <c r="I218" s="8">
        <v>1.5</v>
      </c>
      <c r="J218" s="10" t="s">
        <v>111</v>
      </c>
      <c r="K218" s="30">
        <v>47.62</v>
      </c>
    </row>
    <row r="219" spans="3:11" s="4" customFormat="1" ht="15.95" hidden="1" customHeight="1" x14ac:dyDescent="0.25">
      <c r="C219" s="7" t="s">
        <v>71</v>
      </c>
      <c r="D219" s="7"/>
      <c r="E219" s="8">
        <f t="shared" si="13"/>
        <v>0</v>
      </c>
      <c r="F219" s="8">
        <v>1</v>
      </c>
      <c r="G219" s="8">
        <v>1</v>
      </c>
      <c r="H219" s="12"/>
      <c r="I219" s="8">
        <v>0</v>
      </c>
      <c r="J219" s="10" t="s">
        <v>111</v>
      </c>
      <c r="K219" s="30">
        <v>35.71</v>
      </c>
    </row>
    <row r="220" spans="3:11" s="4" customFormat="1" ht="15.95" hidden="1" customHeight="1" x14ac:dyDescent="0.25">
      <c r="C220" s="7" t="s">
        <v>122</v>
      </c>
      <c r="D220" s="7"/>
      <c r="E220" s="8">
        <f t="shared" si="13"/>
        <v>0</v>
      </c>
      <c r="F220" s="8">
        <v>1</v>
      </c>
      <c r="G220" s="8">
        <v>1</v>
      </c>
      <c r="H220" s="12"/>
      <c r="I220" s="8">
        <v>0</v>
      </c>
      <c r="J220" s="10" t="s">
        <v>111</v>
      </c>
      <c r="K220" s="30">
        <v>28.57</v>
      </c>
    </row>
    <row r="221" spans="3:11" s="4" customFormat="1" ht="15.95" hidden="1" customHeight="1" x14ac:dyDescent="0.25">
      <c r="C221" s="7" t="s">
        <v>52</v>
      </c>
      <c r="D221" s="7"/>
      <c r="E221" s="8">
        <f t="shared" si="13"/>
        <v>183.4</v>
      </c>
      <c r="F221" s="8">
        <v>1</v>
      </c>
      <c r="G221" s="8">
        <v>1</v>
      </c>
      <c r="H221" s="12"/>
      <c r="I221" s="8">
        <v>14</v>
      </c>
      <c r="J221" s="10" t="s">
        <v>111</v>
      </c>
      <c r="K221" s="30">
        <v>13.1</v>
      </c>
    </row>
    <row r="222" spans="3:11" s="4" customFormat="1" ht="15.95" hidden="1" customHeight="1" x14ac:dyDescent="0.25">
      <c r="C222" s="7" t="s">
        <v>245</v>
      </c>
      <c r="D222" s="7"/>
      <c r="E222" s="8">
        <f t="shared" si="13"/>
        <v>0</v>
      </c>
      <c r="F222" s="8">
        <v>1</v>
      </c>
      <c r="G222" s="8">
        <v>1</v>
      </c>
      <c r="H222" s="12"/>
      <c r="I222" s="8">
        <v>0</v>
      </c>
      <c r="J222" s="10" t="s">
        <v>111</v>
      </c>
      <c r="K222" s="30">
        <v>11.9</v>
      </c>
    </row>
    <row r="223" spans="3:11" s="4" customFormat="1" ht="15.95" hidden="1" customHeight="1" x14ac:dyDescent="0.25">
      <c r="C223" s="7" t="s">
        <v>4</v>
      </c>
      <c r="D223" s="7"/>
      <c r="E223" s="8">
        <f t="shared" si="13"/>
        <v>0</v>
      </c>
      <c r="F223" s="8">
        <v>1</v>
      </c>
      <c r="G223" s="8">
        <v>1</v>
      </c>
      <c r="H223" s="12"/>
      <c r="I223" s="8">
        <v>0</v>
      </c>
      <c r="J223" s="10" t="s">
        <v>111</v>
      </c>
      <c r="K223" s="30">
        <v>10.71</v>
      </c>
    </row>
    <row r="224" spans="3:11" s="4" customFormat="1" ht="15.95" customHeight="1" x14ac:dyDescent="0.25">
      <c r="C224" s="26" t="s">
        <v>182</v>
      </c>
      <c r="D224" s="27">
        <f>SUM(E225:E263)</f>
        <v>2800</v>
      </c>
      <c r="E224" s="51"/>
      <c r="F224" s="27"/>
      <c r="G224" s="27"/>
      <c r="H224" s="27"/>
      <c r="I224" s="27"/>
      <c r="J224" s="28"/>
      <c r="K224" s="47"/>
    </row>
    <row r="225" spans="3:11" s="4" customFormat="1" ht="15.95" hidden="1" customHeight="1" x14ac:dyDescent="0.25">
      <c r="C225" s="7" t="s">
        <v>21</v>
      </c>
      <c r="D225" s="7"/>
      <c r="E225" s="8">
        <f t="shared" ref="E225:E263" si="14">I225*K225</f>
        <v>0</v>
      </c>
      <c r="F225" s="12">
        <v>1.5</v>
      </c>
      <c r="G225" s="12">
        <v>1</v>
      </c>
      <c r="H225" s="12">
        <v>1</v>
      </c>
      <c r="I225" s="8">
        <v>0</v>
      </c>
      <c r="J225" s="10" t="s">
        <v>166</v>
      </c>
      <c r="K225" s="30">
        <v>320</v>
      </c>
    </row>
    <row r="226" spans="3:11" s="4" customFormat="1" ht="15.95" hidden="1" customHeight="1" x14ac:dyDescent="0.25">
      <c r="C226" s="7" t="s">
        <v>213</v>
      </c>
      <c r="D226" s="7"/>
      <c r="E226" s="8">
        <f t="shared" si="14"/>
        <v>0</v>
      </c>
      <c r="F226" s="8"/>
      <c r="G226" s="8"/>
      <c r="H226" s="8"/>
      <c r="I226" s="8">
        <v>0</v>
      </c>
      <c r="J226" s="10" t="s">
        <v>166</v>
      </c>
      <c r="K226" s="30">
        <v>210</v>
      </c>
    </row>
    <row r="227" spans="3:11" s="4" customFormat="1" ht="15.95" hidden="1" customHeight="1" x14ac:dyDescent="0.25">
      <c r="C227" s="7" t="s">
        <v>214</v>
      </c>
      <c r="D227" s="7"/>
      <c r="E227" s="8">
        <f t="shared" si="14"/>
        <v>0</v>
      </c>
      <c r="F227" s="8"/>
      <c r="G227" s="8"/>
      <c r="H227" s="8"/>
      <c r="I227" s="8">
        <v>0</v>
      </c>
      <c r="J227" s="10" t="s">
        <v>166</v>
      </c>
      <c r="K227" s="30">
        <v>180</v>
      </c>
    </row>
    <row r="228" spans="3:11" s="4" customFormat="1" ht="15.95" hidden="1" customHeight="1" x14ac:dyDescent="0.25">
      <c r="C228" s="7" t="s">
        <v>215</v>
      </c>
      <c r="D228" s="7"/>
      <c r="E228" s="8">
        <f t="shared" si="14"/>
        <v>0</v>
      </c>
      <c r="F228" s="8"/>
      <c r="G228" s="8"/>
      <c r="H228" s="8"/>
      <c r="I228" s="8">
        <v>0</v>
      </c>
      <c r="J228" s="10" t="s">
        <v>166</v>
      </c>
      <c r="K228" s="30">
        <v>180</v>
      </c>
    </row>
    <row r="229" spans="3:11" s="4" customFormat="1" ht="15.95" hidden="1" customHeight="1" x14ac:dyDescent="0.25">
      <c r="C229" s="7" t="s">
        <v>216</v>
      </c>
      <c r="D229" s="7"/>
      <c r="E229" s="8">
        <f t="shared" si="14"/>
        <v>0</v>
      </c>
      <c r="F229" s="8"/>
      <c r="G229" s="8"/>
      <c r="H229" s="8"/>
      <c r="I229" s="8">
        <v>0</v>
      </c>
      <c r="J229" s="10" t="s">
        <v>166</v>
      </c>
      <c r="K229" s="30">
        <v>110</v>
      </c>
    </row>
    <row r="230" spans="3:11" s="4" customFormat="1" ht="15.95" hidden="1" customHeight="1" x14ac:dyDescent="0.25">
      <c r="C230" s="7" t="s">
        <v>217</v>
      </c>
      <c r="D230" s="7"/>
      <c r="E230" s="8">
        <f t="shared" si="14"/>
        <v>0</v>
      </c>
      <c r="F230" s="8"/>
      <c r="G230" s="8"/>
      <c r="H230" s="8"/>
      <c r="I230" s="8">
        <v>0</v>
      </c>
      <c r="J230" s="10" t="s">
        <v>166</v>
      </c>
      <c r="K230" s="30">
        <v>310</v>
      </c>
    </row>
    <row r="231" spans="3:11" s="4" customFormat="1" ht="15.95" hidden="1" customHeight="1" x14ac:dyDescent="0.25">
      <c r="C231" s="7" t="s">
        <v>218</v>
      </c>
      <c r="D231" s="7"/>
      <c r="E231" s="8">
        <f t="shared" si="14"/>
        <v>0</v>
      </c>
      <c r="F231" s="8"/>
      <c r="G231" s="8"/>
      <c r="H231" s="8"/>
      <c r="I231" s="8">
        <v>0</v>
      </c>
      <c r="J231" s="10" t="s">
        <v>166</v>
      </c>
      <c r="K231" s="30">
        <v>160</v>
      </c>
    </row>
    <row r="232" spans="3:11" s="4" customFormat="1" ht="15.95" hidden="1" customHeight="1" x14ac:dyDescent="0.25">
      <c r="C232" s="7" t="s">
        <v>59</v>
      </c>
      <c r="D232" s="7"/>
      <c r="E232" s="8">
        <f t="shared" si="14"/>
        <v>0</v>
      </c>
      <c r="F232" s="12"/>
      <c r="G232" s="12"/>
      <c r="H232" s="12"/>
      <c r="I232" s="8">
        <v>0</v>
      </c>
      <c r="J232" s="10" t="s">
        <v>166</v>
      </c>
      <c r="K232" s="30">
        <v>10</v>
      </c>
    </row>
    <row r="233" spans="3:11" s="4" customFormat="1" ht="15.95" hidden="1" customHeight="1" x14ac:dyDescent="0.25">
      <c r="C233" s="7" t="s">
        <v>222</v>
      </c>
      <c r="D233" s="7"/>
      <c r="E233" s="8">
        <f t="shared" si="14"/>
        <v>0</v>
      </c>
      <c r="F233" s="12"/>
      <c r="G233" s="12"/>
      <c r="H233" s="12"/>
      <c r="I233" s="8">
        <v>0</v>
      </c>
      <c r="J233" s="10" t="s">
        <v>166</v>
      </c>
      <c r="K233" s="30">
        <v>260</v>
      </c>
    </row>
    <row r="234" spans="3:11" s="4" customFormat="1" ht="15.95" hidden="1" customHeight="1" x14ac:dyDescent="0.25">
      <c r="C234" s="7" t="s">
        <v>3</v>
      </c>
      <c r="D234" s="7"/>
      <c r="E234" s="8">
        <f t="shared" si="14"/>
        <v>0</v>
      </c>
      <c r="F234" s="8"/>
      <c r="G234" s="8"/>
      <c r="H234" s="8"/>
      <c r="I234" s="8">
        <v>0</v>
      </c>
      <c r="J234" s="10" t="s">
        <v>166</v>
      </c>
      <c r="K234" s="30">
        <v>180</v>
      </c>
    </row>
    <row r="235" spans="3:11" s="4" customFormat="1" ht="15.95" hidden="1" customHeight="1" x14ac:dyDescent="0.25">
      <c r="C235" s="7" t="s">
        <v>2</v>
      </c>
      <c r="D235" s="7"/>
      <c r="E235" s="8">
        <f t="shared" si="14"/>
        <v>0</v>
      </c>
      <c r="F235" s="8"/>
      <c r="G235" s="8"/>
      <c r="H235" s="8"/>
      <c r="I235" s="8">
        <v>0</v>
      </c>
      <c r="J235" s="10" t="s">
        <v>166</v>
      </c>
      <c r="K235" s="30">
        <v>200</v>
      </c>
    </row>
    <row r="236" spans="3:11" s="4" customFormat="1" ht="15.95" hidden="1" customHeight="1" x14ac:dyDescent="0.25">
      <c r="C236" s="7" t="s">
        <v>1</v>
      </c>
      <c r="D236" s="7"/>
      <c r="E236" s="8">
        <f t="shared" si="14"/>
        <v>0</v>
      </c>
      <c r="F236" s="8"/>
      <c r="G236" s="8"/>
      <c r="H236" s="8"/>
      <c r="I236" s="8">
        <v>0</v>
      </c>
      <c r="J236" s="10" t="s">
        <v>166</v>
      </c>
      <c r="K236" s="30">
        <v>220</v>
      </c>
    </row>
    <row r="237" spans="3:11" s="4" customFormat="1" ht="15.95" hidden="1" customHeight="1" x14ac:dyDescent="0.25">
      <c r="C237" s="7" t="s">
        <v>181</v>
      </c>
      <c r="D237" s="7"/>
      <c r="E237" s="8">
        <f t="shared" si="14"/>
        <v>0</v>
      </c>
      <c r="F237" s="8"/>
      <c r="G237" s="8"/>
      <c r="H237" s="8"/>
      <c r="I237" s="8">
        <v>0</v>
      </c>
      <c r="J237" s="10" t="s">
        <v>166</v>
      </c>
      <c r="K237" s="30">
        <v>220</v>
      </c>
    </row>
    <row r="238" spans="3:11" s="4" customFormat="1" ht="15.95" hidden="1" customHeight="1" x14ac:dyDescent="0.25">
      <c r="C238" s="7" t="s">
        <v>0</v>
      </c>
      <c r="D238" s="7"/>
      <c r="E238" s="8">
        <f t="shared" si="14"/>
        <v>0</v>
      </c>
      <c r="F238" s="8"/>
      <c r="G238" s="8"/>
      <c r="H238" s="8"/>
      <c r="I238" s="8">
        <v>0</v>
      </c>
      <c r="J238" s="10" t="s">
        <v>166</v>
      </c>
      <c r="K238" s="30">
        <v>250</v>
      </c>
    </row>
    <row r="239" spans="3:11" s="4" customFormat="1" ht="15.95" hidden="1" customHeight="1" x14ac:dyDescent="0.25">
      <c r="C239" s="7" t="s">
        <v>210</v>
      </c>
      <c r="D239" s="7"/>
      <c r="E239" s="8">
        <f t="shared" si="14"/>
        <v>0</v>
      </c>
      <c r="F239" s="8"/>
      <c r="G239" s="8"/>
      <c r="H239" s="8"/>
      <c r="I239" s="8">
        <v>0</v>
      </c>
      <c r="J239" s="10" t="s">
        <v>166</v>
      </c>
      <c r="K239" s="30">
        <v>390</v>
      </c>
    </row>
    <row r="240" spans="3:11" s="4" customFormat="1" ht="15.95" hidden="1" customHeight="1" x14ac:dyDescent="0.25">
      <c r="C240" s="7" t="s">
        <v>236</v>
      </c>
      <c r="D240" s="7"/>
      <c r="E240" s="8">
        <f t="shared" si="14"/>
        <v>0</v>
      </c>
      <c r="F240" s="8"/>
      <c r="G240" s="8"/>
      <c r="H240" s="8"/>
      <c r="I240" s="8">
        <v>0</v>
      </c>
      <c r="J240" s="10" t="s">
        <v>166</v>
      </c>
      <c r="K240" s="30">
        <v>460</v>
      </c>
    </row>
    <row r="241" spans="3:11" s="4" customFormat="1" ht="15.95" hidden="1" customHeight="1" x14ac:dyDescent="0.25">
      <c r="C241" s="7" t="s">
        <v>211</v>
      </c>
      <c r="D241" s="7"/>
      <c r="E241" s="8">
        <f t="shared" si="14"/>
        <v>0</v>
      </c>
      <c r="F241" s="8"/>
      <c r="G241" s="8"/>
      <c r="H241" s="8"/>
      <c r="I241" s="8">
        <v>0</v>
      </c>
      <c r="J241" s="10" t="s">
        <v>166</v>
      </c>
      <c r="K241" s="30">
        <v>850</v>
      </c>
    </row>
    <row r="242" spans="3:11" s="4" customFormat="1" ht="15.95" hidden="1" customHeight="1" x14ac:dyDescent="0.25">
      <c r="C242" s="7" t="s">
        <v>187</v>
      </c>
      <c r="D242" s="7"/>
      <c r="E242" s="8">
        <f t="shared" si="14"/>
        <v>2800</v>
      </c>
      <c r="F242" s="8"/>
      <c r="G242" s="8"/>
      <c r="H242" s="8"/>
      <c r="I242" s="8">
        <v>2</v>
      </c>
      <c r="J242" s="10" t="s">
        <v>166</v>
      </c>
      <c r="K242" s="30">
        <v>1400</v>
      </c>
    </row>
    <row r="243" spans="3:11" s="4" customFormat="1" ht="15.95" hidden="1" customHeight="1" x14ac:dyDescent="0.25">
      <c r="C243" s="7" t="s">
        <v>238</v>
      </c>
      <c r="D243" s="7"/>
      <c r="E243" s="8">
        <f t="shared" si="14"/>
        <v>0</v>
      </c>
      <c r="F243" s="8"/>
      <c r="G243" s="8"/>
      <c r="H243" s="8"/>
      <c r="I243" s="8">
        <v>0</v>
      </c>
      <c r="J243" s="10" t="s">
        <v>166</v>
      </c>
      <c r="K243" s="30">
        <v>360</v>
      </c>
    </row>
    <row r="244" spans="3:11" s="4" customFormat="1" ht="15.95" hidden="1" customHeight="1" x14ac:dyDescent="0.25">
      <c r="C244" s="7" t="s">
        <v>241</v>
      </c>
      <c r="D244" s="7"/>
      <c r="E244" s="8">
        <f t="shared" si="14"/>
        <v>0</v>
      </c>
      <c r="F244" s="8"/>
      <c r="G244" s="8"/>
      <c r="H244" s="8"/>
      <c r="I244" s="8">
        <v>0</v>
      </c>
      <c r="J244" s="10" t="s">
        <v>166</v>
      </c>
      <c r="K244" s="30">
        <v>550</v>
      </c>
    </row>
    <row r="245" spans="3:11" s="4" customFormat="1" ht="15.95" hidden="1" customHeight="1" x14ac:dyDescent="0.25">
      <c r="C245" s="7" t="s">
        <v>242</v>
      </c>
      <c r="D245" s="7"/>
      <c r="E245" s="8">
        <f t="shared" si="14"/>
        <v>0</v>
      </c>
      <c r="F245" s="8"/>
      <c r="G245" s="8"/>
      <c r="H245" s="8"/>
      <c r="I245" s="8">
        <v>0</v>
      </c>
      <c r="J245" s="10" t="s">
        <v>166</v>
      </c>
      <c r="K245" s="30">
        <v>580</v>
      </c>
    </row>
    <row r="246" spans="3:11" s="4" customFormat="1" ht="15.95" hidden="1" customHeight="1" x14ac:dyDescent="0.25">
      <c r="C246" s="7" t="s">
        <v>234</v>
      </c>
      <c r="D246" s="7"/>
      <c r="E246" s="8">
        <f t="shared" si="14"/>
        <v>0</v>
      </c>
      <c r="F246" s="8"/>
      <c r="G246" s="8"/>
      <c r="H246" s="8"/>
      <c r="I246" s="8">
        <v>0</v>
      </c>
      <c r="J246" s="10" t="s">
        <v>166</v>
      </c>
      <c r="K246" s="30">
        <v>680</v>
      </c>
    </row>
    <row r="247" spans="3:11" s="4" customFormat="1" ht="15.95" hidden="1" customHeight="1" x14ac:dyDescent="0.25">
      <c r="C247" s="7" t="s">
        <v>239</v>
      </c>
      <c r="D247" s="7"/>
      <c r="E247" s="8">
        <f t="shared" si="14"/>
        <v>0</v>
      </c>
      <c r="F247" s="8"/>
      <c r="G247" s="8"/>
      <c r="H247" s="8"/>
      <c r="I247" s="8">
        <v>0</v>
      </c>
      <c r="J247" s="10" t="s">
        <v>166</v>
      </c>
      <c r="K247" s="30">
        <v>750</v>
      </c>
    </row>
    <row r="248" spans="3:11" s="4" customFormat="1" ht="15.95" hidden="1" customHeight="1" x14ac:dyDescent="0.25">
      <c r="C248" s="7" t="s">
        <v>235</v>
      </c>
      <c r="D248" s="7"/>
      <c r="E248" s="8">
        <f t="shared" si="14"/>
        <v>0</v>
      </c>
      <c r="F248" s="8"/>
      <c r="G248" s="8"/>
      <c r="H248" s="8"/>
      <c r="I248" s="8">
        <v>0</v>
      </c>
      <c r="J248" s="10" t="s">
        <v>166</v>
      </c>
      <c r="K248" s="30">
        <v>340</v>
      </c>
    </row>
    <row r="249" spans="3:11" s="4" customFormat="1" ht="15.95" hidden="1" customHeight="1" x14ac:dyDescent="0.25">
      <c r="C249" s="7" t="s">
        <v>240</v>
      </c>
      <c r="D249" s="7"/>
      <c r="E249" s="8">
        <f t="shared" si="14"/>
        <v>0</v>
      </c>
      <c r="F249" s="8"/>
      <c r="G249" s="8"/>
      <c r="H249" s="8"/>
      <c r="I249" s="8">
        <v>0</v>
      </c>
      <c r="J249" s="10" t="s">
        <v>166</v>
      </c>
      <c r="K249" s="30">
        <v>160</v>
      </c>
    </row>
    <row r="250" spans="3:11" s="4" customFormat="1" ht="15.95" hidden="1" customHeight="1" x14ac:dyDescent="0.25">
      <c r="C250" s="7" t="s">
        <v>237</v>
      </c>
      <c r="D250" s="7"/>
      <c r="E250" s="8">
        <f t="shared" si="14"/>
        <v>0</v>
      </c>
      <c r="F250" s="8"/>
      <c r="G250" s="8"/>
      <c r="H250" s="8"/>
      <c r="I250" s="8">
        <v>0</v>
      </c>
      <c r="J250" s="10" t="s">
        <v>166</v>
      </c>
      <c r="K250" s="30">
        <v>130</v>
      </c>
    </row>
    <row r="251" spans="3:11" s="4" customFormat="1" ht="15.95" hidden="1" customHeight="1" x14ac:dyDescent="0.25">
      <c r="C251" s="7" t="s">
        <v>227</v>
      </c>
      <c r="D251" s="7"/>
      <c r="E251" s="8">
        <f t="shared" si="14"/>
        <v>0</v>
      </c>
      <c r="F251" s="8"/>
      <c r="G251" s="8"/>
      <c r="H251" s="8"/>
      <c r="I251" s="8">
        <v>0</v>
      </c>
      <c r="J251" s="10" t="s">
        <v>166</v>
      </c>
      <c r="K251" s="30">
        <v>130</v>
      </c>
    </row>
    <row r="252" spans="3:11" s="4" customFormat="1" ht="15.95" hidden="1" customHeight="1" x14ac:dyDescent="0.25">
      <c r="C252" s="7" t="s">
        <v>223</v>
      </c>
      <c r="D252" s="7"/>
      <c r="E252" s="8">
        <f t="shared" si="14"/>
        <v>0</v>
      </c>
      <c r="F252" s="8"/>
      <c r="G252" s="8"/>
      <c r="H252" s="8"/>
      <c r="I252" s="8">
        <v>0</v>
      </c>
      <c r="J252" s="10" t="s">
        <v>166</v>
      </c>
      <c r="K252" s="30">
        <v>400</v>
      </c>
    </row>
    <row r="253" spans="3:11" s="4" customFormat="1" ht="15.95" hidden="1" customHeight="1" x14ac:dyDescent="0.25">
      <c r="C253" s="7" t="s">
        <v>225</v>
      </c>
      <c r="D253" s="7"/>
      <c r="E253" s="8">
        <f t="shared" si="14"/>
        <v>0</v>
      </c>
      <c r="F253" s="8"/>
      <c r="G253" s="8"/>
      <c r="H253" s="8"/>
      <c r="I253" s="8">
        <v>0</v>
      </c>
      <c r="J253" s="10" t="s">
        <v>166</v>
      </c>
      <c r="K253" s="30">
        <v>260</v>
      </c>
    </row>
    <row r="254" spans="3:11" s="4" customFormat="1" ht="15.95" hidden="1" customHeight="1" x14ac:dyDescent="0.25">
      <c r="C254" s="7" t="s">
        <v>231</v>
      </c>
      <c r="D254" s="7"/>
      <c r="E254" s="8">
        <f t="shared" si="14"/>
        <v>0</v>
      </c>
      <c r="F254" s="8"/>
      <c r="G254" s="8"/>
      <c r="H254" s="8"/>
      <c r="I254" s="8">
        <v>0</v>
      </c>
      <c r="J254" s="10" t="s">
        <v>166</v>
      </c>
      <c r="K254" s="30">
        <v>180</v>
      </c>
    </row>
    <row r="255" spans="3:11" s="4" customFormat="1" ht="15.95" hidden="1" customHeight="1" x14ac:dyDescent="0.25">
      <c r="C255" s="7" t="s">
        <v>232</v>
      </c>
      <c r="D255" s="7"/>
      <c r="E255" s="8">
        <f t="shared" si="14"/>
        <v>0</v>
      </c>
      <c r="F255" s="8"/>
      <c r="G255" s="8"/>
      <c r="H255" s="8"/>
      <c r="I255" s="8">
        <v>0</v>
      </c>
      <c r="J255" s="10" t="s">
        <v>166</v>
      </c>
      <c r="K255" s="30">
        <v>120</v>
      </c>
    </row>
    <row r="256" spans="3:11" s="4" customFormat="1" ht="15.95" hidden="1" customHeight="1" x14ac:dyDescent="0.25">
      <c r="C256" s="7" t="s">
        <v>233</v>
      </c>
      <c r="D256" s="7"/>
      <c r="E256" s="8">
        <f t="shared" si="14"/>
        <v>0</v>
      </c>
      <c r="F256" s="8"/>
      <c r="G256" s="8"/>
      <c r="H256" s="8"/>
      <c r="I256" s="8">
        <v>0</v>
      </c>
      <c r="J256" s="10" t="s">
        <v>166</v>
      </c>
      <c r="K256" s="30">
        <v>220</v>
      </c>
    </row>
    <row r="257" spans="3:11" s="4" customFormat="1" ht="15.95" hidden="1" customHeight="1" x14ac:dyDescent="0.25">
      <c r="C257" s="7" t="s">
        <v>226</v>
      </c>
      <c r="D257" s="7"/>
      <c r="E257" s="8">
        <f t="shared" si="14"/>
        <v>0</v>
      </c>
      <c r="F257" s="8"/>
      <c r="G257" s="8"/>
      <c r="H257" s="8"/>
      <c r="I257" s="8">
        <v>0</v>
      </c>
      <c r="J257" s="10" t="s">
        <v>166</v>
      </c>
      <c r="K257" s="30">
        <v>230</v>
      </c>
    </row>
    <row r="258" spans="3:11" s="4" customFormat="1" ht="15.95" hidden="1" customHeight="1" x14ac:dyDescent="0.25">
      <c r="C258" s="7" t="s">
        <v>228</v>
      </c>
      <c r="D258" s="7"/>
      <c r="E258" s="8">
        <f t="shared" si="14"/>
        <v>0</v>
      </c>
      <c r="F258" s="8"/>
      <c r="G258" s="8"/>
      <c r="H258" s="8"/>
      <c r="I258" s="8">
        <v>0</v>
      </c>
      <c r="J258" s="10" t="s">
        <v>229</v>
      </c>
      <c r="K258" s="30">
        <v>500</v>
      </c>
    </row>
    <row r="259" spans="3:11" s="4" customFormat="1" ht="15.95" hidden="1" customHeight="1" x14ac:dyDescent="0.25">
      <c r="C259" s="7" t="s">
        <v>230</v>
      </c>
      <c r="D259" s="7"/>
      <c r="E259" s="8">
        <f t="shared" si="14"/>
        <v>0</v>
      </c>
      <c r="F259" s="8"/>
      <c r="G259" s="8"/>
      <c r="H259" s="8"/>
      <c r="I259" s="8">
        <v>0</v>
      </c>
      <c r="J259" s="10" t="s">
        <v>166</v>
      </c>
      <c r="K259" s="30">
        <v>180</v>
      </c>
    </row>
    <row r="260" spans="3:11" s="4" customFormat="1" ht="15.95" hidden="1" customHeight="1" x14ac:dyDescent="0.25">
      <c r="C260" s="7" t="s">
        <v>224</v>
      </c>
      <c r="D260" s="7"/>
      <c r="E260" s="8">
        <f t="shared" si="14"/>
        <v>0</v>
      </c>
      <c r="F260" s="8"/>
      <c r="G260" s="8"/>
      <c r="H260" s="8"/>
      <c r="I260" s="8">
        <v>0</v>
      </c>
      <c r="J260" s="10" t="s">
        <v>166</v>
      </c>
      <c r="K260" s="30">
        <v>260</v>
      </c>
    </row>
    <row r="261" spans="3:11" s="4" customFormat="1" ht="15.95" hidden="1" customHeight="1" x14ac:dyDescent="0.25">
      <c r="C261" s="7" t="s">
        <v>219</v>
      </c>
      <c r="D261" s="7"/>
      <c r="E261" s="8">
        <f t="shared" si="14"/>
        <v>0</v>
      </c>
      <c r="F261" s="8"/>
      <c r="G261" s="8"/>
      <c r="H261" s="8"/>
      <c r="I261" s="8">
        <v>0</v>
      </c>
      <c r="J261" s="10" t="s">
        <v>166</v>
      </c>
      <c r="K261" s="30">
        <v>6500</v>
      </c>
    </row>
    <row r="262" spans="3:11" s="4" customFormat="1" ht="15.95" hidden="1" customHeight="1" x14ac:dyDescent="0.25">
      <c r="C262" s="7" t="s">
        <v>221</v>
      </c>
      <c r="D262" s="7"/>
      <c r="E262" s="8">
        <f t="shared" si="14"/>
        <v>0</v>
      </c>
      <c r="F262" s="8"/>
      <c r="G262" s="8"/>
      <c r="H262" s="8"/>
      <c r="I262" s="8">
        <v>0</v>
      </c>
      <c r="J262" s="10" t="s">
        <v>166</v>
      </c>
      <c r="K262" s="30">
        <v>8800</v>
      </c>
    </row>
    <row r="263" spans="3:11" s="4" customFormat="1" ht="15.95" hidden="1" customHeight="1" x14ac:dyDescent="0.25">
      <c r="C263" s="7" t="s">
        <v>220</v>
      </c>
      <c r="D263" s="7"/>
      <c r="E263" s="8">
        <f t="shared" si="14"/>
        <v>0</v>
      </c>
      <c r="F263" s="8"/>
      <c r="G263" s="8"/>
      <c r="H263" s="8"/>
      <c r="I263" s="8">
        <v>0</v>
      </c>
      <c r="J263" s="10" t="s">
        <v>166</v>
      </c>
      <c r="K263" s="30">
        <v>1050</v>
      </c>
    </row>
    <row r="264" spans="3:11" s="22" customFormat="1" ht="15.95" customHeight="1" x14ac:dyDescent="0.25">
      <c r="C264" s="32" t="s">
        <v>148</v>
      </c>
      <c r="D264" s="33">
        <f>SUM(E265)</f>
        <v>11800</v>
      </c>
      <c r="E264" s="34"/>
      <c r="F264" s="35"/>
      <c r="G264" s="35"/>
      <c r="H264" s="35"/>
      <c r="I264" s="35"/>
      <c r="J264" s="36"/>
      <c r="K264" s="49"/>
    </row>
    <row r="265" spans="3:11" s="22" customFormat="1" ht="15.95" hidden="1" customHeight="1" x14ac:dyDescent="0.25">
      <c r="C265" s="37"/>
      <c r="D265" s="38"/>
      <c r="E265" s="39">
        <f>K265*I265</f>
        <v>11800</v>
      </c>
      <c r="F265" s="24"/>
      <c r="G265" s="24"/>
      <c r="H265" s="24"/>
      <c r="I265" s="24">
        <v>1</v>
      </c>
      <c r="J265" s="25" t="s">
        <v>166</v>
      </c>
      <c r="K265" s="48">
        <v>11800</v>
      </c>
    </row>
    <row r="266" spans="3:11" s="22" customFormat="1" ht="15.95" customHeight="1" x14ac:dyDescent="0.25">
      <c r="C266" s="32" t="s">
        <v>146</v>
      </c>
      <c r="D266" s="33">
        <f>SUM(E267)</f>
        <v>5000</v>
      </c>
      <c r="E266" s="34"/>
      <c r="F266" s="40"/>
      <c r="G266" s="40"/>
      <c r="H266" s="40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I267*K267</f>
        <v>5000</v>
      </c>
      <c r="F267" s="41"/>
      <c r="G267" s="41"/>
      <c r="H267" s="41"/>
      <c r="I267" s="24">
        <v>4</v>
      </c>
      <c r="J267" s="25" t="s">
        <v>149</v>
      </c>
      <c r="K267" s="48">
        <v>1250</v>
      </c>
    </row>
    <row r="268" spans="3:11" s="22" customFormat="1" ht="15.95" customHeight="1" x14ac:dyDescent="0.25">
      <c r="C268" s="32" t="s">
        <v>147</v>
      </c>
      <c r="D268" s="33">
        <f>SUM(E269)</f>
        <v>6000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/>
      <c r="D269" s="38"/>
      <c r="E269" s="39">
        <f>I269*K269</f>
        <v>6000</v>
      </c>
      <c r="F269" s="41"/>
      <c r="G269" s="41"/>
      <c r="H269" s="41"/>
      <c r="I269" s="24">
        <v>4</v>
      </c>
      <c r="J269" s="25" t="s">
        <v>166</v>
      </c>
      <c r="K269" s="48">
        <v>1500</v>
      </c>
    </row>
    <row r="270" spans="3:11" s="22" customFormat="1" ht="15.95" customHeight="1" x14ac:dyDescent="0.25">
      <c r="C270" s="32" t="s">
        <v>212</v>
      </c>
      <c r="D270" s="33">
        <f>SUM(E271)</f>
        <v>1200</v>
      </c>
      <c r="E270" s="34"/>
      <c r="F270" s="40"/>
      <c r="G270" s="40"/>
      <c r="H270" s="40"/>
      <c r="I270" s="35"/>
      <c r="J270" s="36"/>
      <c r="K270" s="49"/>
    </row>
    <row r="271" spans="3:11" s="22" customFormat="1" ht="15.95" hidden="1" customHeight="1" x14ac:dyDescent="0.25">
      <c r="C271" s="37"/>
      <c r="D271" s="38"/>
      <c r="E271" s="39">
        <f>I271*K271</f>
        <v>1200</v>
      </c>
      <c r="F271" s="41"/>
      <c r="G271" s="41"/>
      <c r="H271" s="41"/>
      <c r="I271" s="24">
        <v>1</v>
      </c>
      <c r="J271" s="25" t="s">
        <v>166</v>
      </c>
      <c r="K271" s="48">
        <v>1200</v>
      </c>
    </row>
    <row r="272" spans="3:11" s="22" customFormat="1" ht="15.95" customHeight="1" x14ac:dyDescent="0.25">
      <c r="C272" s="32" t="s">
        <v>264</v>
      </c>
      <c r="D272" s="33">
        <f>SUM(E273)</f>
        <v>0</v>
      </c>
      <c r="E272" s="34"/>
      <c r="F272" s="40"/>
      <c r="G272" s="40"/>
      <c r="H272" s="40"/>
      <c r="I272" s="35"/>
      <c r="J272" s="36"/>
      <c r="K272" s="49"/>
    </row>
    <row r="273" spans="3:11" s="22" customFormat="1" ht="15.95" hidden="1" customHeight="1" x14ac:dyDescent="0.25">
      <c r="C273" s="37" t="s">
        <v>263</v>
      </c>
      <c r="D273" s="38"/>
      <c r="E273" s="39">
        <f>I273*K273</f>
        <v>0</v>
      </c>
      <c r="F273" s="41"/>
      <c r="G273" s="41"/>
      <c r="H273" s="41"/>
      <c r="I273" s="24">
        <v>0</v>
      </c>
      <c r="J273" s="25" t="s">
        <v>166</v>
      </c>
      <c r="K273" s="48">
        <v>0</v>
      </c>
    </row>
    <row r="274" spans="3:11" ht="15.95" customHeight="1" thickBot="1" x14ac:dyDescent="0.3">
      <c r="C274" s="18" t="s">
        <v>57</v>
      </c>
      <c r="D274" s="14">
        <f>SUM(D2:D273)</f>
        <v>34217.43</v>
      </c>
      <c r="E274" s="15"/>
      <c r="F274" s="53"/>
      <c r="G274" s="53"/>
      <c r="H274" s="53"/>
      <c r="I274" s="53"/>
      <c r="J274" s="53"/>
      <c r="K274" s="53"/>
    </row>
    <row r="275" spans="3:11" ht="15.95" customHeight="1" thickTop="1" x14ac:dyDescent="0.25"/>
  </sheetData>
  <autoFilter ref="C1:K274" xr:uid="{00000000-0009-0000-0000-000000000000}">
    <filterColumn colId="1">
      <customFilters>
        <customFilter operator="notEqual" val=" "/>
      </customFilters>
    </filterColumn>
  </autoFilter>
  <mergeCells count="1">
    <mergeCell ref="F274:K274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2026-01-21T10:13:23Z</dcterms:modified>
</cp:coreProperties>
</file>