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EUROBELT @ Interpack 2026\"/>
    </mc:Choice>
  </mc:AlternateContent>
  <xr:revisionPtr revIDLastSave="0" documentId="13_ncr:1_{10A00F85-D306-4807-BA2F-F95E537586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1" i="1"/>
  <c r="E26" i="1"/>
  <c r="E136" i="1" l="1"/>
  <c r="E269" i="1" l="1"/>
  <c r="D268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1" i="1"/>
  <c r="D220" i="1" s="1"/>
  <c r="D16" i="1" l="1"/>
  <c r="D151" i="1"/>
  <c r="D132" i="1"/>
  <c r="D143" i="1"/>
  <c r="D108" i="1"/>
  <c r="D270" i="1" l="1"/>
</calcChain>
</file>

<file path=xl/sharedStrings.xml><?xml version="1.0" encoding="utf-8"?>
<sst xmlns="http://schemas.openxmlformats.org/spreadsheetml/2006/main" count="583" uniqueCount="283">
  <si>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</si>
  <si>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</si>
  <si>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</si>
  <si>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</si>
  <si>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</si>
  <si>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</si>
  <si>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</si>
  <si>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</si>
  <si>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</si>
  <si>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</si>
  <si>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</si>
  <si>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</si>
  <si>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</si>
  <si>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</si>
  <si>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</si>
  <si>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</si>
  <si>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</si>
  <si>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</si>
  <si>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</si>
  <si>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</si>
  <si>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</si>
  <si>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</si>
  <si>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</si>
  <si>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</si>
  <si>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</si>
  <si>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</si>
  <si>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</si>
  <si>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</si>
  <si>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</si>
  <si>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</si>
  <si>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</si>
  <si>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</si>
  <si>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</si>
  <si>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</si>
  <si>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</si>
  <si>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</si>
  <si>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</si>
  <si>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</si>
  <si>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</si>
  <si>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</si>
  <si>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</si>
  <si>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</si>
  <si>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</si>
  <si>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</si>
  <si>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</si>
  <si>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</si>
  <si>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</si>
  <si>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</si>
  <si>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</si>
  <si>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</si>
  <si>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</si>
  <si>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</si>
  <si>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</si>
  <si>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</si>
  <si>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</si>
  <si>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</si>
  <si>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</si>
  <si>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</si>
  <si>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</si>
  <si>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</si>
  <si>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</si>
  <si>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</si>
  <si>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</si>
  <si>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</si>
  <si>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</si>
  <si>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</si>
  <si>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</si>
  <si>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</si>
  <si>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</si>
  <si>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</si>
  <si>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</si>
  <si>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</si>
  <si>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</si>
  <si>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</si>
  <si>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</si>
  <si>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</si>
  <si>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</si>
  <si>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</si>
  <si>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</si>
  <si>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</si>
  <si>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</si>
  <si>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</si>
  <si>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</si>
  <si>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</si>
  <si>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</si>
  <si>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</si>
  <si>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</si>
  <si>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</si>
  <si>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</si>
  <si>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</si>
  <si>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</si>
  <si>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</si>
  <si>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</si>
  <si>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</si>
  <si>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</si>
  <si>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</si>
  <si>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</si>
  <si>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</si>
  <si>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</si>
  <si>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</si>
  <si>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</si>
  <si>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</si>
  <si>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</si>
  <si>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</si>
  <si>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</si>
  <si>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</si>
  <si>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</si>
  <si>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</si>
  <si>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</si>
  <si>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</si>
  <si>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</si>
  <si>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</si>
  <si>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</si>
  <si>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</si>
  <si>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</si>
  <si>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</si>
  <si>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</si>
  <si>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</si>
  <si>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</si>
  <si>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</si>
  <si>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</si>
  <si>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</si>
  <si>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</si>
  <si>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</si>
  <si>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</si>
  <si>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</si>
  <si>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</si>
  <si>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</si>
  <si>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</si>
  <si>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</si>
  <si>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</si>
  <si>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</si>
  <si>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</si>
  <si>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</si>
  <si>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</si>
  <si>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</si>
  <si>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</si>
  <si>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</si>
  <si>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</si>
  <si>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</si>
  <si>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</si>
  <si>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</si>
  <si>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</si>
  <si>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</si>
  <si>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</si>
  <si>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</si>
  <si>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</si>
  <si>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</si>
  <si>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</si>
  <si>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</si>
  <si>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</si>
  <si>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</si>
  <si>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</si>
  <si>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</si>
  <si>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</si>
  <si>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</si>
  <si>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</si>
  <si>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</si>
  <si>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</si>
  <si>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</si>
  <si>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</si>
  <si>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</si>
  <si>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</si>
  <si>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</si>
  <si>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</si>
  <si>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</si>
  <si>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</si>
  <si>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</si>
  <si>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</si>
  <si>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</si>
  <si>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</si>
  <si>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</si>
  <si>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</si>
  <si>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</si>
  <si>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</si>
  <si>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</si>
  <si>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</si>
  <si>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</si>
  <si>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</si>
  <si>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</si>
  <si>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</si>
  <si>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</si>
  <si>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</si>
  <si>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</si>
  <si>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</si>
  <si>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</si>
  <si>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</si>
  <si>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</si>
  <si>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</si>
  <si>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</si>
  <si>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</si>
  <si>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</si>
  <si>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</si>
  <si>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</si>
  <si>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</si>
  <si>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</si>
  <si>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</si>
  <si>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</si>
  <si>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</si>
  <si>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</si>
  <si>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</si>
  <si>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</si>
  <si>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</si>
  <si>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</si>
  <si>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</si>
  <si>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</si>
  <si>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</si>
  <si>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</si>
  <si>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</si>
  <si>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</si>
  <si>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</si>
  <si>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</si>
  <si>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</si>
  <si>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</si>
  <si>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</si>
  <si>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</si>
  <si>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</si>
  <si>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</si>
  <si>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</si>
  <si>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</si>
  <si>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</si>
  <si>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</si>
  <si>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</si>
  <si>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</si>
  <si>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</si>
  <si>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</si>
  <si>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</si>
  <si>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</si>
  <si>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</si>
  <si>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</si>
  <si>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</si>
  <si>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</si>
  <si>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</si>
  <si>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</si>
  <si>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</si>
  <si>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</si>
  <si>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</si>
  <si>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</si>
  <si>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</si>
  <si>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</si>
  <si>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</si>
  <si>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</si>
  <si>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</si>
  <si>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</si>
  <si>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</si>
  <si>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</si>
  <si>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</si>
  <si>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</si>
  <si>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</si>
  <si>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</si>
  <si>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</si>
  <si>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</si>
  <si>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</si>
  <si>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</si>
  <si>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</si>
  <si>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</si>
  <si>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</si>
  <si>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</si>
  <si>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</si>
  <si>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</si>
  <si>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</si>
  <si>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</si>
  <si>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</si>
  <si>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</si>
  <si>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</si>
  <si>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</si>
  <si>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</si>
  <si>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</si>
  <si>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</si>
  <si>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</si>
  <si>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</si>
  <si>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(Laminated)- 1.5 x 0.5 x 1.0</t>
  </si>
  <si>
    <t>Screen Stand (Laminated)- 1.0 x 0.5 x 1.0</t>
  </si>
  <si>
    <t>Opt Nr:-  1</t>
  </si>
  <si>
    <t>Date:- 14-11-2025</t>
  </si>
  <si>
    <t>EUROBELT</t>
  </si>
  <si>
    <t>INTERPACK 2026</t>
  </si>
  <si>
    <t>10M X 6M</t>
  </si>
  <si>
    <t>60 SQM</t>
  </si>
  <si>
    <t>6M</t>
  </si>
  <si>
    <t>07. - 13.05.2025</t>
  </si>
  <si>
    <t>DUSSELDORF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</si>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</sst>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143</xdr:row>
      <xdr:rowOff>0</xdr:rowOff>
    </xdr:from>
    <xdr:to>
      <xdr:col>1</xdr:col>
      <xdr:colOff>1060560</xdr:colOff>
      <xdr:row>263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167533-A6A0-47F6-8BC9-34E0E58E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117834" cy="1362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72" sqref="D27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273</v>
      </c>
      <c r="B1" s="31" t="s">
        <v>274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275</v>
      </c>
      <c r="C2" s="26" t="s">
        <v>151</v>
      </c>
      <c r="D2" s="27">
        <f>SUM(E3:E11)</f>
        <v>842.1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171.6</v>
      </c>
      <c r="F3" s="8"/>
      <c r="G3" s="8"/>
      <c r="H3" s="8"/>
      <c r="I3" s="9">
        <v>60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630</v>
      </c>
      <c r="F7" s="8"/>
      <c r="G7" s="8"/>
      <c r="H7" s="8"/>
      <c r="I7" s="9">
        <v>63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40.5</v>
      </c>
      <c r="F9" s="8"/>
      <c r="G9" s="8"/>
      <c r="H9" s="8"/>
      <c r="I9" s="9">
        <v>10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276</v>
      </c>
      <c r="C12" s="26" t="s">
        <v>194</v>
      </c>
      <c r="D12" s="52">
        <f>SUM(E13:E15)</f>
        <v>365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281</v>
      </c>
      <c r="C16" s="26" t="s">
        <v>184</v>
      </c>
      <c r="D16" s="27">
        <f>SUM(E17:E86)</f>
        <v>3117.25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ref="E26" si="2">I26*K26</f>
        <v>209.13</v>
      </c>
      <c r="F26" s="8">
        <v>1</v>
      </c>
      <c r="G26" s="8">
        <v>0.1</v>
      </c>
      <c r="H26" s="8">
        <v>3</v>
      </c>
      <c r="I26" s="9">
        <v>3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B45" s="29" t="s">
        <v>249</v>
      </c>
      <c r="C45" s="7" t="s">
        <v>28</v>
      </c>
      <c r="D45" s="7"/>
      <c r="E45" s="8">
        <f t="shared" si="1"/>
        <v>1741.08</v>
      </c>
      <c r="F45" s="8">
        <v>1</v>
      </c>
      <c r="G45" s="8">
        <v>0.1</v>
      </c>
      <c r="H45" s="8">
        <v>6</v>
      </c>
      <c r="I45" s="9">
        <v>22</v>
      </c>
      <c r="J45" s="10" t="s">
        <v>154</v>
      </c>
      <c r="K45" s="30">
        <v>79.14</v>
      </c>
    </row>
    <row r="46" spans="2:11" ht="15.95" hidden="1" customHeight="1" x14ac:dyDescent="0.25">
      <c r="B46" s="29" t="s">
        <v>249</v>
      </c>
      <c r="C46" s="7" t="s">
        <v>27</v>
      </c>
      <c r="D46" s="7"/>
      <c r="E46" s="8">
        <f t="shared" si="1"/>
        <v>690.84</v>
      </c>
      <c r="F46" s="8">
        <v>1</v>
      </c>
      <c r="G46" s="8">
        <v>0.1</v>
      </c>
      <c r="H46" s="8">
        <v>6</v>
      </c>
      <c r="I46" s="9">
        <v>6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3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3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3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3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3"/>
        <v>476.2</v>
      </c>
      <c r="F59" s="8">
        <v>1</v>
      </c>
      <c r="G59" s="8">
        <v>0.2</v>
      </c>
      <c r="H59" s="8">
        <v>3.5</v>
      </c>
      <c r="I59" s="9">
        <v>5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3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3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3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3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3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4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4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4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4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280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5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5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5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264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5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5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5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5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5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5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5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5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5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277</v>
      </c>
      <c r="C108" s="26" t="s">
        <v>196</v>
      </c>
      <c r="D108" s="27">
        <f>SUM(E109:E131)</f>
        <v>345.24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268</v>
      </c>
      <c r="D109" s="7"/>
      <c r="E109" s="8">
        <f t="shared" ref="E109:E131" si="6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6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269</v>
      </c>
      <c r="D111" s="7"/>
      <c r="E111" s="8">
        <f t="shared" ref="E111:E112" si="7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271</v>
      </c>
      <c r="D112" s="7"/>
      <c r="E112" s="8">
        <f t="shared" si="7"/>
        <v>190.48</v>
      </c>
      <c r="F112" s="8">
        <v>1.5</v>
      </c>
      <c r="G112" s="8">
        <v>0.5</v>
      </c>
      <c r="H112" s="8">
        <v>1</v>
      </c>
      <c r="I112" s="8">
        <v>1</v>
      </c>
      <c r="J112" s="10" t="s">
        <v>166</v>
      </c>
      <c r="K112" s="30">
        <v>190.48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6"/>
        <v>154.76</v>
      </c>
      <c r="F113" s="8">
        <v>1</v>
      </c>
      <c r="G113" s="8">
        <v>0.5</v>
      </c>
      <c r="H113" s="8">
        <v>1</v>
      </c>
      <c r="I113" s="8">
        <v>1</v>
      </c>
      <c r="J113" s="10" t="s">
        <v>166</v>
      </c>
      <c r="K113" s="30">
        <v>154.76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278</v>
      </c>
      <c r="C132" s="26" t="s">
        <v>204</v>
      </c>
      <c r="D132" s="27">
        <f>SUM(E133:E142)</f>
        <v>273.10000000000002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270</v>
      </c>
      <c r="D135" s="7"/>
      <c r="E135" s="8">
        <f t="shared" si="8"/>
        <v>238.1</v>
      </c>
      <c r="F135" s="8">
        <v>1</v>
      </c>
      <c r="G135" s="8">
        <v>0</v>
      </c>
      <c r="H135" s="8">
        <v>2</v>
      </c>
      <c r="I135" s="8">
        <v>2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279</v>
      </c>
      <c r="C143" s="26" t="s">
        <v>205</v>
      </c>
      <c r="D143" s="27">
        <f>SUM(E144:E150)</f>
        <v>150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267</v>
      </c>
      <c r="D144" s="7"/>
      <c r="E144" s="8">
        <f t="shared" ref="E144:E150" si="9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9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9"/>
        <v>150</v>
      </c>
      <c r="F147" s="8">
        <v>0</v>
      </c>
      <c r="G147" s="8">
        <v>0</v>
      </c>
      <c r="H147" s="8">
        <v>0</v>
      </c>
      <c r="I147" s="8">
        <v>3</v>
      </c>
      <c r="J147" s="10" t="s">
        <v>166</v>
      </c>
      <c r="K147" s="30">
        <v>50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810.48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10">I152*K152</f>
        <v>119</v>
      </c>
      <c r="F152" s="8"/>
      <c r="G152" s="8"/>
      <c r="H152" s="8"/>
      <c r="I152" s="8">
        <v>10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10"/>
        <v>200</v>
      </c>
      <c r="F153" s="8"/>
      <c r="G153" s="8"/>
      <c r="H153" s="8"/>
      <c r="I153" s="8">
        <v>4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10"/>
        <v>150</v>
      </c>
      <c r="F158" s="8"/>
      <c r="G158" s="8"/>
      <c r="H158" s="8"/>
      <c r="I158" s="8">
        <v>15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70</v>
      </c>
      <c r="F159" s="12"/>
      <c r="G159" s="12"/>
      <c r="H159" s="12"/>
      <c r="I159" s="8">
        <v>14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10"/>
        <v>0</v>
      </c>
      <c r="F160" s="8"/>
      <c r="G160" s="8"/>
      <c r="H160" s="8"/>
      <c r="I160" s="8">
        <v>0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10"/>
        <v>81</v>
      </c>
      <c r="F163" s="8"/>
      <c r="G163" s="8"/>
      <c r="H163" s="8"/>
      <c r="I163" s="8">
        <v>20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469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75</v>
      </c>
      <c r="F166" s="12"/>
      <c r="G166" s="12"/>
      <c r="H166" s="12"/>
      <c r="I166" s="8">
        <v>5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108</v>
      </c>
      <c r="F167" s="12"/>
      <c r="G167" s="12"/>
      <c r="H167" s="12"/>
      <c r="I167" s="8">
        <v>9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60</v>
      </c>
      <c r="F168" s="12"/>
      <c r="G168" s="12"/>
      <c r="H168" s="12"/>
      <c r="I168" s="8">
        <v>3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30</v>
      </c>
      <c r="F169" s="12"/>
      <c r="G169" s="12"/>
      <c r="H169" s="12"/>
      <c r="I169" s="8">
        <v>2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40</v>
      </c>
      <c r="F178" s="12"/>
      <c r="G178" s="12"/>
      <c r="H178" s="12"/>
      <c r="I178" s="8">
        <v>5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1"/>
        <v>105</v>
      </c>
      <c r="F180" s="12"/>
      <c r="G180" s="12"/>
      <c r="H180" s="12"/>
      <c r="I180" s="8">
        <v>3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1"/>
        <v>16</v>
      </c>
      <c r="F193" s="8"/>
      <c r="G193" s="8"/>
      <c r="H193" s="8"/>
      <c r="I193" s="8">
        <v>2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2033.8000000000002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2"/>
        <v>1764.72</v>
      </c>
      <c r="F210" s="8">
        <v>1</v>
      </c>
      <c r="G210" s="8">
        <v>1</v>
      </c>
      <c r="H210" s="12"/>
      <c r="I210" s="8">
        <v>114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2"/>
        <v>26.2</v>
      </c>
      <c r="F212" s="8">
        <v>1</v>
      </c>
      <c r="G212" s="8">
        <v>1</v>
      </c>
      <c r="H212" s="12"/>
      <c r="I212" s="8">
        <v>2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2"/>
        <v>190.48</v>
      </c>
      <c r="F213" s="8">
        <v>1</v>
      </c>
      <c r="G213" s="8">
        <v>1</v>
      </c>
      <c r="H213" s="12"/>
      <c r="I213" s="8">
        <v>2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2"/>
        <v>52.4</v>
      </c>
      <c r="F217" s="8">
        <v>1</v>
      </c>
      <c r="G217" s="8">
        <v>1</v>
      </c>
      <c r="H217" s="12"/>
      <c r="I217" s="8">
        <v>4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9500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9500</v>
      </c>
      <c r="F261" s="24"/>
      <c r="G261" s="24"/>
      <c r="H261" s="24"/>
      <c r="I261" s="24">
        <v>1</v>
      </c>
      <c r="J261" s="25" t="s">
        <v>166</v>
      </c>
      <c r="K261" s="48">
        <v>9500</v>
      </c>
    </row>
    <row r="262" spans="3:11" s="22" customFormat="1" ht="15.95" customHeight="1" x14ac:dyDescent="0.25">
      <c r="C262" s="32" t="s">
        <v>146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149</v>
      </c>
      <c r="K263" s="48">
        <v>1250</v>
      </c>
    </row>
    <row r="264" spans="3:11" s="22" customFormat="1" ht="15.95" customHeight="1" x14ac:dyDescent="0.25">
      <c r="C264" s="32" t="s">
        <v>147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166</v>
      </c>
      <c r="K265" s="48">
        <v>1500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263</v>
      </c>
      <c r="D268" s="33">
        <f>SUM(E269)</f>
        <v>1000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282</v>
      </c>
      <c r="D269" s="38"/>
      <c r="E269" s="39">
        <f>I269*K269</f>
        <v>1000</v>
      </c>
      <c r="F269" s="41"/>
      <c r="G269" s="41"/>
      <c r="H269" s="41"/>
      <c r="I269" s="24">
        <v>1</v>
      </c>
      <c r="J269" s="25" t="s">
        <v>166</v>
      </c>
      <c r="K269" s="48">
        <v>1000</v>
      </c>
    </row>
    <row r="270" spans="3:11" ht="15.95" customHeight="1" thickBot="1" x14ac:dyDescent="0.3">
      <c r="C270" s="18" t="s">
        <v>57</v>
      </c>
      <c r="D270" s="14">
        <f>SUM(D2:D269)</f>
        <v>25605.97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2025-11-14T14:21:49Z</dcterms:modified>
</cp:coreProperties>
</file>