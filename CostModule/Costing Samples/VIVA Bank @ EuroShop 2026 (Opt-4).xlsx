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VIVA Bank @ EuroShop 2026\Option- 4\"/>
    </mc:Choice>
  </mc:AlternateContent>
  <xr:revisionPtr revIDLastSave="0" documentId="13_ncr:1_{66B37CD6-4FF9-4F37-AA4B-B9A957F176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7" i="1" l="1"/>
  <c r="E117" i="1"/>
  <c r="E116" i="1"/>
  <c r="E64" i="1"/>
  <c r="E139" i="1" l="1"/>
  <c r="E272" i="1" l="1"/>
  <c r="D271" i="1" s="1"/>
  <c r="E81" i="1" l="1"/>
  <c r="E80" i="1"/>
  <c r="E90" i="1" l="1"/>
  <c r="E91" i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9" i="1" l="1"/>
  <c r="D88" i="1" s="1"/>
  <c r="E15" i="1" l="1"/>
  <c r="E84" i="1" l="1"/>
  <c r="E85" i="1"/>
  <c r="E86" i="1"/>
  <c r="E212" i="1" l="1"/>
  <c r="E135" i="1"/>
  <c r="E169" i="1"/>
  <c r="D168" i="1" s="1"/>
  <c r="D21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5" i="1" l="1"/>
  <c r="E147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1" i="1"/>
  <c r="E224" i="1"/>
  <c r="D223" i="1" s="1"/>
  <c r="D16" i="1" l="1"/>
  <c r="D154" i="1"/>
  <c r="D134" i="1"/>
  <c r="D146" i="1"/>
  <c r="D110" i="1"/>
  <c r="D273" i="1" l="1"/>
</calcChain>
</file>

<file path=xl/sharedStrings.xml><?xml version="1.0" encoding="utf-8"?>
<sst xmlns="http://schemas.openxmlformats.org/spreadsheetml/2006/main" count="590" uniqueCount="285">
  <si>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</si>
  <si>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</si>
  <si>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</si>
  <si>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</si>
  <si>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</si>
  <si>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</si>
  <si>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</si>
  <si>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</si>
  <si>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</si>
  <si>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</si>
  <si>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</si>
  <si>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</si>
  <si>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</si>
  <si>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</si>
  <si>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</si>
  <si>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</si>
  <si>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</si>
  <si>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</si>
  <si>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</si>
  <si>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</si>
  <si>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</si>
  <si>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</si>
  <si>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</si>
  <si>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</si>
  <si>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</si>
  <si>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</si>
  <si>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</si>
  <si>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</si>
  <si>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</si>
  <si>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</si>
  <si>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</si>
  <si>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</si>
  <si>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</si>
  <si>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</si>
  <si>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</si>
  <si>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</si>
  <si>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</si>
  <si>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</si>
  <si>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</si>
  <si>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</si>
  <si>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</si>
  <si>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</si>
  <si>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</si>
  <si>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</si>
  <si>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</si>
  <si>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</si>
  <si>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</si>
  <si>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</si>
  <si>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</si>
  <si>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</si>
  <si>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</si>
  <si>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</si>
  <si>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</si>
  <si>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</si>
  <si>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</si>
  <si>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</si>
  <si>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</si>
  <si>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</si>
  <si>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</si>
  <si>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</si>
  <si>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</si>
  <si>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</si>
  <si>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</si>
  <si>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</si>
  <si>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</si>
  <si>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</si>
  <si>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</si>
  <si>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</si>
  <si>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</si>
  <si>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</si>
  <si>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</si>
  <si>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</si>
  <si>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</si>
  <si>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</si>
  <si>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</si>
  <si>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</si>
  <si>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</si>
  <si>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</si>
  <si>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</si>
  <si>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</si>
  <si>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</si>
  <si>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</si>
  <si>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</si>
  <si>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</si>
  <si>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</si>
  <si>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</si>
  <si>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</si>
  <si>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</si>
  <si>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</si>
  <si>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</si>
  <si>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</si>
  <si>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</si>
  <si>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</si>
  <si>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</si>
  <si>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</si>
  <si>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</si>
  <si>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</si>
  <si>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</si>
  <si>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</si>
  <si>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</si>
  <si>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</si>
  <si>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</si>
  <si>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</si>
  <si>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</si>
  <si>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</si>
  <si>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</si>
  <si>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</si>
  <si>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</si>
  <si>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</si>
  <si>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</si>
  <si>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</si>
  <si>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</si>
  <si>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</si>
  <si>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</si>
  <si>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</si>
  <si>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</si>
  <si>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</si>
  <si>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</si>
  <si>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</si>
  <si>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</si>
  <si>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</si>
  <si>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</si>
  <si>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</si>
  <si>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</si>
  <si>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</si>
  <si>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</si>
  <si>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</si>
  <si>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</si>
  <si>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</si>
  <si>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</si>
  <si>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</si>
  <si>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</si>
  <si>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</si>
  <si>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</si>
  <si>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</si>
  <si>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</si>
  <si>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</si>
  <si>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</si>
  <si>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</si>
  <si>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</si>
  <si>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</si>
  <si>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</si>
  <si>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</si>
  <si>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</si>
  <si>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</si>
  <si>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</si>
  <si>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</si>
  <si>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</si>
  <si>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</si>
  <si>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</si>
  <si>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</si>
  <si>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</si>
  <si>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</si>
  <si>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</si>
  <si>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</si>
  <si>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</si>
  <si>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</si>
  <si>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</si>
  <si>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</si>
  <si>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</si>
  <si>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</si>
  <si>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</si>
  <si>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</si>
  <si>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</si>
  <si>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</si>
  <si>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</si>
  <si>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</si>
  <si>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</si>
  <si>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</si>
  <si>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</si>
  <si>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</si>
  <si>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</si>
  <si>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</si>
  <si>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</si>
  <si>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</si>
  <si>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</si>
  <si>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</si>
  <si>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</si>
  <si>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</si>
  <si>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</si>
  <si>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</si>
  <si>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</si>
  <si>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</si>
  <si>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</si>
  <si>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</si>
  <si>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</si>
  <si>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</si>
  <si>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</si>
  <si>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</si>
  <si>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</si>
  <si>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</si>
  <si>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</si>
  <si>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</si>
  <si>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</si>
  <si>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</si>
  <si>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</si>
  <si>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</si>
  <si>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</si>
  <si>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</si>
  <si>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</si>
  <si>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</si>
  <si>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</si>
  <si>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</si>
  <si>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</si>
  <si>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</si>
  <si>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</si>
  <si>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</si>
  <si>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</si>
  <si>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</si>
  <si>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</si>
  <si>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</si>
  <si>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</si>
  <si>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</si>
  <si>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</si>
  <si>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</si>
  <si>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</si>
  <si>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</si>
  <si>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</si>
  <si>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</si>
  <si>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</si>
  <si>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</si>
  <si>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</si>
  <si>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</si>
  <si>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</si>
  <si>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</si>
  <si>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</si>
  <si>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</si>
  <si>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</si>
  <si>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</si>
  <si>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</si>
  <si>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</si>
  <si>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</si>
  <si>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</si>
  <si>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</si>
  <si>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</si>
  <si>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</si>
  <si>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</si>
  <si>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</si>
  <si>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</si>
  <si>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</si>
  <si>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</si>
  <si>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</si>
  <si>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</si>
  <si>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</si>
  <si>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</si>
  <si>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</si>
  <si>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</si>
  <si>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</si>
  <si>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</si>
  <si>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</si>
  <si>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</si>
  <si>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</si>
  <si>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</si>
  <si>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</si>
  <si>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</si>
  <si>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</si>
  <si>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</si>
  <si>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</si>
  <si>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</si>
  <si>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</si>
  <si>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</si>
  <si>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</si>
  <si>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</si>
  <si>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</si>
  <si>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</si>
  <si>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</si>
  <si>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</si>
  <si>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</si>
  <si>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</si>
  <si>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</si>
  <si>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6m( Double  Side) (Fascia)</t>
  </si>
  <si>
    <t>Counter (Laminated) (2.5+2) x 1.0 x 1.0</t>
  </si>
  <si>
    <t>Display Counter (Laminated)  7.0 x 0.4 x 1.0</t>
  </si>
  <si>
    <t>Bar Counter (Laminated)  5.0 x 0.6 x 1.0</t>
  </si>
  <si>
    <t>(Wooden) Hanging (5m x 5m)</t>
  </si>
  <si>
    <t>Backlit Graphic (1m x 1m x 0.5m H)</t>
  </si>
  <si>
    <t>Opt Nr:-  4</t>
  </si>
  <si>
    <t>Date:- 27-08-2025</t>
  </si>
  <si>
    <t>VIVA BANK</t>
  </si>
  <si>
    <t>EUROSHOP 2026</t>
  </si>
  <si>
    <t>10M X 10M</t>
  </si>
  <si>
    <t>100 SQM</t>
  </si>
  <si>
    <t>4M</t>
  </si>
  <si>
    <t>22-26 FEB, 2026</t>
  </si>
  <si>
    <t>DUSSELDORF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</si>
</sst>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1</xdr:rowOff>
    </xdr:from>
    <xdr:to>
      <xdr:col>1</xdr:col>
      <xdr:colOff>1057275</xdr:colOff>
      <xdr:row>268</xdr:row>
      <xdr:rowOff>98748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D1851-3CE0-46B2-9C63-5EB0BD49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14550" cy="149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C154" sqref="C15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132</v>
      </c>
      <c r="E1" s="20" t="s">
        <v>269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278</v>
      </c>
      <c r="C2" s="26" t="s">
        <v>152</v>
      </c>
      <c r="D2" s="27">
        <f>SUM(E3:E11)</f>
        <v>4022.2499999999995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1500.4499999999998</v>
      </c>
      <c r="F5" s="8"/>
      <c r="G5" s="8"/>
      <c r="H5" s="8"/>
      <c r="I5" s="9">
        <v>105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2400.2999999999997</v>
      </c>
      <c r="F8" s="8"/>
      <c r="G8" s="8"/>
      <c r="H8" s="8"/>
      <c r="I8" s="9">
        <v>105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121.5</v>
      </c>
      <c r="F9" s="8"/>
      <c r="G9" s="8"/>
      <c r="H9" s="8"/>
      <c r="I9" s="9">
        <v>30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279</v>
      </c>
      <c r="C12" s="26" t="s">
        <v>195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284</v>
      </c>
      <c r="C16" s="26" t="s">
        <v>185</v>
      </c>
      <c r="D16" s="27">
        <f>SUM(E17:E87)</f>
        <v>3481.8599999999997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32</v>
      </c>
      <c r="D33" s="7"/>
      <c r="E33" s="8">
        <f t="shared" si="1"/>
        <v>678.6</v>
      </c>
      <c r="F33" s="8">
        <v>1</v>
      </c>
      <c r="G33" s="8">
        <v>0.1</v>
      </c>
      <c r="H33" s="8">
        <v>4</v>
      </c>
      <c r="I33" s="9">
        <v>10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155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76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77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78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2:11" ht="15.95" hidden="1" customHeight="1" x14ac:dyDescent="0.25">
      <c r="C49" s="7" t="s">
        <v>96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2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2:11" ht="15.95" hidden="1" customHeight="1" x14ac:dyDescent="0.25">
      <c r="B55" s="29" t="s">
        <v>250</v>
      </c>
      <c r="C55" s="7" t="s">
        <v>36</v>
      </c>
      <c r="D55" s="7"/>
      <c r="E55" s="8">
        <f t="shared" si="2"/>
        <v>241.70999999999998</v>
      </c>
      <c r="F55" s="8">
        <v>1</v>
      </c>
      <c r="G55" s="8">
        <v>0.2</v>
      </c>
      <c r="H55" s="8">
        <v>3</v>
      </c>
      <c r="I55" s="9">
        <v>3</v>
      </c>
      <c r="J55" s="10" t="s">
        <v>157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2:11" ht="15.95" hidden="1" customHeight="1" x14ac:dyDescent="0.25">
      <c r="C59" s="7" t="s">
        <v>106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157</v>
      </c>
      <c r="K59" s="30">
        <v>95.24</v>
      </c>
    </row>
    <row r="60" spans="2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102.38</v>
      </c>
    </row>
    <row r="61" spans="2:11" ht="15.95" hidden="1" customHeight="1" x14ac:dyDescent="0.25">
      <c r="C61" s="7" t="s">
        <v>108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157</v>
      </c>
      <c r="K61" s="30">
        <v>117.14</v>
      </c>
    </row>
    <row r="62" spans="2:11" ht="15.95" hidden="1" customHeight="1" x14ac:dyDescent="0.25">
      <c r="C62" s="7" t="s">
        <v>79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142.86000000000001</v>
      </c>
    </row>
    <row r="63" spans="2:11" ht="15.95" hidden="1" customHeight="1" x14ac:dyDescent="0.25">
      <c r="B63" s="29" t="s">
        <v>250</v>
      </c>
      <c r="C63" s="7" t="s">
        <v>32</v>
      </c>
      <c r="D63" s="7"/>
      <c r="E63" s="8">
        <f t="shared" si="2"/>
        <v>288.87</v>
      </c>
      <c r="F63" s="8">
        <v>1</v>
      </c>
      <c r="G63" s="8">
        <v>0.2</v>
      </c>
      <c r="H63" s="8">
        <v>4</v>
      </c>
      <c r="I63" s="9">
        <v>3</v>
      </c>
      <c r="J63" s="10" t="s">
        <v>157</v>
      </c>
      <c r="K63" s="30">
        <v>96.29</v>
      </c>
    </row>
    <row r="64" spans="2:11" ht="15.95" hidden="1" customHeight="1" x14ac:dyDescent="0.25">
      <c r="B64" s="29" t="s">
        <v>250</v>
      </c>
      <c r="C64" s="7" t="s">
        <v>31</v>
      </c>
      <c r="D64" s="7"/>
      <c r="E64" s="8">
        <f t="shared" ref="E64" si="3">I64*K64</f>
        <v>882</v>
      </c>
      <c r="F64" s="8">
        <v>1</v>
      </c>
      <c r="G64" s="8">
        <v>0.2</v>
      </c>
      <c r="H64" s="8">
        <v>4</v>
      </c>
      <c r="I64" s="9">
        <v>7</v>
      </c>
      <c r="J64" s="10" t="s">
        <v>157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882</v>
      </c>
      <c r="F65" s="8">
        <v>1</v>
      </c>
      <c r="G65" s="8">
        <v>0.2</v>
      </c>
      <c r="H65" s="8">
        <v>4</v>
      </c>
      <c r="I65" s="9">
        <v>7</v>
      </c>
      <c r="J65" s="10" t="s">
        <v>157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130.94999999999999</v>
      </c>
    </row>
    <row r="70" spans="1:11" ht="15.95" hidden="1" customHeight="1" x14ac:dyDescent="0.25">
      <c r="C70" s="7" t="s">
        <v>109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140.47999999999999</v>
      </c>
    </row>
    <row r="71" spans="1:11" ht="15.95" hidden="1" customHeight="1" x14ac:dyDescent="0.25">
      <c r="C71" s="7" t="s">
        <v>139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145.24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167.86</v>
      </c>
    </row>
    <row r="75" spans="1:11" ht="15.95" hidden="1" customHeight="1" x14ac:dyDescent="0.25">
      <c r="C75" s="7" t="s">
        <v>111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116.29</v>
      </c>
    </row>
    <row r="77" spans="1:11" ht="15.95" hidden="1" customHeight="1" x14ac:dyDescent="0.25">
      <c r="C77" s="7" t="s">
        <v>270</v>
      </c>
      <c r="D77" s="7"/>
      <c r="E77" s="8">
        <f t="shared" si="2"/>
        <v>304.58</v>
      </c>
      <c r="F77" s="8">
        <v>1</v>
      </c>
      <c r="G77" s="8">
        <v>0.2</v>
      </c>
      <c r="H77" s="8">
        <v>6</v>
      </c>
      <c r="I77" s="9">
        <v>2</v>
      </c>
      <c r="J77" s="10" t="s">
        <v>157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204.1</v>
      </c>
      <c r="F80" s="24">
        <v>1</v>
      </c>
      <c r="G80" s="24"/>
      <c r="H80" s="24">
        <v>1</v>
      </c>
      <c r="I80" s="44">
        <v>26</v>
      </c>
      <c r="J80" s="25" t="s">
        <v>263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264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263</v>
      </c>
      <c r="K81" s="30">
        <v>15.7</v>
      </c>
    </row>
    <row r="82" spans="1:11" ht="15.95" hidden="1" customHeight="1" x14ac:dyDescent="0.25">
      <c r="C82" s="7" t="s">
        <v>96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97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283</v>
      </c>
      <c r="C88" s="26" t="s">
        <v>196</v>
      </c>
      <c r="D88" s="27">
        <f>SUM(E89:E109)</f>
        <v>2774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09" si="5">I89*K89</f>
        <v>1300</v>
      </c>
      <c r="F89" s="24"/>
      <c r="G89" s="24"/>
      <c r="H89" s="24"/>
      <c r="I89" s="24">
        <v>52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160</v>
      </c>
      <c r="F90" s="24"/>
      <c r="G90" s="24"/>
      <c r="H90" s="24"/>
      <c r="I90" s="24">
        <v>16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64</v>
      </c>
      <c r="F91" s="24"/>
      <c r="G91" s="24"/>
      <c r="H91" s="24"/>
      <c r="I91" s="24">
        <v>32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267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268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714.29</v>
      </c>
    </row>
    <row r="97" spans="1:11" s="4" customFormat="1" ht="15.95" hidden="1" customHeight="1" x14ac:dyDescent="0.25">
      <c r="B97" s="42"/>
      <c r="C97" s="7" t="s">
        <v>274</v>
      </c>
      <c r="D97" s="7"/>
      <c r="E97" s="24">
        <f t="shared" ref="E97" si="6">I97*K97</f>
        <v>1000</v>
      </c>
      <c r="F97" s="8"/>
      <c r="G97" s="8"/>
      <c r="H97" s="8"/>
      <c r="I97" s="8">
        <v>1</v>
      </c>
      <c r="J97" s="10" t="s">
        <v>167</v>
      </c>
      <c r="K97" s="48">
        <v>1000</v>
      </c>
    </row>
    <row r="98" spans="1:11" s="4" customFormat="1" ht="15.95" hidden="1" customHeight="1" x14ac:dyDescent="0.25">
      <c r="B98" s="42"/>
      <c r="C98" s="7" t="s">
        <v>275</v>
      </c>
      <c r="D98" s="7"/>
      <c r="E98" s="24">
        <f t="shared" si="5"/>
        <v>250</v>
      </c>
      <c r="F98" s="8"/>
      <c r="G98" s="8"/>
      <c r="H98" s="8"/>
      <c r="I98" s="8">
        <v>1</v>
      </c>
      <c r="J98" s="10" t="s">
        <v>167</v>
      </c>
      <c r="K98" s="48">
        <v>250</v>
      </c>
    </row>
    <row r="99" spans="1:11" s="4" customFormat="1" ht="15.95" hidden="1" customHeight="1" x14ac:dyDescent="0.25">
      <c r="B99" s="42"/>
      <c r="C99" s="7" t="s">
        <v>178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167</v>
      </c>
      <c r="K99" s="48">
        <v>250</v>
      </c>
    </row>
    <row r="100" spans="1:11" s="4" customFormat="1" ht="15.95" hidden="1" customHeight="1" x14ac:dyDescent="0.25">
      <c r="B100" s="42"/>
      <c r="C100" s="7" t="s">
        <v>23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167</v>
      </c>
      <c r="K100" s="48">
        <v>1166.67</v>
      </c>
    </row>
    <row r="101" spans="1:11" s="4" customFormat="1" ht="15.95" hidden="1" customHeight="1" x14ac:dyDescent="0.25">
      <c r="B101" s="42"/>
      <c r="C101" s="7" t="s">
        <v>134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167</v>
      </c>
      <c r="K101" s="48">
        <v>35.71</v>
      </c>
    </row>
    <row r="102" spans="1:11" s="4" customFormat="1" ht="15.95" hidden="1" customHeight="1" x14ac:dyDescent="0.25">
      <c r="B102" s="29" t="s">
        <v>250</v>
      </c>
      <c r="C102" s="7" t="s">
        <v>115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112</v>
      </c>
      <c r="K102" s="48">
        <v>23.33</v>
      </c>
    </row>
    <row r="103" spans="1:11" s="4" customFormat="1" ht="15.95" hidden="1" customHeight="1" x14ac:dyDescent="0.25">
      <c r="B103" s="29" t="s">
        <v>250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12.86</v>
      </c>
    </row>
    <row r="104" spans="1:11" s="4" customFormat="1" ht="15.95" hidden="1" customHeight="1" x14ac:dyDescent="0.25">
      <c r="B104" s="29" t="s">
        <v>250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11.9</v>
      </c>
    </row>
    <row r="105" spans="1:11" s="4" customFormat="1" ht="15.95" hidden="1" customHeight="1" x14ac:dyDescent="0.25">
      <c r="B105" s="29" t="s">
        <v>250</v>
      </c>
      <c r="C105" s="7" t="s">
        <v>119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167</v>
      </c>
      <c r="K105" s="48">
        <v>9.52</v>
      </c>
    </row>
    <row r="106" spans="1:11" s="4" customFormat="1" ht="15.95" hidden="1" customHeight="1" x14ac:dyDescent="0.25">
      <c r="C106" s="7" t="s">
        <v>253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112</v>
      </c>
      <c r="K106" s="48">
        <v>15.48</v>
      </c>
    </row>
    <row r="107" spans="1:11" s="4" customFormat="1" ht="15.95" hidden="1" customHeight="1" x14ac:dyDescent="0.25">
      <c r="C107" s="7" t="s">
        <v>116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112</v>
      </c>
      <c r="K107" s="48">
        <v>16.07</v>
      </c>
    </row>
    <row r="108" spans="1:11" s="4" customFormat="1" ht="15.95" hidden="1" customHeight="1" x14ac:dyDescent="0.25">
      <c r="C108" s="7" t="s">
        <v>120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167</v>
      </c>
      <c r="K108" s="48">
        <v>2142.86</v>
      </c>
    </row>
    <row r="109" spans="1:11" s="4" customFormat="1" ht="15.95" hidden="1" customHeight="1" x14ac:dyDescent="0.25">
      <c r="C109" s="7" t="s">
        <v>135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167</v>
      </c>
      <c r="K109" s="48">
        <v>11.9</v>
      </c>
    </row>
    <row r="110" spans="1:11" s="4" customFormat="1" ht="15.95" customHeight="1" x14ac:dyDescent="0.25">
      <c r="A110" s="21" t="s">
        <v>142</v>
      </c>
      <c r="B110" s="4" t="s">
        <v>280</v>
      </c>
      <c r="C110" s="26" t="s">
        <v>197</v>
      </c>
      <c r="D110" s="27">
        <f>SUM(E111:E133)</f>
        <v>1120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257</v>
      </c>
      <c r="D111" s="7"/>
      <c r="E111" s="8">
        <f t="shared" ref="E111:E133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262.86</v>
      </c>
    </row>
    <row r="112" spans="1:11" s="4" customFormat="1" ht="15.95" hidden="1" customHeight="1" x14ac:dyDescent="0.25">
      <c r="C112" s="7" t="s">
        <v>256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167</v>
      </c>
      <c r="K112" s="30">
        <v>564.6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7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167</v>
      </c>
      <c r="K113" s="30">
        <v>358.69</v>
      </c>
    </row>
    <row r="114" spans="2:11" s="4" customFormat="1" ht="15.95" hidden="1" customHeight="1" x14ac:dyDescent="0.25">
      <c r="C114" s="7" t="s">
        <v>258</v>
      </c>
      <c r="D114" s="7"/>
      <c r="E114" s="8">
        <f t="shared" si="7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167</v>
      </c>
      <c r="K114" s="30">
        <v>302.29000000000002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604.02</v>
      </c>
    </row>
    <row r="116" spans="2:11" s="4" customFormat="1" ht="15.95" hidden="1" customHeight="1" x14ac:dyDescent="0.25">
      <c r="C116" s="7" t="s">
        <v>271</v>
      </c>
      <c r="D116" s="7"/>
      <c r="E116" s="8">
        <f t="shared" ref="E116:E117" si="8">I116*K116</f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167</v>
      </c>
      <c r="K116" s="30">
        <v>423.86</v>
      </c>
    </row>
    <row r="117" spans="2:11" s="4" customFormat="1" ht="15.95" hidden="1" customHeight="1" x14ac:dyDescent="0.25">
      <c r="C117" s="7" t="s">
        <v>273</v>
      </c>
      <c r="D117" s="7"/>
      <c r="E117" s="8">
        <f t="shared" si="8"/>
        <v>470</v>
      </c>
      <c r="F117" s="8">
        <v>5</v>
      </c>
      <c r="G117" s="8">
        <v>0.6</v>
      </c>
      <c r="H117" s="8">
        <v>1</v>
      </c>
      <c r="I117" s="8">
        <v>1</v>
      </c>
      <c r="J117" s="10" t="s">
        <v>167</v>
      </c>
      <c r="K117" s="30">
        <v>470</v>
      </c>
    </row>
    <row r="118" spans="2:11" s="4" customFormat="1" ht="15.95" hidden="1" customHeight="1" x14ac:dyDescent="0.25">
      <c r="C118" s="7" t="s">
        <v>272</v>
      </c>
      <c r="D118" s="7"/>
      <c r="E118" s="8">
        <f t="shared" si="7"/>
        <v>650</v>
      </c>
      <c r="F118" s="8">
        <v>7</v>
      </c>
      <c r="G118" s="8">
        <v>0.4</v>
      </c>
      <c r="H118" s="8">
        <v>1</v>
      </c>
      <c r="I118" s="8">
        <v>1</v>
      </c>
      <c r="J118" s="10" t="s">
        <v>167</v>
      </c>
      <c r="K118" s="30">
        <v>650</v>
      </c>
    </row>
    <row r="119" spans="2:11" s="4" customFormat="1" ht="15.95" hidden="1" customHeight="1" x14ac:dyDescent="0.25">
      <c r="C119" s="7" t="s">
        <v>158</v>
      </c>
      <c r="D119" s="7"/>
      <c r="E119" s="8">
        <f t="shared" si="7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167</v>
      </c>
      <c r="K119" s="30">
        <v>595.24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167</v>
      </c>
      <c r="K120" s="30">
        <v>161.9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167</v>
      </c>
      <c r="K121" s="30">
        <v>190.48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167</v>
      </c>
      <c r="K122" s="30">
        <v>216.67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167</v>
      </c>
      <c r="K123" s="30">
        <v>154.76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167</v>
      </c>
      <c r="K124" s="30">
        <v>177.98</v>
      </c>
    </row>
    <row r="125" spans="2:11" s="4" customFormat="1" ht="15.95" hidden="1" customHeight="1" x14ac:dyDescent="0.25">
      <c r="C125" s="7" t="s">
        <v>203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167</v>
      </c>
      <c r="K125" s="30">
        <v>260.12</v>
      </c>
    </row>
    <row r="126" spans="2:11" s="4" customFormat="1" ht="15.95" hidden="1" customHeight="1" x14ac:dyDescent="0.25">
      <c r="B126" s="29" t="s">
        <v>250</v>
      </c>
      <c r="C126" s="7" t="s">
        <v>121</v>
      </c>
      <c r="D126" s="7"/>
      <c r="E126" s="8">
        <f t="shared" si="7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167</v>
      </c>
      <c r="K126" s="30">
        <v>210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167</v>
      </c>
      <c r="K127" s="30">
        <v>223.81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167</v>
      </c>
      <c r="K128" s="30">
        <v>65</v>
      </c>
    </row>
    <row r="129" spans="1:11" s="4" customFormat="1" ht="15.95" hidden="1" customHeight="1" x14ac:dyDescent="0.25">
      <c r="C129" s="7" t="s">
        <v>128</v>
      </c>
      <c r="D129" s="7"/>
      <c r="E129" s="8">
        <f t="shared" si="7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167</v>
      </c>
      <c r="K129" s="30">
        <v>35</v>
      </c>
    </row>
    <row r="130" spans="1:11" s="4" customFormat="1" ht="15.95" hidden="1" customHeight="1" x14ac:dyDescent="0.25">
      <c r="B130" s="29" t="s">
        <v>250</v>
      </c>
      <c r="C130" s="7" t="s">
        <v>55</v>
      </c>
      <c r="D130" s="7"/>
      <c r="E130" s="8">
        <f t="shared" si="7"/>
        <v>0</v>
      </c>
      <c r="F130" s="8"/>
      <c r="G130" s="8"/>
      <c r="H130" s="8"/>
      <c r="I130" s="8">
        <v>0</v>
      </c>
      <c r="J130" s="10" t="s">
        <v>167</v>
      </c>
      <c r="K130" s="30">
        <v>12</v>
      </c>
    </row>
    <row r="131" spans="1:11" s="4" customFormat="1" ht="15.95" hidden="1" customHeight="1" x14ac:dyDescent="0.25">
      <c r="C131" s="7" t="s">
        <v>131</v>
      </c>
      <c r="D131" s="7"/>
      <c r="E131" s="8">
        <f t="shared" si="7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112</v>
      </c>
      <c r="K131" s="30">
        <v>21.9</v>
      </c>
    </row>
    <row r="132" spans="1:11" s="4" customFormat="1" ht="15.95" hidden="1" customHeight="1" x14ac:dyDescent="0.25">
      <c r="C132" s="7" t="s">
        <v>204</v>
      </c>
      <c r="D132" s="7"/>
      <c r="E132" s="8">
        <f t="shared" si="7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167</v>
      </c>
      <c r="K132" s="30">
        <v>177.98</v>
      </c>
    </row>
    <row r="133" spans="1:11" s="4" customFormat="1" ht="15.95" hidden="1" customHeight="1" x14ac:dyDescent="0.25">
      <c r="C133" s="7" t="s">
        <v>179</v>
      </c>
      <c r="D133" s="7"/>
      <c r="E133" s="8">
        <f t="shared" si="7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167</v>
      </c>
      <c r="K133" s="30">
        <v>383.33</v>
      </c>
    </row>
    <row r="134" spans="1:11" s="4" customFormat="1" ht="15.95" customHeight="1" x14ac:dyDescent="0.25">
      <c r="A134" s="21" t="s">
        <v>144</v>
      </c>
      <c r="B134" s="4" t="s">
        <v>281</v>
      </c>
      <c r="C134" s="26" t="s">
        <v>205</v>
      </c>
      <c r="D134" s="27">
        <f>SUM(E135:E145)</f>
        <v>35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250</v>
      </c>
      <c r="C135" s="7" t="s">
        <v>49</v>
      </c>
      <c r="D135" s="7"/>
      <c r="E135" s="8">
        <f t="shared" ref="E135:E145" si="9">I135*K135</f>
        <v>35</v>
      </c>
      <c r="F135" s="12"/>
      <c r="G135" s="12"/>
      <c r="H135" s="12"/>
      <c r="I135" s="8">
        <v>1</v>
      </c>
      <c r="J135" s="10" t="s">
        <v>167</v>
      </c>
      <c r="K135" s="30">
        <v>35</v>
      </c>
    </row>
    <row r="136" spans="1:11" s="4" customFormat="1" ht="15.95" hidden="1" customHeight="1" x14ac:dyDescent="0.25">
      <c r="B136" s="29" t="s">
        <v>250</v>
      </c>
      <c r="C136" s="7" t="s">
        <v>50</v>
      </c>
      <c r="D136" s="7"/>
      <c r="E136" s="8">
        <f t="shared" si="9"/>
        <v>0</v>
      </c>
      <c r="F136" s="8"/>
      <c r="G136" s="8"/>
      <c r="H136" s="8"/>
      <c r="I136" s="8">
        <v>0</v>
      </c>
      <c r="J136" s="10" t="s">
        <v>167</v>
      </c>
      <c r="K136" s="30">
        <v>50</v>
      </c>
    </row>
    <row r="137" spans="1:11" s="4" customFormat="1" ht="15.95" hidden="1" customHeight="1" x14ac:dyDescent="0.25">
      <c r="B137" s="29" t="s">
        <v>250</v>
      </c>
      <c r="C137" s="7" t="s">
        <v>72</v>
      </c>
      <c r="D137" s="7"/>
      <c r="E137" s="8">
        <f t="shared" si="9"/>
        <v>0</v>
      </c>
      <c r="F137" s="8">
        <v>1</v>
      </c>
      <c r="G137" s="8">
        <v>0</v>
      </c>
      <c r="H137" s="8">
        <v>2</v>
      </c>
      <c r="I137" s="8">
        <v>0</v>
      </c>
      <c r="J137" s="10" t="s">
        <v>167</v>
      </c>
      <c r="K137" s="30">
        <v>119.05</v>
      </c>
    </row>
    <row r="138" spans="1:11" s="4" customFormat="1" ht="15.95" hidden="1" customHeight="1" x14ac:dyDescent="0.25">
      <c r="C138" s="7" t="s">
        <v>52</v>
      </c>
      <c r="D138" s="7"/>
      <c r="E138" s="8">
        <f t="shared" si="9"/>
        <v>0</v>
      </c>
      <c r="F138" s="8">
        <v>1</v>
      </c>
      <c r="G138" s="8">
        <v>1</v>
      </c>
      <c r="H138" s="8"/>
      <c r="I138" s="8">
        <v>0</v>
      </c>
      <c r="J138" s="10" t="s">
        <v>112</v>
      </c>
      <c r="K138" s="30">
        <v>13.1</v>
      </c>
    </row>
    <row r="139" spans="1:11" s="4" customFormat="1" ht="15.95" hidden="1" customHeight="1" x14ac:dyDescent="0.25">
      <c r="C139" s="7" t="s">
        <v>123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112</v>
      </c>
      <c r="K139" s="30">
        <v>28.57</v>
      </c>
    </row>
    <row r="140" spans="1:11" s="4" customFormat="1" ht="15.95" hidden="1" customHeight="1" x14ac:dyDescent="0.25">
      <c r="C140" s="7" t="s">
        <v>75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167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167</v>
      </c>
      <c r="K141" s="30">
        <v>136.9</v>
      </c>
    </row>
    <row r="142" spans="1:11" s="4" customFormat="1" ht="15.95" hidden="1" customHeight="1" x14ac:dyDescent="0.25">
      <c r="C142" s="7" t="s">
        <v>172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112</v>
      </c>
      <c r="K142" s="30">
        <v>22.62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112</v>
      </c>
      <c r="K143" s="30">
        <v>83.33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112</v>
      </c>
      <c r="K144" s="30">
        <v>32.14</v>
      </c>
    </row>
    <row r="145" spans="1:11" s="4" customFormat="1" ht="15.95" hidden="1" customHeight="1" x14ac:dyDescent="0.25">
      <c r="C145" s="7" t="s">
        <v>165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112</v>
      </c>
      <c r="K145" s="30">
        <v>38.1</v>
      </c>
    </row>
    <row r="146" spans="1:11" s="4" customFormat="1" ht="15.95" customHeight="1" x14ac:dyDescent="0.25">
      <c r="A146" s="21" t="s">
        <v>143</v>
      </c>
      <c r="B146" s="4" t="s">
        <v>282</v>
      </c>
      <c r="C146" s="26" t="s">
        <v>206</v>
      </c>
      <c r="D146" s="27">
        <f>SUM(E147:E153)</f>
        <v>100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21</v>
      </c>
      <c r="D147" s="7"/>
      <c r="E147" s="8">
        <f t="shared" ref="E147:E153" si="10">I147*K147</f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167</v>
      </c>
      <c r="K147" s="30">
        <v>109.52</v>
      </c>
    </row>
    <row r="148" spans="1:11" s="4" customFormat="1" ht="15.95" hidden="1" customHeight="1" x14ac:dyDescent="0.25">
      <c r="C148" s="7" t="s">
        <v>87</v>
      </c>
      <c r="D148" s="7"/>
      <c r="E148" s="8">
        <f t="shared" si="10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167</v>
      </c>
      <c r="K148" s="30">
        <v>219.05</v>
      </c>
    </row>
    <row r="149" spans="1:11" s="4" customFormat="1" ht="15.95" hidden="1" customHeight="1" x14ac:dyDescent="0.25">
      <c r="C149" s="7" t="s">
        <v>181</v>
      </c>
      <c r="D149" s="7"/>
      <c r="E149" s="8">
        <f t="shared" si="10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167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si="10"/>
        <v>100</v>
      </c>
      <c r="F150" s="8">
        <v>0</v>
      </c>
      <c r="G150" s="8">
        <v>0</v>
      </c>
      <c r="H150" s="8">
        <v>0</v>
      </c>
      <c r="I150" s="8">
        <v>4</v>
      </c>
      <c r="J150" s="10" t="s">
        <v>167</v>
      </c>
      <c r="K150" s="30">
        <v>25</v>
      </c>
    </row>
    <row r="151" spans="1:11" s="4" customFormat="1" ht="15.95" hidden="1" customHeight="1" x14ac:dyDescent="0.25">
      <c r="B151" s="29" t="s">
        <v>250</v>
      </c>
      <c r="C151" s="7" t="s">
        <v>73</v>
      </c>
      <c r="D151" s="7"/>
      <c r="E151" s="8">
        <f t="shared" si="10"/>
        <v>0</v>
      </c>
      <c r="F151" s="8">
        <v>0.5</v>
      </c>
      <c r="G151" s="8">
        <v>0.5</v>
      </c>
      <c r="H151" s="8"/>
      <c r="I151" s="8">
        <v>0</v>
      </c>
      <c r="J151" s="10" t="s">
        <v>112</v>
      </c>
      <c r="K151" s="30">
        <v>25</v>
      </c>
    </row>
    <row r="152" spans="1:11" s="4" customFormat="1" ht="15.95" hidden="1" customHeight="1" x14ac:dyDescent="0.25">
      <c r="C152" s="7" t="s">
        <v>92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167</v>
      </c>
      <c r="K152" s="30">
        <v>25</v>
      </c>
    </row>
    <row r="153" spans="1:11" s="4" customFormat="1" ht="15.95" hidden="1" customHeight="1" x14ac:dyDescent="0.25">
      <c r="C153" s="7" t="s">
        <v>249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167</v>
      </c>
      <c r="K153" s="30">
        <v>20</v>
      </c>
    </row>
    <row r="154" spans="1:11" s="4" customFormat="1" ht="15.95" customHeight="1" x14ac:dyDescent="0.25">
      <c r="C154" s="26" t="s">
        <v>133</v>
      </c>
      <c r="D154" s="27">
        <f>SUM(E155:E167)</f>
        <v>754.78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250</v>
      </c>
      <c r="C155" s="7" t="s">
        <v>19</v>
      </c>
      <c r="D155" s="7"/>
      <c r="E155" s="8">
        <f t="shared" ref="E155:E167" si="11">I155*K155</f>
        <v>119</v>
      </c>
      <c r="F155" s="8"/>
      <c r="G155" s="8"/>
      <c r="H155" s="8"/>
      <c r="I155" s="8">
        <v>10</v>
      </c>
      <c r="J155" s="10" t="s">
        <v>167</v>
      </c>
      <c r="K155" s="30">
        <v>11.9</v>
      </c>
    </row>
    <row r="156" spans="1:11" s="4" customFormat="1" ht="15.95" hidden="1" customHeight="1" x14ac:dyDescent="0.25">
      <c r="B156" s="29" t="s">
        <v>250</v>
      </c>
      <c r="C156" s="7" t="s">
        <v>62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167</v>
      </c>
      <c r="K156" s="30">
        <v>50</v>
      </c>
    </row>
    <row r="157" spans="1:11" s="4" customFormat="1" ht="15.95" hidden="1" customHeight="1" x14ac:dyDescent="0.25">
      <c r="B157" s="29" t="s">
        <v>250</v>
      </c>
      <c r="C157" s="7" t="s">
        <v>63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167</v>
      </c>
      <c r="K157" s="30">
        <v>65</v>
      </c>
    </row>
    <row r="158" spans="1:11" s="4" customFormat="1" ht="15.95" hidden="1" customHeight="1" x14ac:dyDescent="0.25">
      <c r="C158" s="7" t="s">
        <v>83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167</v>
      </c>
      <c r="K158" s="30">
        <v>23.81</v>
      </c>
    </row>
    <row r="159" spans="1:11" s="4" customFormat="1" ht="15.95" hidden="1" customHeight="1" x14ac:dyDescent="0.25">
      <c r="C159" s="7" t="s">
        <v>84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167</v>
      </c>
      <c r="K159" s="30">
        <v>14.29</v>
      </c>
    </row>
    <row r="160" spans="1:11" s="4" customFormat="1" ht="15.95" hidden="1" customHeight="1" x14ac:dyDescent="0.25">
      <c r="B160" s="29" t="s">
        <v>250</v>
      </c>
      <c r="C160" s="7" t="s">
        <v>64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167</v>
      </c>
      <c r="K160" s="30">
        <v>10</v>
      </c>
    </row>
    <row r="161" spans="2:11" s="4" customFormat="1" ht="15.95" hidden="1" customHeight="1" x14ac:dyDescent="0.25">
      <c r="B161" s="29" t="s">
        <v>250</v>
      </c>
      <c r="C161" s="7" t="s">
        <v>18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167</v>
      </c>
      <c r="K161" s="30">
        <v>10</v>
      </c>
    </row>
    <row r="162" spans="2:11" s="4" customFormat="1" ht="15.95" hidden="1" customHeight="1" x14ac:dyDescent="0.25">
      <c r="C162" s="7" t="s">
        <v>51</v>
      </c>
      <c r="D162" s="7"/>
      <c r="E162" s="8">
        <f t="shared" si="11"/>
        <v>100</v>
      </c>
      <c r="F162" s="12"/>
      <c r="G162" s="12"/>
      <c r="H162" s="12"/>
      <c r="I162" s="8">
        <v>20</v>
      </c>
      <c r="J162" s="10" t="s">
        <v>167</v>
      </c>
      <c r="K162" s="30">
        <v>5</v>
      </c>
    </row>
    <row r="163" spans="2:11" s="4" customFormat="1" ht="15.95" hidden="1" customHeight="1" x14ac:dyDescent="0.25">
      <c r="B163" s="29" t="s">
        <v>250</v>
      </c>
      <c r="C163" s="7" t="s">
        <v>17</v>
      </c>
      <c r="D163" s="7"/>
      <c r="E163" s="8">
        <f t="shared" si="11"/>
        <v>142.80000000000001</v>
      </c>
      <c r="F163" s="8"/>
      <c r="G163" s="8"/>
      <c r="H163" s="8"/>
      <c r="I163" s="8">
        <v>12</v>
      </c>
      <c r="J163" s="10" t="s">
        <v>167</v>
      </c>
      <c r="K163" s="30">
        <v>11.9</v>
      </c>
    </row>
    <row r="164" spans="2:11" s="4" customFormat="1" ht="15.95" hidden="1" customHeight="1" x14ac:dyDescent="0.25">
      <c r="C164" s="7" t="s">
        <v>56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167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167</v>
      </c>
      <c r="K165" s="30">
        <v>2.38</v>
      </c>
    </row>
    <row r="166" spans="2:11" ht="15.95" hidden="1" customHeight="1" x14ac:dyDescent="0.25">
      <c r="C166" s="7" t="s">
        <v>189</v>
      </c>
      <c r="D166" s="7"/>
      <c r="E166" s="8">
        <f t="shared" si="11"/>
        <v>202.5</v>
      </c>
      <c r="F166" s="8"/>
      <c r="G166" s="8"/>
      <c r="H166" s="8"/>
      <c r="I166" s="8">
        <v>50</v>
      </c>
      <c r="J166" s="10" t="s">
        <v>151</v>
      </c>
      <c r="K166" s="30">
        <v>4.05</v>
      </c>
    </row>
    <row r="167" spans="2:11" s="4" customFormat="1" ht="15.95" hidden="1" customHeight="1" x14ac:dyDescent="0.25">
      <c r="C167" s="7" t="s">
        <v>159</v>
      </c>
      <c r="D167" s="7"/>
      <c r="E167" s="8">
        <f t="shared" si="11"/>
        <v>190.48</v>
      </c>
      <c r="F167" s="8"/>
      <c r="G167" s="8"/>
      <c r="H167" s="8"/>
      <c r="I167" s="8">
        <v>1</v>
      </c>
      <c r="J167" s="10" t="s">
        <v>167</v>
      </c>
      <c r="K167" s="30">
        <v>190.48</v>
      </c>
    </row>
    <row r="168" spans="2:11" s="4" customFormat="1" ht="15.95" customHeight="1" x14ac:dyDescent="0.25">
      <c r="C168" s="26" t="s">
        <v>207</v>
      </c>
      <c r="D168" s="27">
        <f>SUM(E169:E210)</f>
        <v>1048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2">I169*K169</f>
        <v>105</v>
      </c>
      <c r="F169" s="12"/>
      <c r="G169" s="12"/>
      <c r="H169" s="12"/>
      <c r="I169" s="8">
        <v>7</v>
      </c>
      <c r="J169" s="10" t="s">
        <v>167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2"/>
        <v>240</v>
      </c>
      <c r="F170" s="12"/>
      <c r="G170" s="12"/>
      <c r="H170" s="12"/>
      <c r="I170" s="8">
        <v>20</v>
      </c>
      <c r="J170" s="10" t="s">
        <v>167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2"/>
        <v>100</v>
      </c>
      <c r="F171" s="12"/>
      <c r="G171" s="12"/>
      <c r="H171" s="12"/>
      <c r="I171" s="8">
        <v>5</v>
      </c>
      <c r="J171" s="10" t="s">
        <v>167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82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167</v>
      </c>
      <c r="K173" s="30">
        <v>15</v>
      </c>
    </row>
    <row r="174" spans="2:11" s="4" customFormat="1" ht="15.95" hidden="1" customHeight="1" x14ac:dyDescent="0.25">
      <c r="C174" s="7" t="s">
        <v>180</v>
      </c>
      <c r="D174" s="7"/>
      <c r="E174" s="8">
        <f t="shared" si="12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167</v>
      </c>
      <c r="K174" s="30">
        <v>385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2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167</v>
      </c>
      <c r="K175" s="30">
        <v>130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2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167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390</v>
      </c>
      <c r="F177" s="12"/>
      <c r="G177" s="12"/>
      <c r="H177" s="12"/>
      <c r="I177" s="8">
        <v>6</v>
      </c>
      <c r="J177" s="10" t="s">
        <v>167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167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167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167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2"/>
        <v>40</v>
      </c>
      <c r="F181" s="12"/>
      <c r="G181" s="12"/>
      <c r="H181" s="12"/>
      <c r="I181" s="8">
        <v>5</v>
      </c>
      <c r="J181" s="10" t="s">
        <v>167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167</v>
      </c>
      <c r="K182" s="30">
        <v>15</v>
      </c>
    </row>
    <row r="183" spans="3:11" s="4" customFormat="1" ht="15.95" hidden="1" customHeight="1" x14ac:dyDescent="0.25">
      <c r="C183" s="7" t="s">
        <v>191</v>
      </c>
      <c r="D183" s="7"/>
      <c r="E183" s="8">
        <f t="shared" si="12"/>
        <v>105</v>
      </c>
      <c r="F183" s="12"/>
      <c r="G183" s="12"/>
      <c r="H183" s="12"/>
      <c r="I183" s="8">
        <v>3</v>
      </c>
      <c r="J183" s="10" t="s">
        <v>167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167</v>
      </c>
      <c r="K184" s="30">
        <v>85</v>
      </c>
    </row>
    <row r="185" spans="3:11" s="4" customFormat="1" ht="15.95" hidden="1" customHeight="1" x14ac:dyDescent="0.25">
      <c r="C185" s="7" t="s">
        <v>58</v>
      </c>
      <c r="D185" s="7"/>
      <c r="E185" s="8">
        <f t="shared" si="12"/>
        <v>35</v>
      </c>
      <c r="F185" s="12"/>
      <c r="G185" s="12"/>
      <c r="H185" s="12"/>
      <c r="I185" s="8">
        <v>1</v>
      </c>
      <c r="J185" s="10" t="s">
        <v>167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167</v>
      </c>
      <c r="K186" s="30">
        <v>25</v>
      </c>
    </row>
    <row r="187" spans="3:11" s="4" customFormat="1" ht="15.95" hidden="1" customHeight="1" x14ac:dyDescent="0.25">
      <c r="C187" s="7" t="s">
        <v>136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167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167</v>
      </c>
      <c r="K188" s="30">
        <v>12</v>
      </c>
    </row>
    <row r="189" spans="3:11" s="4" customFormat="1" ht="15.95" hidden="1" customHeight="1" x14ac:dyDescent="0.25">
      <c r="C189" s="7" t="s">
        <v>48</v>
      </c>
      <c r="D189" s="7"/>
      <c r="E189" s="8">
        <f t="shared" si="12"/>
        <v>25</v>
      </c>
      <c r="F189" s="12"/>
      <c r="G189" s="12"/>
      <c r="H189" s="12"/>
      <c r="I189" s="8">
        <v>1</v>
      </c>
      <c r="J189" s="10" t="s">
        <v>167</v>
      </c>
      <c r="K189" s="30">
        <v>25</v>
      </c>
    </row>
    <row r="190" spans="3:11" s="4" customFormat="1" ht="15.95" hidden="1" customHeight="1" x14ac:dyDescent="0.25">
      <c r="C190" s="7" t="s">
        <v>54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167</v>
      </c>
      <c r="K190" s="30">
        <v>150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167</v>
      </c>
      <c r="K191" s="30">
        <v>15</v>
      </c>
    </row>
    <row r="192" spans="3:11" s="4" customFormat="1" ht="15.95" hidden="1" customHeight="1" x14ac:dyDescent="0.25">
      <c r="C192" s="7" t="s">
        <v>160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167</v>
      </c>
      <c r="K192" s="30">
        <v>15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167</v>
      </c>
      <c r="K193" s="30">
        <v>600</v>
      </c>
    </row>
    <row r="194" spans="2:11" s="4" customFormat="1" ht="15.95" hidden="1" customHeight="1" x14ac:dyDescent="0.25">
      <c r="C194" s="7" t="s">
        <v>210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167</v>
      </c>
      <c r="K194" s="30">
        <v>85</v>
      </c>
    </row>
    <row r="195" spans="2:11" s="4" customFormat="1" ht="15.95" hidden="1" customHeight="1" x14ac:dyDescent="0.25">
      <c r="C195" s="7" t="s">
        <v>259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167</v>
      </c>
      <c r="K195" s="30">
        <v>210</v>
      </c>
    </row>
    <row r="196" spans="2:11" s="4" customFormat="1" ht="15.95" hidden="1" customHeight="1" x14ac:dyDescent="0.25">
      <c r="C196" s="7" t="s">
        <v>88</v>
      </c>
      <c r="D196" s="7"/>
      <c r="E196" s="8">
        <f t="shared" si="12"/>
        <v>8</v>
      </c>
      <c r="F196" s="8"/>
      <c r="G196" s="8"/>
      <c r="H196" s="8"/>
      <c r="I196" s="8">
        <v>1</v>
      </c>
      <c r="J196" s="10" t="s">
        <v>167</v>
      </c>
      <c r="K196" s="30">
        <v>8</v>
      </c>
    </row>
    <row r="197" spans="2:11" s="4" customFormat="1" ht="15.95" hidden="1" customHeight="1" x14ac:dyDescent="0.25">
      <c r="C197" s="7" t="s">
        <v>74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167</v>
      </c>
      <c r="K197" s="30">
        <v>15</v>
      </c>
    </row>
    <row r="198" spans="2:11" s="4" customFormat="1" ht="15.95" hidden="1" customHeight="1" x14ac:dyDescent="0.25">
      <c r="C198" s="7" t="s">
        <v>85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167</v>
      </c>
      <c r="K198" s="30">
        <v>15</v>
      </c>
    </row>
    <row r="199" spans="2:11" s="4" customFormat="1" ht="15.95" hidden="1" customHeight="1" x14ac:dyDescent="0.25">
      <c r="B199" s="29" t="s">
        <v>250</v>
      </c>
      <c r="C199" s="7" t="s">
        <v>86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167</v>
      </c>
      <c r="K199" s="30">
        <v>25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167</v>
      </c>
      <c r="K200" s="30">
        <v>85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167</v>
      </c>
      <c r="K201" s="30">
        <v>15</v>
      </c>
    </row>
    <row r="202" spans="2:11" s="4" customFormat="1" ht="15.95" hidden="1" customHeight="1" x14ac:dyDescent="0.25">
      <c r="C202" s="7" t="s">
        <v>91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167</v>
      </c>
      <c r="K202" s="30">
        <v>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167</v>
      </c>
      <c r="K203" s="30">
        <v>12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167</v>
      </c>
      <c r="K204" s="30">
        <v>25</v>
      </c>
    </row>
    <row r="205" spans="2:11" s="4" customFormat="1" ht="15.95" hidden="1" customHeight="1" x14ac:dyDescent="0.25">
      <c r="C205" s="7" t="s">
        <v>95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167</v>
      </c>
      <c r="K205" s="30">
        <v>20</v>
      </c>
    </row>
    <row r="206" spans="2:11" s="4" customFormat="1" ht="15.95" hidden="1" customHeight="1" x14ac:dyDescent="0.25">
      <c r="C206" s="7" t="s">
        <v>122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167</v>
      </c>
      <c r="K206" s="30">
        <v>6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167</v>
      </c>
      <c r="K207" s="30">
        <v>3</v>
      </c>
    </row>
    <row r="208" spans="2:11" s="4" customFormat="1" ht="15.95" hidden="1" customHeight="1" x14ac:dyDescent="0.25">
      <c r="C208" s="7" t="s">
        <v>125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167</v>
      </c>
      <c r="K208" s="30">
        <v>35</v>
      </c>
    </row>
    <row r="209" spans="3:11" s="4" customFormat="1" ht="15.95" hidden="1" customHeight="1" x14ac:dyDescent="0.25">
      <c r="C209" s="7" t="s">
        <v>248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167</v>
      </c>
      <c r="K209" s="30">
        <v>20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167</v>
      </c>
      <c r="K210" s="30">
        <v>85</v>
      </c>
    </row>
    <row r="211" spans="3:11" s="4" customFormat="1" ht="15.95" customHeight="1" x14ac:dyDescent="0.25">
      <c r="C211" s="26" t="s">
        <v>184</v>
      </c>
      <c r="D211" s="27">
        <f>SUM(E212:E222)</f>
        <v>1280.04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245</v>
      </c>
      <c r="D212" s="7"/>
      <c r="E212" s="8">
        <f t="shared" ref="E212:E222" si="13">I212*K212</f>
        <v>0</v>
      </c>
      <c r="F212" s="8">
        <v>1</v>
      </c>
      <c r="G212" s="8">
        <v>1</v>
      </c>
      <c r="H212" s="12"/>
      <c r="I212" s="8">
        <v>0</v>
      </c>
      <c r="J212" s="10" t="s">
        <v>112</v>
      </c>
      <c r="K212" s="30">
        <v>10.71</v>
      </c>
    </row>
    <row r="213" spans="3:11" s="4" customFormat="1" ht="15.95" hidden="1" customHeight="1" x14ac:dyDescent="0.25">
      <c r="C213" s="7" t="s">
        <v>244</v>
      </c>
      <c r="D213" s="7"/>
      <c r="E213" s="8">
        <f t="shared" si="13"/>
        <v>433.44</v>
      </c>
      <c r="F213" s="8">
        <v>1</v>
      </c>
      <c r="G213" s="8">
        <v>1</v>
      </c>
      <c r="H213" s="12"/>
      <c r="I213" s="8">
        <v>28</v>
      </c>
      <c r="J213" s="10" t="s">
        <v>112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3"/>
        <v>325.08</v>
      </c>
      <c r="F214" s="8">
        <v>1</v>
      </c>
      <c r="G214" s="8">
        <v>1</v>
      </c>
      <c r="H214" s="12"/>
      <c r="I214" s="8">
        <v>21</v>
      </c>
      <c r="J214" s="10" t="s">
        <v>112</v>
      </c>
      <c r="K214" s="30">
        <v>15.48</v>
      </c>
    </row>
    <row r="215" spans="3:11" s="4" customFormat="1" ht="15.95" hidden="1" customHeight="1" x14ac:dyDescent="0.25">
      <c r="C215" s="7" t="s">
        <v>192</v>
      </c>
      <c r="D215" s="7"/>
      <c r="E215" s="8">
        <f t="shared" si="13"/>
        <v>235.79999999999998</v>
      </c>
      <c r="F215" s="8">
        <v>1</v>
      </c>
      <c r="G215" s="8">
        <v>1</v>
      </c>
      <c r="H215" s="12"/>
      <c r="I215" s="8">
        <v>18</v>
      </c>
      <c r="J215" s="10" t="s">
        <v>112</v>
      </c>
      <c r="K215" s="30">
        <v>13.1</v>
      </c>
    </row>
    <row r="216" spans="3:11" s="4" customFormat="1" ht="15.95" hidden="1" customHeight="1" x14ac:dyDescent="0.25">
      <c r="C216" s="7" t="s">
        <v>260</v>
      </c>
      <c r="D216" s="7"/>
      <c r="E216" s="8">
        <f t="shared" si="13"/>
        <v>285.71999999999997</v>
      </c>
      <c r="F216" s="8">
        <v>1</v>
      </c>
      <c r="G216" s="8">
        <v>1</v>
      </c>
      <c r="H216" s="12"/>
      <c r="I216" s="8">
        <v>3</v>
      </c>
      <c r="J216" s="10" t="s">
        <v>112</v>
      </c>
      <c r="K216" s="30">
        <v>95.24</v>
      </c>
    </row>
    <row r="217" spans="3:11" s="4" customFormat="1" ht="15.95" hidden="1" customHeight="1" x14ac:dyDescent="0.25">
      <c r="C217" s="7" t="s">
        <v>261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47.62</v>
      </c>
    </row>
    <row r="218" spans="3:11" s="4" customFormat="1" ht="15.95" hidden="1" customHeight="1" x14ac:dyDescent="0.25">
      <c r="C218" s="7" t="s">
        <v>71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35.71</v>
      </c>
    </row>
    <row r="219" spans="3:11" s="4" customFormat="1" ht="15.95" hidden="1" customHeight="1" x14ac:dyDescent="0.25">
      <c r="C219" s="7" t="s">
        <v>123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28.57</v>
      </c>
    </row>
    <row r="220" spans="3:11" s="4" customFormat="1" ht="15.95" hidden="1" customHeight="1" x14ac:dyDescent="0.25">
      <c r="C220" s="7" t="s">
        <v>52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13.1</v>
      </c>
    </row>
    <row r="221" spans="3:11" s="4" customFormat="1" ht="15.95" hidden="1" customHeight="1" x14ac:dyDescent="0.25">
      <c r="C221" s="7" t="s">
        <v>246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10.71</v>
      </c>
    </row>
    <row r="223" spans="3:11" s="4" customFormat="1" ht="15.95" customHeight="1" x14ac:dyDescent="0.25">
      <c r="C223" s="26" t="s">
        <v>183</v>
      </c>
      <c r="D223" s="27">
        <f>SUM(E224:E262)</f>
        <v>6300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22</v>
      </c>
      <c r="D224" s="7"/>
      <c r="E224" s="8">
        <f t="shared" ref="E224:E262" si="14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167</v>
      </c>
      <c r="K224" s="30">
        <v>320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167</v>
      </c>
      <c r="K225" s="30">
        <v>210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167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167</v>
      </c>
      <c r="K227" s="30">
        <v>180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167</v>
      </c>
      <c r="K228" s="30">
        <v>110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167</v>
      </c>
      <c r="K229" s="30">
        <v>310</v>
      </c>
    </row>
    <row r="230" spans="3:11" s="4" customFormat="1" ht="15.95" hidden="1" customHeight="1" x14ac:dyDescent="0.25">
      <c r="C230" s="7" t="s">
        <v>219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167</v>
      </c>
      <c r="K230" s="30">
        <v>160</v>
      </c>
    </row>
    <row r="231" spans="3:11" s="4" customFormat="1" ht="15.95" hidden="1" customHeight="1" x14ac:dyDescent="0.25">
      <c r="C231" s="7" t="s">
        <v>59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167</v>
      </c>
      <c r="K231" s="30">
        <v>10</v>
      </c>
    </row>
    <row r="232" spans="3:11" s="4" customFormat="1" ht="15.95" hidden="1" customHeight="1" x14ac:dyDescent="0.25">
      <c r="C232" s="7" t="s">
        <v>223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167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167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167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167</v>
      </c>
      <c r="K235" s="30">
        <v>220</v>
      </c>
    </row>
    <row r="236" spans="3:11" s="4" customFormat="1" ht="15.95" hidden="1" customHeight="1" x14ac:dyDescent="0.25">
      <c r="C236" s="7" t="s">
        <v>182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167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167</v>
      </c>
      <c r="K237" s="30">
        <v>250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167</v>
      </c>
      <c r="K238" s="30">
        <v>390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167</v>
      </c>
      <c r="K239" s="30">
        <v>460</v>
      </c>
    </row>
    <row r="240" spans="3:11" s="4" customFormat="1" ht="15.95" hidden="1" customHeight="1" x14ac:dyDescent="0.25">
      <c r="C240" s="7" t="s">
        <v>212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167</v>
      </c>
      <c r="K240" s="30">
        <v>850</v>
      </c>
    </row>
    <row r="241" spans="3:11" s="4" customFormat="1" ht="15.95" hidden="1" customHeight="1" x14ac:dyDescent="0.25">
      <c r="C241" s="7" t="s">
        <v>188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167</v>
      </c>
      <c r="K241" s="30">
        <v>1400</v>
      </c>
    </row>
    <row r="242" spans="3:11" s="4" customFormat="1" ht="15.95" hidden="1" customHeight="1" x14ac:dyDescent="0.25">
      <c r="C242" s="7" t="s">
        <v>239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167</v>
      </c>
      <c r="K242" s="30">
        <v>360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167</v>
      </c>
      <c r="K243" s="30">
        <v>550</v>
      </c>
    </row>
    <row r="244" spans="3:11" s="4" customFormat="1" ht="15.95" hidden="1" customHeight="1" x14ac:dyDescent="0.25">
      <c r="C244" s="7" t="s">
        <v>243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167</v>
      </c>
      <c r="K244" s="30">
        <v>580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167</v>
      </c>
      <c r="K245" s="30">
        <v>680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167</v>
      </c>
      <c r="K246" s="30">
        <v>750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167</v>
      </c>
      <c r="K247" s="30">
        <v>340</v>
      </c>
    </row>
    <row r="248" spans="3:11" s="4" customFormat="1" ht="15.95" hidden="1" customHeight="1" x14ac:dyDescent="0.25">
      <c r="C248" s="7" t="s">
        <v>241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167</v>
      </c>
      <c r="K248" s="30">
        <v>160</v>
      </c>
    </row>
    <row r="249" spans="3:11" s="4" customFormat="1" ht="15.95" hidden="1" customHeight="1" x14ac:dyDescent="0.25">
      <c r="C249" s="7" t="s">
        <v>238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167</v>
      </c>
      <c r="K249" s="30">
        <v>130</v>
      </c>
    </row>
    <row r="250" spans="3:11" s="4" customFormat="1" ht="15.95" hidden="1" customHeight="1" x14ac:dyDescent="0.25">
      <c r="C250" s="7" t="s">
        <v>228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167</v>
      </c>
      <c r="K250" s="30">
        <v>130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167</v>
      </c>
      <c r="K251" s="30">
        <v>400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167</v>
      </c>
      <c r="K252" s="30">
        <v>260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167</v>
      </c>
      <c r="K253" s="30">
        <v>180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167</v>
      </c>
      <c r="K254" s="30">
        <v>120</v>
      </c>
    </row>
    <row r="255" spans="3:11" s="4" customFormat="1" ht="15.95" hidden="1" customHeight="1" x14ac:dyDescent="0.25">
      <c r="C255" s="7" t="s">
        <v>234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167</v>
      </c>
      <c r="K255" s="30">
        <v>220</v>
      </c>
    </row>
    <row r="256" spans="3:11" s="4" customFormat="1" ht="15.95" hidden="1" customHeight="1" x14ac:dyDescent="0.25">
      <c r="C256" s="7" t="s">
        <v>227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167</v>
      </c>
      <c r="K256" s="30">
        <v>230</v>
      </c>
    </row>
    <row r="257" spans="3:11" s="4" customFormat="1" ht="15.95" hidden="1" customHeight="1" x14ac:dyDescent="0.25">
      <c r="C257" s="7" t="s">
        <v>229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230</v>
      </c>
      <c r="K257" s="30">
        <v>500</v>
      </c>
    </row>
    <row r="258" spans="3:11" s="4" customFormat="1" ht="15.95" hidden="1" customHeight="1" x14ac:dyDescent="0.25">
      <c r="C258" s="7" t="s">
        <v>231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167</v>
      </c>
      <c r="K258" s="30">
        <v>180</v>
      </c>
    </row>
    <row r="259" spans="3:11" s="4" customFormat="1" ht="15.95" hidden="1" customHeight="1" x14ac:dyDescent="0.25">
      <c r="C259" s="7" t="s">
        <v>225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167</v>
      </c>
      <c r="K259" s="30">
        <v>260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167</v>
      </c>
      <c r="K260" s="30">
        <v>6500</v>
      </c>
    </row>
    <row r="261" spans="3:11" s="4" customFormat="1" ht="15.95" hidden="1" customHeight="1" x14ac:dyDescent="0.25">
      <c r="C261" s="7" t="s">
        <v>222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167</v>
      </c>
      <c r="K261" s="30">
        <v>8800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4"/>
        <v>6300</v>
      </c>
      <c r="F262" s="8">
        <v>3</v>
      </c>
      <c r="G262" s="8">
        <v>2</v>
      </c>
      <c r="H262" s="8"/>
      <c r="I262" s="8">
        <v>6</v>
      </c>
      <c r="J262" s="10" t="s">
        <v>167</v>
      </c>
      <c r="K262" s="30">
        <v>1050</v>
      </c>
    </row>
    <row r="263" spans="3:11" s="22" customFormat="1" ht="15.95" customHeight="1" x14ac:dyDescent="0.25">
      <c r="C263" s="32" t="s">
        <v>149</v>
      </c>
      <c r="D263" s="33">
        <f>SUM(E264)</f>
        <v>11800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11800</v>
      </c>
      <c r="F264" s="24"/>
      <c r="G264" s="24"/>
      <c r="H264" s="24"/>
      <c r="I264" s="24">
        <v>1</v>
      </c>
      <c r="J264" s="25" t="s">
        <v>167</v>
      </c>
      <c r="K264" s="48">
        <v>11800</v>
      </c>
    </row>
    <row r="265" spans="3:11" s="22" customFormat="1" ht="15.95" customHeight="1" x14ac:dyDescent="0.25">
      <c r="C265" s="32" t="s">
        <v>147</v>
      </c>
      <c r="D265" s="33">
        <f>SUM(E266)</f>
        <v>5000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5000</v>
      </c>
      <c r="F266" s="41"/>
      <c r="G266" s="41"/>
      <c r="H266" s="41"/>
      <c r="I266" s="24">
        <v>4</v>
      </c>
      <c r="J266" s="25" t="s">
        <v>150</v>
      </c>
      <c r="K266" s="48">
        <v>1250</v>
      </c>
    </row>
    <row r="267" spans="3:11" s="22" customFormat="1" ht="15.95" customHeight="1" x14ac:dyDescent="0.25">
      <c r="C267" s="32" t="s">
        <v>148</v>
      </c>
      <c r="D267" s="33">
        <f>SUM(E268)</f>
        <v>1500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1500</v>
      </c>
      <c r="F268" s="41"/>
      <c r="G268" s="41"/>
      <c r="H268" s="41"/>
      <c r="I268" s="24">
        <v>1</v>
      </c>
      <c r="J268" s="25" t="s">
        <v>167</v>
      </c>
      <c r="K268" s="48">
        <v>1500</v>
      </c>
    </row>
    <row r="269" spans="3:11" s="22" customFormat="1" ht="15.95" customHeight="1" x14ac:dyDescent="0.25">
      <c r="C269" s="32" t="s">
        <v>213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167</v>
      </c>
      <c r="K270" s="48">
        <v>1200</v>
      </c>
    </row>
    <row r="271" spans="3:11" s="22" customFormat="1" ht="15.95" customHeight="1" x14ac:dyDescent="0.25">
      <c r="C271" s="32" t="s">
        <v>266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265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167</v>
      </c>
      <c r="K272" s="48">
        <v>0</v>
      </c>
    </row>
    <row r="273" spans="3:11" ht="15.95" customHeight="1" thickBot="1" x14ac:dyDescent="0.3">
      <c r="C273" s="18" t="s">
        <v>57</v>
      </c>
      <c r="D273" s="14">
        <f>SUM(D2:D272)</f>
        <v>40680.93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2025-08-27T13:48:53Z</dcterms:modified>
</cp:coreProperties>
</file>