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M Pets @ Interzoo 2026\Standard Cost\"/>
    </mc:Choice>
  </mc:AlternateContent>
  <xr:revisionPtr revIDLastSave="0" documentId="13_ncr:1_{54B0E815-EFF5-4ECC-984A-F6370862BE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Europe!$C$1:$K$279</definedName>
    <definedName name="_xlnm.Print_Area" localSheetId="0">Europe!$A$1:$H$279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7" i="1" l="1"/>
  <c r="E116" i="1"/>
  <c r="E112" i="1"/>
  <c r="E115" i="1"/>
  <c r="E114" i="1"/>
  <c r="E113" i="1"/>
  <c r="E226" i="1"/>
  <c r="D225" i="1" s="1"/>
  <c r="E71" i="1"/>
  <c r="E64" i="1"/>
  <c r="E272" i="1" l="1"/>
  <c r="D271" i="1" s="1"/>
  <c r="E141" i="1" l="1"/>
  <c r="E278" i="1" l="1"/>
  <c r="D277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76" i="1" l="1"/>
  <c r="D275" i="1" s="1"/>
  <c r="E274" i="1"/>
  <c r="D273" i="1" s="1"/>
  <c r="E270" i="1"/>
  <c r="D269" i="1" s="1"/>
  <c r="E268" i="1"/>
  <c r="D267" i="1" s="1"/>
  <c r="E14" i="1" l="1"/>
  <c r="E89" i="1" l="1"/>
  <c r="D88" i="1" s="1"/>
  <c r="E15" i="1" l="1"/>
  <c r="E84" i="1" l="1"/>
  <c r="E85" i="1"/>
  <c r="E86" i="1"/>
  <c r="E214" i="1" l="1"/>
  <c r="E138" i="1"/>
  <c r="E171" i="1"/>
  <c r="D170" i="1" s="1"/>
  <c r="D213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7" i="1" l="1"/>
  <c r="E149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6" i="1"/>
  <c r="E77" i="1"/>
  <c r="E78" i="1"/>
  <c r="E110" i="1"/>
  <c r="E228" i="1"/>
  <c r="D227" i="1" l="1"/>
  <c r="D16" i="1"/>
  <c r="D156" i="1"/>
  <c r="D137" i="1"/>
  <c r="D148" i="1"/>
  <c r="D109" i="1"/>
  <c r="D279" i="1" l="1"/>
</calcChain>
</file>

<file path=xl/sharedStrings.xml><?xml version="1.0" encoding="utf-8"?>
<sst xmlns="http://schemas.openxmlformats.org/spreadsheetml/2006/main" count="600" uniqueCount="289">
  <si>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</si>
  <si>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</si>
  <si>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</si>
  <si>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</si>
  <si>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</si>
  <si>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</si>
  <si>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</si>
  <si>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</si>
  <si>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</si>
  <si>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</si>
  <si>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</si>
  <si>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</si>
  <si>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</si>
  <si>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</si>
  <si>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</si>
  <si>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</si>
  <si>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</si>
  <si>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</si>
  <si>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</si>
  <si>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</si>
  <si>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</si>
  <si>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</si>
  <si>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</si>
  <si>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</si>
  <si>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</si>
  <si>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</si>
  <si>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</si>
  <si>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</si>
  <si>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</si>
  <si>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</si>
  <si>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</si>
  <si>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</si>
  <si>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</si>
  <si>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</si>
  <si>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</si>
  <si>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</si>
  <si>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</si>
  <si>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</si>
  <si>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</si>
  <si>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</si>
  <si>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</si>
  <si>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</si>
  <si>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</si>
  <si>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</si>
  <si>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</si>
  <si>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</si>
  <si>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</si>
  <si>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</si>
  <si>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</si>
  <si>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</si>
  <si>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</si>
  <si>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</si>
  <si>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</si>
  <si>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</si>
  <si>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</si>
  <si>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</si>
  <si>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</si>
  <si>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</si>
  <si>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</si>
  <si>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</si>
  <si>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</si>
  <si>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</si>
  <si>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</si>
  <si>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</si>
  <si>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</si>
  <si>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</si>
  <si>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</si>
  <si>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</si>
  <si>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</si>
  <si>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</si>
  <si>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</si>
  <si>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</si>
  <si>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</si>
  <si>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</si>
  <si>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</si>
  <si>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</si>
  <si>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</si>
  <si>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</si>
  <si>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</si>
  <si>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</si>
  <si>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</si>
  <si>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</si>
  <si>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</si>
  <si>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</si>
  <si>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</si>
  <si>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</si>
  <si>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</si>
  <si>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</si>
  <si>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</si>
  <si>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</si>
  <si>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</si>
  <si>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</si>
  <si>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</si>
  <si>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</si>
  <si>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</si>
  <si>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</si>
  <si>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</si>
  <si>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</si>
  <si>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</si>
  <si>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</si>
  <si>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</si>
  <si>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</si>
  <si>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</si>
  <si>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</si>
  <si>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</si>
  <si>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</si>
  <si>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</si>
  <si>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</si>
  <si>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</si>
  <si>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</si>
  <si>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</si>
  <si>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</si>
  <si>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</si>
  <si>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</si>
  <si>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</si>
  <si>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</si>
  <si>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</si>
  <si>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</si>
  <si>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</si>
  <si>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</si>
  <si>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</si>
  <si>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</si>
  <si>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</si>
  <si>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</si>
  <si>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</si>
  <si>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</si>
  <si>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</si>
  <si>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</si>
  <si>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</si>
  <si>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</si>
  <si>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</si>
  <si>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</si>
  <si>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</si>
  <si>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</si>
  <si>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</si>
  <si>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</si>
  <si>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</si>
  <si>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</si>
  <si>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</si>
  <si>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</si>
  <si>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</si>
  <si>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</si>
  <si>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</si>
  <si>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</si>
  <si>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</si>
  <si>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</si>
  <si>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</si>
  <si>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</si>
  <si>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</si>
  <si>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</si>
  <si>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</si>
  <si>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</si>
  <si>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</si>
  <si>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</si>
  <si>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</si>
  <si>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</si>
  <si>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</si>
  <si>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</si>
  <si>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</si>
  <si>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</si>
  <si>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</si>
  <si>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</si>
  <si>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</si>
  <si>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</si>
  <si>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</si>
  <si>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</si>
  <si>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</si>
  <si>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</si>
  <si>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</si>
  <si>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</si>
  <si>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</si>
  <si>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</si>
  <si>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</si>
  <si>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</si>
  <si>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</si>
  <si>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</si>
  <si>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</si>
  <si>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</si>
  <si>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</si>
  <si>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</si>
  <si>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</si>
  <si>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</si>
  <si>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</si>
  <si>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</si>
  <si>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</si>
  <si>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</si>
  <si>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</si>
  <si>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</si>
  <si>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</si>
  <si>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</si>
  <si>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</si>
  <si>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</si>
  <si>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</si>
  <si>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</si>
  <si>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</si>
  <si>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</si>
  <si>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</si>
  <si>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</si>
  <si>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</si>
  <si>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</si>
  <si>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</si>
  <si>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</si>
  <si>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</si>
  <si>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</si>
  <si>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</si>
  <si>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</si>
  <si>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</si>
  <si>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</si>
  <si>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</si>
  <si>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</si>
  <si>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</si>
  <si>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</si>
  <si>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</si>
  <si>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</si>
  <si>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</si>
  <si>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</si>
  <si>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</si>
  <si>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</si>
  <si>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</si>
  <si>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</si>
  <si>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</si>
  <si>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</si>
  <si>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</si>
  <si>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</si>
  <si>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</si>
  <si>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</si>
  <si>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</si>
  <si>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</si>
  <si>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</si>
  <si>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</si>
  <si>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</si>
  <si>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</si>
  <si>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</si>
  <si>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</si>
  <si>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</si>
  <si>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</si>
  <si>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</si>
  <si>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</si>
  <si>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</si>
  <si>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</si>
  <si>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</si>
  <si>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</si>
  <si>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</si>
  <si>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</si>
  <si>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</si>
  <si>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</si>
  <si>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</si>
  <si>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</si>
  <si>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</si>
  <si>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</si>
  <si>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</si>
  <si>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</si>
  <si>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</si>
  <si>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</si>
  <si>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</si>
  <si>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</si>
  <si>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</si>
  <si>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</si>
  <si>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</si>
  <si>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</si>
  <si>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</si>
  <si>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</si>
  <si>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</si>
  <si>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</si>
  <si>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</si>
  <si>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</si>
  <si>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</si>
  <si>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</si>
  <si>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</si>
  <si>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</si>
  <si>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</si>
  <si>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CNC CUTTING MDF PANELS</t>
  </si>
  <si>
    <t>ACRYLIC LOGO/ STEEL EDGE LOGO</t>
  </si>
  <si>
    <t>Podium (Laminated)- 2.5 x 1.2 x 1.0</t>
  </si>
  <si>
    <t>Podium (Laminated)- 3.0 x 1.5 x 1.0</t>
  </si>
  <si>
    <t>Podium (Laminated)- 2.0 x 0.8 x 1.0</t>
  </si>
  <si>
    <t>Bar Counter (Laminated)- 5.0 x 0.6 x 1.0</t>
  </si>
  <si>
    <t>Podium (Laminated)- 2.5 x 2.0 x 1.0</t>
  </si>
  <si>
    <t>Cabinate (Laminated)- 1.0 x 0.5 x 1.0</t>
  </si>
  <si>
    <t>Opt Nr:-  1</t>
  </si>
  <si>
    <t>Date:- 17-03-2026</t>
  </si>
  <si>
    <t>M PETS</t>
  </si>
  <si>
    <t>INTERZOO 2026</t>
  </si>
  <si>
    <t>25M X 24M</t>
  </si>
  <si>
    <t>600 SQM</t>
  </si>
  <si>
    <t>12-15 May, 2026</t>
  </si>
  <si>
    <t>NUREMBERG</t>
  </si>
  <si>
    <t xml:space="preserve">1 GENIE LIFT </t>
  </si>
  <si>
    <t>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</si>
</sst>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0" fontId="0" fillId="4" borderId="0" xfId="0" applyFont="1" applyFill="1" applyBorder="1" applyAlignment="1">
      <alignment vertical="top"/>
    </xf>
    <xf numFmtId="0" fontId="0" fillId="4" borderId="0" xfId="0" applyFont="1" applyFill="1" applyBorder="1" applyAlignment="1">
      <alignment vertical="top" wrapText="1"/>
    </xf>
    <xf numFmtId="4" fontId="0" fillId="4" borderId="0" xfId="0" applyNumberFormat="1" applyFont="1" applyFill="1" applyBorder="1" applyAlignment="1">
      <alignment horizontal="center" vertical="top" wrapText="1"/>
    </xf>
    <xf numFmtId="4" fontId="0" fillId="4" borderId="0" xfId="0" applyNumberFormat="1" applyFont="1" applyFill="1" applyBorder="1" applyAlignment="1">
      <alignment vertical="top" wrapText="1"/>
    </xf>
    <xf numFmtId="4" fontId="0" fillId="4" borderId="0" xfId="0" applyNumberFormat="1" applyFont="1" applyFill="1" applyBorder="1" applyAlignment="1">
      <alignment vertical="center" wrapText="1"/>
    </xf>
    <xf numFmtId="4" fontId="0" fillId="4" borderId="0" xfId="0" applyNumberFormat="1" applyFont="1" applyFill="1" applyBorder="1" applyAlignment="1">
      <alignment horizontal="center" vertical="center" wrapText="1"/>
    </xf>
    <xf numFmtId="166" fontId="0" fillId="4" borderId="0" xfId="0" applyNumberFormat="1" applyFont="1" applyFill="1" applyBorder="1" applyAlignment="1">
      <alignment horizontal="left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1</xdr:col>
      <xdr:colOff>1047750</xdr:colOff>
      <xdr:row>272</xdr:row>
      <xdr:rowOff>46815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DDB890-82EF-4DFA-BEB6-5C01148A2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647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0"/>
  <sheetViews>
    <sheetView tabSelected="1" zoomScaleNormal="100" zoomScaleSheetLayoutView="85" workbookViewId="0">
      <pane ySplit="1" topLeftCell="A2" activePane="bottomLeft" state="frozen"/>
      <selection pane="bottomLeft" activeCell="J269" sqref="J26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279</v>
      </c>
      <c r="B1" s="31" t="s">
        <v>280</v>
      </c>
      <c r="C1" s="19" t="s">
        <v>46</v>
      </c>
      <c r="D1" s="19" t="s">
        <v>131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281</v>
      </c>
      <c r="C2" s="26" t="s">
        <v>150</v>
      </c>
      <c r="D2" s="27">
        <f>SUM(E3:E11)</f>
        <v>1716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1716</v>
      </c>
      <c r="F3" s="8"/>
      <c r="G3" s="8"/>
      <c r="H3" s="8"/>
      <c r="I3" s="9">
        <v>600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149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282</v>
      </c>
      <c r="C12" s="26" t="s">
        <v>193</v>
      </c>
      <c r="D12" s="52">
        <f>SUM(E13:E15)</f>
        <v>365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286</v>
      </c>
      <c r="C16" s="26" t="s">
        <v>183</v>
      </c>
      <c r="D16" s="27">
        <f>SUM(E17:E87)</f>
        <v>23204.809999999998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/>
      <c r="C34" s="7" t="s">
        <v>31</v>
      </c>
      <c r="D34" s="7"/>
      <c r="E34" s="8">
        <f t="shared" si="1"/>
        <v>9719.8499999999985</v>
      </c>
      <c r="F34" s="8">
        <v>1</v>
      </c>
      <c r="G34" s="8">
        <v>0.1</v>
      </c>
      <c r="H34" s="8">
        <v>4</v>
      </c>
      <c r="I34" s="9">
        <v>105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B38" s="29" t="s">
        <v>248</v>
      </c>
      <c r="C38" s="7" t="s">
        <v>100</v>
      </c>
      <c r="D38" s="7"/>
      <c r="E38" s="8">
        <f t="shared" si="1"/>
        <v>1152.3600000000001</v>
      </c>
      <c r="F38" s="8">
        <v>1</v>
      </c>
      <c r="G38" s="8">
        <v>0.1</v>
      </c>
      <c r="H38" s="8">
        <v>4.5</v>
      </c>
      <c r="I38" s="9">
        <v>11</v>
      </c>
      <c r="J38" s="10" t="s">
        <v>153</v>
      </c>
      <c r="K38" s="30">
        <v>104.76</v>
      </c>
    </row>
    <row r="39" spans="2:11" ht="15.95" hidden="1" customHeight="1" x14ac:dyDescent="0.25">
      <c r="B39" s="29" t="s">
        <v>248</v>
      </c>
      <c r="C39" s="7" t="s">
        <v>101</v>
      </c>
      <c r="D39" s="7"/>
      <c r="E39" s="8">
        <f t="shared" si="1"/>
        <v>576.19999999999993</v>
      </c>
      <c r="F39" s="8">
        <v>1</v>
      </c>
      <c r="G39" s="8">
        <v>0.1</v>
      </c>
      <c r="H39" s="8">
        <v>4.5</v>
      </c>
      <c r="I39" s="9">
        <v>5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B54" s="29" t="s">
        <v>248</v>
      </c>
      <c r="C54" s="7" t="s">
        <v>37</v>
      </c>
      <c r="D54" s="7"/>
      <c r="E54" s="8">
        <f t="shared" si="2"/>
        <v>400</v>
      </c>
      <c r="F54" s="8">
        <v>1</v>
      </c>
      <c r="G54" s="8">
        <v>0.2</v>
      </c>
      <c r="H54" s="8">
        <v>2.5</v>
      </c>
      <c r="I54" s="9">
        <v>4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ref="E64" si="3">I64*K64</f>
        <v>4788</v>
      </c>
      <c r="F64" s="8">
        <v>1</v>
      </c>
      <c r="G64" s="8">
        <v>0.2</v>
      </c>
      <c r="H64" s="8">
        <v>4</v>
      </c>
      <c r="I64" s="9">
        <v>38</v>
      </c>
      <c r="J64" s="10" t="s">
        <v>155</v>
      </c>
      <c r="K64" s="30">
        <v>126</v>
      </c>
    </row>
    <row r="65" spans="1:11" ht="15.95" hidden="1" customHeight="1" x14ac:dyDescent="0.25">
      <c r="B65" s="29"/>
      <c r="C65" s="7" t="s">
        <v>31</v>
      </c>
      <c r="D65" s="7"/>
      <c r="E65" s="8">
        <f t="shared" si="2"/>
        <v>1764</v>
      </c>
      <c r="F65" s="8">
        <v>1</v>
      </c>
      <c r="G65" s="8">
        <v>0.2</v>
      </c>
      <c r="H65" s="8">
        <v>4</v>
      </c>
      <c r="I65" s="9">
        <v>14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B69" s="29" t="s">
        <v>248</v>
      </c>
      <c r="C69" s="7" t="s">
        <v>70</v>
      </c>
      <c r="D69" s="7"/>
      <c r="E69" s="8">
        <f t="shared" si="2"/>
        <v>523.79999999999995</v>
      </c>
      <c r="F69" s="8">
        <v>1</v>
      </c>
      <c r="G69" s="8">
        <v>0.2</v>
      </c>
      <c r="H69" s="8">
        <v>4.5</v>
      </c>
      <c r="I69" s="9">
        <v>4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s="4" customFormat="1" ht="15.95" hidden="1" customHeight="1" x14ac:dyDescent="0.25">
      <c r="B71" s="53"/>
      <c r="C71" s="54" t="s">
        <v>271</v>
      </c>
      <c r="D71" s="54"/>
      <c r="E71" s="55">
        <f t="shared" si="2"/>
        <v>3809.6</v>
      </c>
      <c r="F71" s="55"/>
      <c r="G71" s="55"/>
      <c r="H71" s="56"/>
      <c r="I71" s="57">
        <v>40</v>
      </c>
      <c r="J71" s="58" t="s">
        <v>111</v>
      </c>
      <c r="K71" s="59">
        <v>95.24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471</v>
      </c>
      <c r="F81" s="24">
        <v>1</v>
      </c>
      <c r="G81" s="24"/>
      <c r="H81" s="24">
        <v>1</v>
      </c>
      <c r="I81" s="44">
        <v>30</v>
      </c>
      <c r="J81" s="25" t="s">
        <v>260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285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283</v>
      </c>
      <c r="C109" s="26" t="s">
        <v>195</v>
      </c>
      <c r="D109" s="27">
        <f>SUM(E110:E136)</f>
        <v>5477.1200000000008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6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3:11" s="4" customFormat="1" ht="15.95" hidden="1" customHeight="1" x14ac:dyDescent="0.25">
      <c r="C113" s="7" t="s">
        <v>276</v>
      </c>
      <c r="D113" s="7"/>
      <c r="E113" s="8">
        <f t="shared" ref="E113:E117" si="7">I113*K113</f>
        <v>940</v>
      </c>
      <c r="F113" s="8">
        <v>5</v>
      </c>
      <c r="G113" s="8">
        <v>0.6</v>
      </c>
      <c r="H113" s="8">
        <v>1</v>
      </c>
      <c r="I113" s="8">
        <v>2</v>
      </c>
      <c r="J113" s="10" t="s">
        <v>165</v>
      </c>
      <c r="K113" s="30">
        <v>470</v>
      </c>
    </row>
    <row r="114" spans="3:11" s="4" customFormat="1" ht="15.95" hidden="1" customHeight="1" x14ac:dyDescent="0.25">
      <c r="C114" s="7" t="s">
        <v>273</v>
      </c>
      <c r="D114" s="7"/>
      <c r="E114" s="8">
        <f t="shared" si="7"/>
        <v>1434.76</v>
      </c>
      <c r="F114" s="8">
        <v>2.5</v>
      </c>
      <c r="G114" s="8">
        <v>1.2</v>
      </c>
      <c r="H114" s="8">
        <v>1</v>
      </c>
      <c r="I114" s="8">
        <v>4</v>
      </c>
      <c r="J114" s="10" t="s">
        <v>165</v>
      </c>
      <c r="K114" s="30">
        <v>358.69</v>
      </c>
    </row>
    <row r="115" spans="3:11" s="4" customFormat="1" ht="15.95" hidden="1" customHeight="1" x14ac:dyDescent="0.25">
      <c r="C115" s="7" t="s">
        <v>275</v>
      </c>
      <c r="D115" s="7"/>
      <c r="E115" s="8">
        <f t="shared" si="7"/>
        <v>1142.8399999999999</v>
      </c>
      <c r="F115" s="8">
        <v>2</v>
      </c>
      <c r="G115" s="8">
        <v>0.8</v>
      </c>
      <c r="H115" s="8">
        <v>1</v>
      </c>
      <c r="I115" s="8">
        <v>4</v>
      </c>
      <c r="J115" s="10" t="s">
        <v>165</v>
      </c>
      <c r="K115" s="30">
        <v>285.70999999999998</v>
      </c>
    </row>
    <row r="116" spans="3:11" s="4" customFormat="1" ht="15.95" hidden="1" customHeight="1" x14ac:dyDescent="0.25">
      <c r="C116" s="7" t="s">
        <v>274</v>
      </c>
      <c r="D116" s="7"/>
      <c r="E116" s="8">
        <f t="shared" si="7"/>
        <v>1200</v>
      </c>
      <c r="F116" s="8">
        <v>3</v>
      </c>
      <c r="G116" s="8">
        <v>1.5</v>
      </c>
      <c r="H116" s="8">
        <v>1</v>
      </c>
      <c r="I116" s="8">
        <v>3</v>
      </c>
      <c r="J116" s="10" t="s">
        <v>165</v>
      </c>
      <c r="K116" s="30">
        <v>400</v>
      </c>
    </row>
    <row r="117" spans="3:11" s="4" customFormat="1" ht="15.95" hidden="1" customHeight="1" x14ac:dyDescent="0.25">
      <c r="C117" s="7" t="s">
        <v>277</v>
      </c>
      <c r="D117" s="7"/>
      <c r="E117" s="8">
        <f t="shared" si="7"/>
        <v>450</v>
      </c>
      <c r="F117" s="8">
        <v>2.5</v>
      </c>
      <c r="G117" s="8">
        <v>2</v>
      </c>
      <c r="H117" s="8">
        <v>1</v>
      </c>
      <c r="I117" s="8">
        <v>1</v>
      </c>
      <c r="J117" s="10" t="s">
        <v>165</v>
      </c>
      <c r="K117" s="30">
        <v>450</v>
      </c>
    </row>
    <row r="118" spans="3:11" s="4" customFormat="1" ht="15.95" hidden="1" customHeight="1" x14ac:dyDescent="0.25">
      <c r="C118" s="7" t="s">
        <v>278</v>
      </c>
      <c r="D118" s="7"/>
      <c r="E118" s="8">
        <f t="shared" si="6"/>
        <v>309.52</v>
      </c>
      <c r="F118" s="8">
        <v>1</v>
      </c>
      <c r="G118" s="8">
        <v>0.5</v>
      </c>
      <c r="H118" s="8">
        <v>1</v>
      </c>
      <c r="I118" s="8">
        <v>2</v>
      </c>
      <c r="J118" s="10" t="s">
        <v>165</v>
      </c>
      <c r="K118" s="30">
        <v>154.76</v>
      </c>
    </row>
    <row r="119" spans="3:11" s="4" customFormat="1" ht="15.95" hidden="1" customHeight="1" x14ac:dyDescent="0.25">
      <c r="C119" s="7" t="s">
        <v>254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302.29000000000002</v>
      </c>
    </row>
    <row r="120" spans="3:11" s="4" customFormat="1" ht="15.95" hidden="1" customHeight="1" x14ac:dyDescent="0.25">
      <c r="C120" s="7" t="s">
        <v>252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604.02</v>
      </c>
    </row>
    <row r="121" spans="3:11" s="4" customFormat="1" ht="15.95" hidden="1" customHeight="1" x14ac:dyDescent="0.25">
      <c r="C121" s="7" t="s">
        <v>255</v>
      </c>
      <c r="D121" s="7"/>
      <c r="E121" s="8">
        <f t="shared" si="6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165</v>
      </c>
      <c r="K121" s="30">
        <v>423.86</v>
      </c>
    </row>
    <row r="122" spans="3:11" s="4" customFormat="1" ht="15.95" hidden="1" customHeight="1" x14ac:dyDescent="0.25">
      <c r="C122" s="7" t="s">
        <v>156</v>
      </c>
      <c r="D122" s="7"/>
      <c r="E122" s="8">
        <f t="shared" si="6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165</v>
      </c>
      <c r="K122" s="30">
        <v>595.24</v>
      </c>
    </row>
    <row r="123" spans="3:11" s="4" customFormat="1" ht="15.95" hidden="1" customHeight="1" x14ac:dyDescent="0.25">
      <c r="C123" s="7" t="s">
        <v>196</v>
      </c>
      <c r="D123" s="7"/>
      <c r="E123" s="8">
        <f t="shared" si="6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165</v>
      </c>
      <c r="K123" s="30">
        <v>161.9</v>
      </c>
    </row>
    <row r="124" spans="3:11" s="4" customFormat="1" ht="15.95" hidden="1" customHeight="1" x14ac:dyDescent="0.25">
      <c r="C124" s="7" t="s">
        <v>197</v>
      </c>
      <c r="D124" s="7"/>
      <c r="E124" s="8">
        <f t="shared" si="6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165</v>
      </c>
      <c r="K124" s="30">
        <v>190.48</v>
      </c>
    </row>
    <row r="125" spans="3:11" s="4" customFormat="1" ht="15.95" hidden="1" customHeight="1" x14ac:dyDescent="0.25">
      <c r="C125" s="7" t="s">
        <v>198</v>
      </c>
      <c r="D125" s="7"/>
      <c r="E125" s="8">
        <f t="shared" si="6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165</v>
      </c>
      <c r="K125" s="30">
        <v>216.67</v>
      </c>
    </row>
    <row r="126" spans="3:11" s="4" customFormat="1" ht="15.95" hidden="1" customHeight="1" x14ac:dyDescent="0.25">
      <c r="C126" s="7" t="s">
        <v>199</v>
      </c>
      <c r="D126" s="7"/>
      <c r="E126" s="8">
        <f t="shared" si="6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165</v>
      </c>
      <c r="K126" s="30">
        <v>154.76</v>
      </c>
    </row>
    <row r="127" spans="3:11" s="4" customFormat="1" ht="15.95" hidden="1" customHeight="1" x14ac:dyDescent="0.25">
      <c r="C127" s="7" t="s">
        <v>200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165</v>
      </c>
      <c r="K127" s="30">
        <v>177.98</v>
      </c>
    </row>
    <row r="128" spans="3:11" s="4" customFormat="1" ht="15.95" hidden="1" customHeight="1" x14ac:dyDescent="0.25">
      <c r="C128" s="7" t="s">
        <v>201</v>
      </c>
      <c r="D128" s="7"/>
      <c r="E128" s="8">
        <f t="shared" si="6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165</v>
      </c>
      <c r="K128" s="30">
        <v>260.12</v>
      </c>
    </row>
    <row r="129" spans="1:11" s="4" customFormat="1" ht="15.95" hidden="1" customHeight="1" x14ac:dyDescent="0.25">
      <c r="B129" s="29" t="s">
        <v>248</v>
      </c>
      <c r="C129" s="7" t="s">
        <v>120</v>
      </c>
      <c r="D129" s="7"/>
      <c r="E129" s="8">
        <f t="shared" si="6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165</v>
      </c>
      <c r="K129" s="30">
        <v>210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6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165</v>
      </c>
      <c r="K130" s="30">
        <v>223.81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6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165</v>
      </c>
      <c r="K131" s="30">
        <v>65</v>
      </c>
    </row>
    <row r="132" spans="1:11" s="4" customFormat="1" ht="15.95" hidden="1" customHeight="1" x14ac:dyDescent="0.25">
      <c r="C132" s="7" t="s">
        <v>127</v>
      </c>
      <c r="D132" s="7"/>
      <c r="E132" s="8">
        <f t="shared" si="6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165</v>
      </c>
      <c r="K132" s="30">
        <v>35</v>
      </c>
    </row>
    <row r="133" spans="1:11" s="4" customFormat="1" ht="15.95" hidden="1" customHeight="1" x14ac:dyDescent="0.25">
      <c r="B133" s="29" t="s">
        <v>248</v>
      </c>
      <c r="C133" s="7" t="s">
        <v>55</v>
      </c>
      <c r="D133" s="7"/>
      <c r="E133" s="8">
        <f t="shared" si="6"/>
        <v>0</v>
      </c>
      <c r="F133" s="8"/>
      <c r="G133" s="8"/>
      <c r="H133" s="8"/>
      <c r="I133" s="8">
        <v>0</v>
      </c>
      <c r="J133" s="10" t="s">
        <v>165</v>
      </c>
      <c r="K133" s="30">
        <v>12</v>
      </c>
    </row>
    <row r="134" spans="1:11" s="4" customFormat="1" ht="15.95" hidden="1" customHeight="1" x14ac:dyDescent="0.25">
      <c r="C134" s="7" t="s">
        <v>130</v>
      </c>
      <c r="D134" s="7"/>
      <c r="E134" s="8">
        <f t="shared" si="6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111</v>
      </c>
      <c r="K134" s="30">
        <v>21.9</v>
      </c>
    </row>
    <row r="135" spans="1:11" s="4" customFormat="1" ht="15.95" hidden="1" customHeight="1" x14ac:dyDescent="0.25">
      <c r="C135" s="7" t="s">
        <v>202</v>
      </c>
      <c r="D135" s="7"/>
      <c r="E135" s="8">
        <f t="shared" si="6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165</v>
      </c>
      <c r="K135" s="30">
        <v>177.98</v>
      </c>
    </row>
    <row r="136" spans="1:11" s="4" customFormat="1" ht="15.95" hidden="1" customHeight="1" x14ac:dyDescent="0.25">
      <c r="C136" s="7" t="s">
        <v>177</v>
      </c>
      <c r="D136" s="7"/>
      <c r="E136" s="8">
        <f t="shared" si="6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165</v>
      </c>
      <c r="K136" s="30">
        <v>383.33</v>
      </c>
    </row>
    <row r="137" spans="1:11" s="4" customFormat="1" ht="15.95" customHeight="1" x14ac:dyDescent="0.25">
      <c r="A137" s="21" t="s">
        <v>142</v>
      </c>
      <c r="B137" s="4" t="s">
        <v>284</v>
      </c>
      <c r="C137" s="26" t="s">
        <v>203</v>
      </c>
      <c r="D137" s="27">
        <f>SUM(E138:E147)</f>
        <v>70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248</v>
      </c>
      <c r="C138" s="7" t="s">
        <v>49</v>
      </c>
      <c r="D138" s="7"/>
      <c r="E138" s="8">
        <f t="shared" ref="E138:E147" si="8">I138*K138</f>
        <v>70</v>
      </c>
      <c r="F138" s="12"/>
      <c r="G138" s="12"/>
      <c r="H138" s="12"/>
      <c r="I138" s="8">
        <v>2</v>
      </c>
      <c r="J138" s="10" t="s">
        <v>165</v>
      </c>
      <c r="K138" s="30">
        <v>35</v>
      </c>
    </row>
    <row r="139" spans="1:11" s="4" customFormat="1" ht="15.95" hidden="1" customHeight="1" x14ac:dyDescent="0.25">
      <c r="B139" s="29" t="s">
        <v>248</v>
      </c>
      <c r="C139" s="7" t="s">
        <v>50</v>
      </c>
      <c r="D139" s="7"/>
      <c r="E139" s="8">
        <f t="shared" si="8"/>
        <v>0</v>
      </c>
      <c r="F139" s="8"/>
      <c r="G139" s="8"/>
      <c r="H139" s="8"/>
      <c r="I139" s="8">
        <v>0</v>
      </c>
      <c r="J139" s="10" t="s">
        <v>165</v>
      </c>
      <c r="K139" s="30">
        <v>50</v>
      </c>
    </row>
    <row r="140" spans="1:11" s="4" customFormat="1" ht="15.95" hidden="1" customHeight="1" x14ac:dyDescent="0.25">
      <c r="B140" s="29" t="s">
        <v>248</v>
      </c>
      <c r="C140" s="7" t="s">
        <v>269</v>
      </c>
      <c r="D140" s="7"/>
      <c r="E140" s="8">
        <f t="shared" si="8"/>
        <v>0</v>
      </c>
      <c r="F140" s="8">
        <v>1</v>
      </c>
      <c r="G140" s="8">
        <v>0</v>
      </c>
      <c r="H140" s="8">
        <v>2</v>
      </c>
      <c r="I140" s="8">
        <v>0</v>
      </c>
      <c r="J140" s="10" t="s">
        <v>165</v>
      </c>
      <c r="K140" s="30">
        <v>119.05</v>
      </c>
    </row>
    <row r="141" spans="1:11" s="4" customFormat="1" ht="15.95" hidden="1" customHeight="1" x14ac:dyDescent="0.25">
      <c r="C141" s="7" t="s">
        <v>122</v>
      </c>
      <c r="D141" s="7"/>
      <c r="E141" s="8">
        <f t="shared" si="8"/>
        <v>0</v>
      </c>
      <c r="F141" s="8">
        <v>1</v>
      </c>
      <c r="G141" s="8">
        <v>1</v>
      </c>
      <c r="H141" s="8"/>
      <c r="I141" s="8">
        <v>0</v>
      </c>
      <c r="J141" s="10" t="s">
        <v>111</v>
      </c>
      <c r="K141" s="30">
        <v>28.57</v>
      </c>
    </row>
    <row r="142" spans="1:11" s="4" customFormat="1" ht="15.95" hidden="1" customHeight="1" x14ac:dyDescent="0.25">
      <c r="C142" s="7" t="s">
        <v>74</v>
      </c>
      <c r="D142" s="7"/>
      <c r="E142" s="8">
        <f t="shared" si="8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165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8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165</v>
      </c>
      <c r="K143" s="30">
        <v>136.9</v>
      </c>
    </row>
    <row r="144" spans="1:11" s="4" customFormat="1" ht="15.95" hidden="1" customHeight="1" x14ac:dyDescent="0.25">
      <c r="C144" s="7" t="s">
        <v>170</v>
      </c>
      <c r="D144" s="7"/>
      <c r="E144" s="8">
        <f t="shared" si="8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111</v>
      </c>
      <c r="K144" s="30">
        <v>22.62</v>
      </c>
    </row>
    <row r="145" spans="1:11" s="4" customFormat="1" ht="15.95" hidden="1" customHeight="1" x14ac:dyDescent="0.25">
      <c r="C145" s="7" t="s">
        <v>161</v>
      </c>
      <c r="D145" s="7"/>
      <c r="E145" s="8">
        <f t="shared" si="8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83.33</v>
      </c>
    </row>
    <row r="146" spans="1:11" s="4" customFormat="1" ht="15.95" hidden="1" customHeight="1" x14ac:dyDescent="0.25">
      <c r="C146" s="7" t="s">
        <v>162</v>
      </c>
      <c r="D146" s="7"/>
      <c r="E146" s="8">
        <f t="shared" si="8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32.14</v>
      </c>
    </row>
    <row r="147" spans="1:11" s="4" customFormat="1" ht="15.95" hidden="1" customHeight="1" x14ac:dyDescent="0.25">
      <c r="C147" s="7" t="s">
        <v>163</v>
      </c>
      <c r="D147" s="7"/>
      <c r="E147" s="8">
        <f t="shared" si="8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38.1</v>
      </c>
    </row>
    <row r="148" spans="1:11" s="4" customFormat="1" ht="15.95" customHeight="1" x14ac:dyDescent="0.25">
      <c r="A148" s="21" t="s">
        <v>141</v>
      </c>
      <c r="B148" s="4" t="s">
        <v>288</v>
      </c>
      <c r="C148" s="26" t="s">
        <v>204</v>
      </c>
      <c r="D148" s="27">
        <f>SUM(E149:E155)</f>
        <v>140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266</v>
      </c>
      <c r="D149" s="7"/>
      <c r="E149" s="8">
        <f t="shared" ref="E149:E155" si="9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165</v>
      </c>
      <c r="K149" s="30">
        <v>109.52</v>
      </c>
    </row>
    <row r="150" spans="1:11" s="4" customFormat="1" ht="15.95" hidden="1" customHeight="1" x14ac:dyDescent="0.25">
      <c r="C150" s="7" t="s">
        <v>86</v>
      </c>
      <c r="D150" s="7"/>
      <c r="E150" s="8">
        <f t="shared" si="9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165</v>
      </c>
      <c r="K150" s="30">
        <v>219.05</v>
      </c>
    </row>
    <row r="151" spans="1:11" s="4" customFormat="1" ht="15.95" hidden="1" customHeight="1" x14ac:dyDescent="0.25">
      <c r="C151" s="7" t="s">
        <v>179</v>
      </c>
      <c r="D151" s="7"/>
      <c r="E151" s="8">
        <f t="shared" si="9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165</v>
      </c>
      <c r="K151" s="30">
        <v>3</v>
      </c>
    </row>
    <row r="152" spans="1:11" s="4" customFormat="1" ht="15.95" hidden="1" customHeight="1" x14ac:dyDescent="0.25">
      <c r="C152" s="7" t="s">
        <v>53</v>
      </c>
      <c r="D152" s="7"/>
      <c r="E152" s="8">
        <f t="shared" si="9"/>
        <v>100</v>
      </c>
      <c r="F152" s="8">
        <v>0</v>
      </c>
      <c r="G152" s="8">
        <v>0</v>
      </c>
      <c r="H152" s="8">
        <v>0</v>
      </c>
      <c r="I152" s="8">
        <v>4</v>
      </c>
      <c r="J152" s="10" t="s">
        <v>165</v>
      </c>
      <c r="K152" s="30">
        <v>25</v>
      </c>
    </row>
    <row r="153" spans="1:11" s="4" customFormat="1" ht="15.95" hidden="1" customHeight="1" x14ac:dyDescent="0.25">
      <c r="B153" s="29" t="s">
        <v>248</v>
      </c>
      <c r="C153" s="7" t="s">
        <v>72</v>
      </c>
      <c r="D153" s="7"/>
      <c r="E153" s="8">
        <f t="shared" si="9"/>
        <v>0</v>
      </c>
      <c r="F153" s="8">
        <v>0.5</v>
      </c>
      <c r="G153" s="8">
        <v>0.5</v>
      </c>
      <c r="H153" s="8"/>
      <c r="I153" s="8">
        <v>0</v>
      </c>
      <c r="J153" s="10" t="s">
        <v>111</v>
      </c>
      <c r="K153" s="30">
        <v>25</v>
      </c>
    </row>
    <row r="154" spans="1:11" s="4" customFormat="1" ht="15.95" hidden="1" customHeight="1" x14ac:dyDescent="0.25">
      <c r="C154" s="7" t="s">
        <v>91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165</v>
      </c>
      <c r="K154" s="30">
        <v>25</v>
      </c>
    </row>
    <row r="155" spans="1:11" s="4" customFormat="1" ht="15.95" hidden="1" customHeight="1" x14ac:dyDescent="0.25">
      <c r="C155" s="7" t="s">
        <v>247</v>
      </c>
      <c r="D155" s="7"/>
      <c r="E155" s="8">
        <f t="shared" si="9"/>
        <v>40</v>
      </c>
      <c r="F155" s="8"/>
      <c r="G155" s="8"/>
      <c r="H155" s="8"/>
      <c r="I155" s="8">
        <v>2</v>
      </c>
      <c r="J155" s="10" t="s">
        <v>165</v>
      </c>
      <c r="K155" s="30">
        <v>20</v>
      </c>
    </row>
    <row r="156" spans="1:11" s="4" customFormat="1" ht="15.95" customHeight="1" x14ac:dyDescent="0.25">
      <c r="C156" s="26" t="s">
        <v>132</v>
      </c>
      <c r="D156" s="27">
        <f>SUM(E157:E169)</f>
        <v>4181.96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248</v>
      </c>
      <c r="C157" s="7" t="s">
        <v>19</v>
      </c>
      <c r="D157" s="7"/>
      <c r="E157" s="8">
        <f t="shared" ref="E157:E169" si="10">I157*K157</f>
        <v>952</v>
      </c>
      <c r="F157" s="8"/>
      <c r="G157" s="8"/>
      <c r="H157" s="8"/>
      <c r="I157" s="8">
        <v>80</v>
      </c>
      <c r="J157" s="10" t="s">
        <v>165</v>
      </c>
      <c r="K157" s="30">
        <v>11.9</v>
      </c>
    </row>
    <row r="158" spans="1:11" s="4" customFormat="1" ht="15.95" hidden="1" customHeight="1" x14ac:dyDescent="0.25">
      <c r="B158" s="29" t="s">
        <v>248</v>
      </c>
      <c r="C158" s="7" t="s">
        <v>62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50</v>
      </c>
    </row>
    <row r="159" spans="1:11" s="4" customFormat="1" ht="15.95" hidden="1" customHeight="1" x14ac:dyDescent="0.25">
      <c r="B159" s="29" t="s">
        <v>248</v>
      </c>
      <c r="C159" s="7" t="s">
        <v>63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165</v>
      </c>
      <c r="K159" s="30">
        <v>65</v>
      </c>
    </row>
    <row r="160" spans="1:11" s="4" customFormat="1" ht="15.95" hidden="1" customHeight="1" x14ac:dyDescent="0.25">
      <c r="C160" s="7" t="s">
        <v>82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165</v>
      </c>
      <c r="K160" s="30">
        <v>23.81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14.29</v>
      </c>
    </row>
    <row r="162" spans="2:11" s="4" customFormat="1" ht="15.95" hidden="1" customHeight="1" x14ac:dyDescent="0.25">
      <c r="B162" s="29" t="s">
        <v>248</v>
      </c>
      <c r="C162" s="7" t="s">
        <v>64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10</v>
      </c>
    </row>
    <row r="163" spans="2:11" s="4" customFormat="1" ht="15.95" hidden="1" customHeight="1" x14ac:dyDescent="0.25">
      <c r="B163" s="29" t="s">
        <v>248</v>
      </c>
      <c r="C163" s="7" t="s">
        <v>18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10</v>
      </c>
    </row>
    <row r="164" spans="2:11" s="4" customFormat="1" ht="15.95" hidden="1" customHeight="1" x14ac:dyDescent="0.25">
      <c r="C164" s="7" t="s">
        <v>51</v>
      </c>
      <c r="D164" s="7"/>
      <c r="E164" s="8">
        <f t="shared" si="10"/>
        <v>500</v>
      </c>
      <c r="F164" s="12"/>
      <c r="G164" s="12"/>
      <c r="H164" s="12"/>
      <c r="I164" s="8">
        <v>100</v>
      </c>
      <c r="J164" s="10" t="s">
        <v>165</v>
      </c>
      <c r="K164" s="30">
        <v>5</v>
      </c>
    </row>
    <row r="165" spans="2:11" s="4" customFormat="1" ht="15.95" hidden="1" customHeight="1" x14ac:dyDescent="0.25">
      <c r="B165" s="29" t="s">
        <v>248</v>
      </c>
      <c r="C165" s="7" t="s">
        <v>17</v>
      </c>
      <c r="D165" s="7"/>
      <c r="E165" s="8">
        <f t="shared" si="10"/>
        <v>0</v>
      </c>
      <c r="F165" s="8"/>
      <c r="G165" s="8"/>
      <c r="H165" s="8"/>
      <c r="I165" s="8">
        <v>0</v>
      </c>
      <c r="J165" s="10" t="s">
        <v>165</v>
      </c>
      <c r="K165" s="30">
        <v>11.9</v>
      </c>
    </row>
    <row r="166" spans="2:11" s="4" customFormat="1" ht="15.95" hidden="1" customHeight="1" x14ac:dyDescent="0.25">
      <c r="C166" s="7" t="s">
        <v>56</v>
      </c>
      <c r="D166" s="7"/>
      <c r="E166" s="8">
        <f t="shared" si="10"/>
        <v>0</v>
      </c>
      <c r="F166" s="8"/>
      <c r="G166" s="8"/>
      <c r="H166" s="8"/>
      <c r="I166" s="8">
        <v>0</v>
      </c>
      <c r="J166" s="10" t="s">
        <v>165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0"/>
        <v>0</v>
      </c>
      <c r="F167" s="8"/>
      <c r="G167" s="8"/>
      <c r="H167" s="8"/>
      <c r="I167" s="8">
        <v>0</v>
      </c>
      <c r="J167" s="10" t="s">
        <v>165</v>
      </c>
      <c r="K167" s="30">
        <v>2.38</v>
      </c>
    </row>
    <row r="168" spans="2:11" ht="15.95" hidden="1" customHeight="1" x14ac:dyDescent="0.25">
      <c r="C168" s="7" t="s">
        <v>187</v>
      </c>
      <c r="D168" s="7"/>
      <c r="E168" s="8">
        <f t="shared" si="10"/>
        <v>2349</v>
      </c>
      <c r="F168" s="8"/>
      <c r="G168" s="8"/>
      <c r="H168" s="8"/>
      <c r="I168" s="8">
        <v>580</v>
      </c>
      <c r="J168" s="10" t="s">
        <v>149</v>
      </c>
      <c r="K168" s="30">
        <v>4.05</v>
      </c>
    </row>
    <row r="169" spans="2:11" s="4" customFormat="1" ht="15.95" hidden="1" customHeight="1" x14ac:dyDescent="0.25">
      <c r="C169" s="7" t="s">
        <v>157</v>
      </c>
      <c r="D169" s="7"/>
      <c r="E169" s="8">
        <f t="shared" si="10"/>
        <v>380.96</v>
      </c>
      <c r="F169" s="8"/>
      <c r="G169" s="8"/>
      <c r="H169" s="8"/>
      <c r="I169" s="8">
        <v>2</v>
      </c>
      <c r="J169" s="10" t="s">
        <v>165</v>
      </c>
      <c r="K169" s="30">
        <v>190.48</v>
      </c>
    </row>
    <row r="170" spans="2:11" s="4" customFormat="1" ht="15.95" customHeight="1" x14ac:dyDescent="0.25">
      <c r="C170" s="26" t="s">
        <v>205</v>
      </c>
      <c r="D170" s="27">
        <f>SUM(E171:E212)</f>
        <v>1506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1">I171*K171</f>
        <v>90</v>
      </c>
      <c r="F171" s="12"/>
      <c r="G171" s="12"/>
      <c r="H171" s="12"/>
      <c r="I171" s="8">
        <v>6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1"/>
        <v>384</v>
      </c>
      <c r="F172" s="12"/>
      <c r="G172" s="12"/>
      <c r="H172" s="12"/>
      <c r="I172" s="8">
        <v>32</v>
      </c>
      <c r="J172" s="10" t="s">
        <v>165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1"/>
        <v>160</v>
      </c>
      <c r="F173" s="12"/>
      <c r="G173" s="12"/>
      <c r="H173" s="12"/>
      <c r="I173" s="8">
        <v>8</v>
      </c>
      <c r="J173" s="10" t="s">
        <v>165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165</v>
      </c>
      <c r="K174" s="30">
        <v>15</v>
      </c>
    </row>
    <row r="175" spans="2:11" s="4" customFormat="1" ht="15.95" hidden="1" customHeight="1" x14ac:dyDescent="0.25">
      <c r="C175" s="7" t="s">
        <v>81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15</v>
      </c>
    </row>
    <row r="176" spans="2:11" s="4" customFormat="1" ht="15.95" hidden="1" customHeight="1" x14ac:dyDescent="0.25">
      <c r="C176" s="7" t="s">
        <v>178</v>
      </c>
      <c r="D176" s="7"/>
      <c r="E176" s="8">
        <f t="shared" si="11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165</v>
      </c>
      <c r="K176" s="30">
        <v>385</v>
      </c>
    </row>
    <row r="177" spans="3:11" s="4" customFormat="1" ht="15.95" hidden="1" customHeight="1" x14ac:dyDescent="0.25">
      <c r="C177" s="7" t="s">
        <v>80</v>
      </c>
      <c r="D177" s="7"/>
      <c r="E177" s="8">
        <f t="shared" si="11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165</v>
      </c>
      <c r="K177" s="30">
        <v>130</v>
      </c>
    </row>
    <row r="178" spans="3:11" s="4" customFormat="1" ht="15.95" hidden="1" customHeight="1" x14ac:dyDescent="0.25">
      <c r="C178" s="7" t="s">
        <v>79</v>
      </c>
      <c r="D178" s="7"/>
      <c r="E178" s="8">
        <f t="shared" si="11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165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165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165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165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165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1"/>
        <v>80</v>
      </c>
      <c r="F183" s="12"/>
      <c r="G183" s="12"/>
      <c r="H183" s="12"/>
      <c r="I183" s="8">
        <v>10</v>
      </c>
      <c r="J183" s="10" t="s">
        <v>165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15</v>
      </c>
    </row>
    <row r="185" spans="3:11" s="4" customFormat="1" ht="15.95" hidden="1" customHeight="1" x14ac:dyDescent="0.25">
      <c r="C185" s="7" t="s">
        <v>189</v>
      </c>
      <c r="D185" s="7"/>
      <c r="E185" s="8">
        <f t="shared" si="11"/>
        <v>140</v>
      </c>
      <c r="F185" s="12"/>
      <c r="G185" s="12"/>
      <c r="H185" s="12"/>
      <c r="I185" s="8">
        <v>4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61</v>
      </c>
      <c r="D186" s="7"/>
      <c r="E186" s="8">
        <f t="shared" si="11"/>
        <v>85</v>
      </c>
      <c r="F186" s="12"/>
      <c r="G186" s="12"/>
      <c r="H186" s="12"/>
      <c r="I186" s="8">
        <v>1</v>
      </c>
      <c r="J186" s="10" t="s">
        <v>165</v>
      </c>
      <c r="K186" s="30">
        <v>85</v>
      </c>
    </row>
    <row r="187" spans="3:11" s="4" customFormat="1" ht="15.95" hidden="1" customHeight="1" x14ac:dyDescent="0.25">
      <c r="C187" s="7" t="s">
        <v>58</v>
      </c>
      <c r="D187" s="7"/>
      <c r="E187" s="8">
        <f t="shared" si="11"/>
        <v>35</v>
      </c>
      <c r="F187" s="12"/>
      <c r="G187" s="12"/>
      <c r="H187" s="12"/>
      <c r="I187" s="8">
        <v>1</v>
      </c>
      <c r="J187" s="10" t="s">
        <v>165</v>
      </c>
      <c r="K187" s="30">
        <v>35</v>
      </c>
    </row>
    <row r="188" spans="3:11" s="4" customFormat="1" ht="15.95" hidden="1" customHeight="1" x14ac:dyDescent="0.25">
      <c r="C188" s="7" t="s">
        <v>60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165</v>
      </c>
      <c r="K188" s="30">
        <v>25</v>
      </c>
    </row>
    <row r="189" spans="3:11" s="4" customFormat="1" ht="15.95" hidden="1" customHeight="1" x14ac:dyDescent="0.25">
      <c r="C189" s="7" t="s">
        <v>135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165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12</v>
      </c>
    </row>
    <row r="191" spans="3:11" s="4" customFormat="1" ht="15.95" hidden="1" customHeight="1" x14ac:dyDescent="0.25">
      <c r="C191" s="7" t="s">
        <v>48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25</v>
      </c>
    </row>
    <row r="192" spans="3:11" s="4" customFormat="1" ht="15.95" hidden="1" customHeight="1" x14ac:dyDescent="0.25">
      <c r="C192" s="7" t="s">
        <v>54</v>
      </c>
      <c r="D192" s="7"/>
      <c r="E192" s="8">
        <f t="shared" si="11"/>
        <v>150</v>
      </c>
      <c r="F192" s="12"/>
      <c r="G192" s="12"/>
      <c r="H192" s="12"/>
      <c r="I192" s="8">
        <v>1</v>
      </c>
      <c r="J192" s="10" t="s">
        <v>165</v>
      </c>
      <c r="K192" s="30">
        <v>150</v>
      </c>
    </row>
    <row r="193" spans="2:11" s="4" customFormat="1" ht="15.95" hidden="1" customHeight="1" x14ac:dyDescent="0.25">
      <c r="C193" s="7" t="s">
        <v>206</v>
      </c>
      <c r="D193" s="7"/>
      <c r="E193" s="8">
        <f t="shared" si="11"/>
        <v>45</v>
      </c>
      <c r="F193" s="8"/>
      <c r="G193" s="8"/>
      <c r="H193" s="8"/>
      <c r="I193" s="8">
        <v>3</v>
      </c>
      <c r="J193" s="10" t="s">
        <v>165</v>
      </c>
      <c r="K193" s="30">
        <v>15</v>
      </c>
    </row>
    <row r="194" spans="2:11" s="4" customFormat="1" ht="15.95" hidden="1" customHeight="1" x14ac:dyDescent="0.25">
      <c r="C194" s="7" t="s">
        <v>158</v>
      </c>
      <c r="D194" s="7"/>
      <c r="E194" s="8">
        <f t="shared" si="11"/>
        <v>0</v>
      </c>
      <c r="F194" s="12"/>
      <c r="G194" s="12"/>
      <c r="H194" s="12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207</v>
      </c>
      <c r="D195" s="7"/>
      <c r="E195" s="8">
        <f t="shared" si="11"/>
        <v>0</v>
      </c>
      <c r="F195" s="12"/>
      <c r="G195" s="12"/>
      <c r="H195" s="12"/>
      <c r="I195" s="8">
        <v>0</v>
      </c>
      <c r="J195" s="10" t="s">
        <v>165</v>
      </c>
      <c r="K195" s="30">
        <v>600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1"/>
        <v>85</v>
      </c>
      <c r="F196" s="8"/>
      <c r="G196" s="8"/>
      <c r="H196" s="8"/>
      <c r="I196" s="8">
        <v>1</v>
      </c>
      <c r="J196" s="10" t="s">
        <v>165</v>
      </c>
      <c r="K196" s="30">
        <v>85</v>
      </c>
    </row>
    <row r="197" spans="2:11" s="4" customFormat="1" ht="15.95" hidden="1" customHeight="1" x14ac:dyDescent="0.25">
      <c r="C197" s="7" t="s">
        <v>256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210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32</v>
      </c>
      <c r="F198" s="8"/>
      <c r="G198" s="8"/>
      <c r="H198" s="8"/>
      <c r="I198" s="8">
        <v>4</v>
      </c>
      <c r="J198" s="10" t="s">
        <v>165</v>
      </c>
      <c r="K198" s="30">
        <v>8</v>
      </c>
    </row>
    <row r="199" spans="2:11" s="4" customFormat="1" ht="15.95" hidden="1" customHeight="1" x14ac:dyDescent="0.25">
      <c r="C199" s="7" t="s">
        <v>73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84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B201" s="29" t="s">
        <v>248</v>
      </c>
      <c r="C201" s="7" t="s">
        <v>85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85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15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12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165</v>
      </c>
      <c r="K206" s="30">
        <v>25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1"/>
        <v>20</v>
      </c>
      <c r="F207" s="8"/>
      <c r="G207" s="8"/>
      <c r="H207" s="8"/>
      <c r="I207" s="8">
        <v>1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121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165</v>
      </c>
      <c r="K208" s="30">
        <v>6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1"/>
        <v>0</v>
      </c>
      <c r="F209" s="8"/>
      <c r="G209" s="8"/>
      <c r="H209" s="8"/>
      <c r="I209" s="8">
        <v>0</v>
      </c>
      <c r="J209" s="10" t="s">
        <v>165</v>
      </c>
      <c r="K209" s="30">
        <v>3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1"/>
        <v>0</v>
      </c>
      <c r="F210" s="8"/>
      <c r="G210" s="8"/>
      <c r="H210" s="8"/>
      <c r="I210" s="8">
        <v>0</v>
      </c>
      <c r="J210" s="10" t="s">
        <v>165</v>
      </c>
      <c r="K210" s="30">
        <v>35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1"/>
        <v>200</v>
      </c>
      <c r="F211" s="8">
        <v>0.5</v>
      </c>
      <c r="G211" s="8">
        <v>0.5</v>
      </c>
      <c r="H211" s="8">
        <v>0.5</v>
      </c>
      <c r="I211" s="8">
        <v>10</v>
      </c>
      <c r="J211" s="10" t="s">
        <v>165</v>
      </c>
      <c r="K211" s="30">
        <v>20</v>
      </c>
    </row>
    <row r="212" spans="3:11" s="4" customFormat="1" ht="15.95" hidden="1" customHeight="1" x14ac:dyDescent="0.25">
      <c r="C212" s="7" t="s">
        <v>245</v>
      </c>
      <c r="D212" s="7"/>
      <c r="E212" s="8">
        <f t="shared" si="11"/>
        <v>0</v>
      </c>
      <c r="F212" s="8"/>
      <c r="G212" s="8"/>
      <c r="H212" s="8"/>
      <c r="I212" s="8">
        <v>0</v>
      </c>
      <c r="J212" s="10" t="s">
        <v>165</v>
      </c>
      <c r="K212" s="30">
        <v>85</v>
      </c>
    </row>
    <row r="213" spans="3:11" s="4" customFormat="1" ht="15.95" customHeight="1" x14ac:dyDescent="0.25">
      <c r="C213" s="26" t="s">
        <v>182</v>
      </c>
      <c r="D213" s="27">
        <f>SUM(E214:E224)</f>
        <v>8028.880000000001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243</v>
      </c>
      <c r="D214" s="7"/>
      <c r="E214" s="8">
        <f t="shared" ref="E214:E224" si="12">I214*K214</f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10.71</v>
      </c>
    </row>
    <row r="215" spans="3:11" s="4" customFormat="1" ht="15.95" hidden="1" customHeight="1" x14ac:dyDescent="0.25">
      <c r="C215" s="7" t="s">
        <v>242</v>
      </c>
      <c r="D215" s="7"/>
      <c r="E215" s="8">
        <f t="shared" si="12"/>
        <v>4334.4000000000005</v>
      </c>
      <c r="F215" s="8">
        <v>1</v>
      </c>
      <c r="G215" s="8">
        <v>1</v>
      </c>
      <c r="H215" s="12"/>
      <c r="I215" s="8">
        <v>280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2"/>
        <v>1486.08</v>
      </c>
      <c r="F216" s="8">
        <v>1</v>
      </c>
      <c r="G216" s="8">
        <v>1</v>
      </c>
      <c r="H216" s="12"/>
      <c r="I216" s="8">
        <v>96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190</v>
      </c>
      <c r="D217" s="7"/>
      <c r="E217" s="8">
        <f t="shared" si="12"/>
        <v>65.5</v>
      </c>
      <c r="F217" s="8">
        <v>1</v>
      </c>
      <c r="G217" s="8">
        <v>1</v>
      </c>
      <c r="H217" s="12"/>
      <c r="I217" s="8">
        <v>5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257</v>
      </c>
      <c r="D218" s="7"/>
      <c r="E218" s="8">
        <f t="shared" si="12"/>
        <v>1904.8</v>
      </c>
      <c r="F218" s="8">
        <v>1</v>
      </c>
      <c r="G218" s="8">
        <v>1</v>
      </c>
      <c r="H218" s="12"/>
      <c r="I218" s="8">
        <v>20</v>
      </c>
      <c r="J218" s="10" t="s">
        <v>111</v>
      </c>
      <c r="K218" s="30">
        <v>95.24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2"/>
        <v>238.1</v>
      </c>
      <c r="F219" s="8">
        <v>1</v>
      </c>
      <c r="G219" s="8">
        <v>1</v>
      </c>
      <c r="H219" s="12"/>
      <c r="I219" s="8">
        <v>5</v>
      </c>
      <c r="J219" s="10" t="s">
        <v>111</v>
      </c>
      <c r="K219" s="30">
        <v>47.62</v>
      </c>
    </row>
    <row r="220" spans="3:11" s="4" customFormat="1" ht="15.95" hidden="1" customHeight="1" x14ac:dyDescent="0.25">
      <c r="C220" s="7" t="s">
        <v>71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35.71</v>
      </c>
    </row>
    <row r="221" spans="3:11" s="4" customFormat="1" ht="15.95" hidden="1" customHeight="1" x14ac:dyDescent="0.25">
      <c r="C221" s="7" t="s">
        <v>122</v>
      </c>
      <c r="D221" s="7"/>
      <c r="E221" s="8">
        <f t="shared" si="12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28.57</v>
      </c>
    </row>
    <row r="222" spans="3:11" s="4" customFormat="1" ht="15.95" hidden="1" customHeight="1" x14ac:dyDescent="0.25">
      <c r="C222" s="7" t="s">
        <v>52</v>
      </c>
      <c r="D222" s="7"/>
      <c r="E222" s="8">
        <f t="shared" si="12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13.1</v>
      </c>
    </row>
    <row r="223" spans="3:11" s="4" customFormat="1" ht="15.95" hidden="1" customHeight="1" x14ac:dyDescent="0.25">
      <c r="C223" s="7" t="s">
        <v>244</v>
      </c>
      <c r="D223" s="7"/>
      <c r="E223" s="8">
        <f t="shared" si="12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2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10.71</v>
      </c>
    </row>
    <row r="225" spans="3:11" s="4" customFormat="1" ht="15.95" customHeight="1" x14ac:dyDescent="0.25">
      <c r="C225" s="26" t="s">
        <v>272</v>
      </c>
      <c r="D225" s="27">
        <f>SUM(E226)</f>
        <v>6000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257</v>
      </c>
      <c r="D226" s="7"/>
      <c r="E226" s="8">
        <f t="shared" ref="E226" si="13">I226*K226</f>
        <v>6000</v>
      </c>
      <c r="F226" s="8">
        <v>1</v>
      </c>
      <c r="G226" s="8">
        <v>1</v>
      </c>
      <c r="H226" s="12"/>
      <c r="I226" s="8">
        <v>12</v>
      </c>
      <c r="J226" s="10" t="s">
        <v>111</v>
      </c>
      <c r="K226" s="30">
        <v>500</v>
      </c>
    </row>
    <row r="227" spans="3:11" s="4" customFormat="1" ht="15.95" customHeight="1" x14ac:dyDescent="0.25">
      <c r="C227" s="26" t="s">
        <v>181</v>
      </c>
      <c r="D227" s="27">
        <f>SUM(E228:E266)</f>
        <v>0</v>
      </c>
      <c r="E227" s="51"/>
      <c r="F227" s="27"/>
      <c r="G227" s="27"/>
      <c r="H227" s="27"/>
      <c r="I227" s="27"/>
      <c r="J227" s="28"/>
      <c r="K227" s="47"/>
    </row>
    <row r="228" spans="3:11" s="4" customFormat="1" ht="15.95" hidden="1" customHeight="1" x14ac:dyDescent="0.25">
      <c r="C228" s="7" t="s">
        <v>21</v>
      </c>
      <c r="D228" s="7"/>
      <c r="E228" s="8">
        <f t="shared" ref="E228:E266" si="14">I228*K228</f>
        <v>0</v>
      </c>
      <c r="F228" s="12">
        <v>1.5</v>
      </c>
      <c r="G228" s="12">
        <v>1</v>
      </c>
      <c r="H228" s="12">
        <v>1</v>
      </c>
      <c r="I228" s="8">
        <v>0</v>
      </c>
      <c r="J228" s="10" t="s">
        <v>165</v>
      </c>
      <c r="K228" s="30">
        <v>320</v>
      </c>
    </row>
    <row r="229" spans="3:11" s="4" customFormat="1" ht="15.95" hidden="1" customHeight="1" x14ac:dyDescent="0.25">
      <c r="C229" s="7" t="s">
        <v>212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165</v>
      </c>
      <c r="K229" s="30">
        <v>210</v>
      </c>
    </row>
    <row r="230" spans="3:11" s="4" customFormat="1" ht="15.95" hidden="1" customHeight="1" x14ac:dyDescent="0.25">
      <c r="C230" s="7" t="s">
        <v>213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214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215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165</v>
      </c>
      <c r="K232" s="30">
        <v>110</v>
      </c>
    </row>
    <row r="233" spans="3:11" s="4" customFormat="1" ht="15.95" hidden="1" customHeight="1" x14ac:dyDescent="0.25">
      <c r="C233" s="7" t="s">
        <v>216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165</v>
      </c>
      <c r="K233" s="30">
        <v>310</v>
      </c>
    </row>
    <row r="234" spans="3:11" s="4" customFormat="1" ht="15.95" hidden="1" customHeight="1" x14ac:dyDescent="0.25">
      <c r="C234" s="7" t="s">
        <v>217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165</v>
      </c>
      <c r="K234" s="30">
        <v>160</v>
      </c>
    </row>
    <row r="235" spans="3:11" s="4" customFormat="1" ht="15.95" hidden="1" customHeight="1" x14ac:dyDescent="0.25">
      <c r="C235" s="7" t="s">
        <v>59</v>
      </c>
      <c r="D235" s="7"/>
      <c r="E235" s="8">
        <f t="shared" si="14"/>
        <v>0</v>
      </c>
      <c r="F235" s="12"/>
      <c r="G235" s="12"/>
      <c r="H235" s="12"/>
      <c r="I235" s="8">
        <v>0</v>
      </c>
      <c r="J235" s="10" t="s">
        <v>165</v>
      </c>
      <c r="K235" s="30">
        <v>10</v>
      </c>
    </row>
    <row r="236" spans="3:11" s="4" customFormat="1" ht="15.95" hidden="1" customHeight="1" x14ac:dyDescent="0.25">
      <c r="C236" s="7" t="s">
        <v>221</v>
      </c>
      <c r="D236" s="7"/>
      <c r="E236" s="8">
        <f t="shared" si="14"/>
        <v>0</v>
      </c>
      <c r="F236" s="12"/>
      <c r="G236" s="12"/>
      <c r="H236" s="12"/>
      <c r="I236" s="8">
        <v>0</v>
      </c>
      <c r="J236" s="10" t="s">
        <v>165</v>
      </c>
      <c r="K236" s="30">
        <v>260</v>
      </c>
    </row>
    <row r="237" spans="3:11" s="4" customFormat="1" ht="15.95" hidden="1" customHeight="1" x14ac:dyDescent="0.25">
      <c r="C237" s="7" t="s">
        <v>3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165</v>
      </c>
      <c r="K237" s="30">
        <v>180</v>
      </c>
    </row>
    <row r="238" spans="3:11" s="4" customFormat="1" ht="15.95" hidden="1" customHeight="1" x14ac:dyDescent="0.25">
      <c r="C238" s="7" t="s">
        <v>2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165</v>
      </c>
      <c r="K238" s="30">
        <v>200</v>
      </c>
    </row>
    <row r="239" spans="3:11" s="4" customFormat="1" ht="15.95" hidden="1" customHeight="1" x14ac:dyDescent="0.25">
      <c r="C239" s="7" t="s">
        <v>1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165</v>
      </c>
      <c r="K239" s="30">
        <v>220</v>
      </c>
    </row>
    <row r="240" spans="3:11" s="4" customFormat="1" ht="15.95" hidden="1" customHeight="1" x14ac:dyDescent="0.25">
      <c r="C240" s="7" t="s">
        <v>180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165</v>
      </c>
      <c r="K240" s="30">
        <v>220</v>
      </c>
    </row>
    <row r="241" spans="3:11" s="4" customFormat="1" ht="15.95" hidden="1" customHeight="1" x14ac:dyDescent="0.25">
      <c r="C241" s="7" t="s">
        <v>0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165</v>
      </c>
      <c r="K241" s="30">
        <v>250</v>
      </c>
    </row>
    <row r="242" spans="3:11" s="4" customFormat="1" ht="15.95" hidden="1" customHeight="1" x14ac:dyDescent="0.25">
      <c r="C242" s="7" t="s">
        <v>209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165</v>
      </c>
      <c r="K242" s="30">
        <v>390</v>
      </c>
    </row>
    <row r="243" spans="3:11" s="4" customFormat="1" ht="15.95" hidden="1" customHeight="1" x14ac:dyDescent="0.25">
      <c r="C243" s="7" t="s">
        <v>235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165</v>
      </c>
      <c r="K243" s="30">
        <v>460</v>
      </c>
    </row>
    <row r="244" spans="3:11" s="4" customFormat="1" ht="15.95" hidden="1" customHeight="1" x14ac:dyDescent="0.25">
      <c r="C244" s="7" t="s">
        <v>210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165</v>
      </c>
      <c r="K244" s="30">
        <v>850</v>
      </c>
    </row>
    <row r="245" spans="3:11" s="4" customFormat="1" ht="15.95" hidden="1" customHeight="1" x14ac:dyDescent="0.25">
      <c r="C245" s="7" t="s">
        <v>186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165</v>
      </c>
      <c r="K245" s="30">
        <v>1400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165</v>
      </c>
      <c r="K246" s="30">
        <v>360</v>
      </c>
    </row>
    <row r="247" spans="3:11" s="4" customFormat="1" ht="15.95" hidden="1" customHeight="1" x14ac:dyDescent="0.25">
      <c r="C247" s="7" t="s">
        <v>240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165</v>
      </c>
      <c r="K247" s="30">
        <v>550</v>
      </c>
    </row>
    <row r="248" spans="3:11" s="4" customFormat="1" ht="15.95" hidden="1" customHeight="1" x14ac:dyDescent="0.25">
      <c r="C248" s="7" t="s">
        <v>241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165</v>
      </c>
      <c r="K248" s="30">
        <v>580</v>
      </c>
    </row>
    <row r="249" spans="3:11" s="4" customFormat="1" ht="15.95" hidden="1" customHeight="1" x14ac:dyDescent="0.25">
      <c r="C249" s="7" t="s">
        <v>233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165</v>
      </c>
      <c r="K249" s="30">
        <v>680</v>
      </c>
    </row>
    <row r="250" spans="3:11" s="4" customFormat="1" ht="15.95" hidden="1" customHeight="1" x14ac:dyDescent="0.25">
      <c r="C250" s="7" t="s">
        <v>238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165</v>
      </c>
      <c r="K250" s="30">
        <v>750</v>
      </c>
    </row>
    <row r="251" spans="3:11" s="4" customFormat="1" ht="15.95" hidden="1" customHeight="1" x14ac:dyDescent="0.25">
      <c r="C251" s="7" t="s">
        <v>234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165</v>
      </c>
      <c r="K251" s="30">
        <v>340</v>
      </c>
    </row>
    <row r="252" spans="3:11" s="4" customFormat="1" ht="15.95" hidden="1" customHeight="1" x14ac:dyDescent="0.25">
      <c r="C252" s="7" t="s">
        <v>239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165</v>
      </c>
      <c r="K252" s="30">
        <v>160</v>
      </c>
    </row>
    <row r="253" spans="3:11" s="4" customFormat="1" ht="15.95" hidden="1" customHeight="1" x14ac:dyDescent="0.25">
      <c r="C253" s="7" t="s">
        <v>236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165</v>
      </c>
      <c r="K253" s="30">
        <v>130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165</v>
      </c>
      <c r="K254" s="30">
        <v>130</v>
      </c>
    </row>
    <row r="255" spans="3:11" s="4" customFormat="1" ht="15.95" hidden="1" customHeight="1" x14ac:dyDescent="0.25">
      <c r="C255" s="7" t="s">
        <v>222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165</v>
      </c>
      <c r="K255" s="30">
        <v>400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165</v>
      </c>
      <c r="K256" s="30">
        <v>260</v>
      </c>
    </row>
    <row r="257" spans="3:11" s="4" customFormat="1" ht="15.95" hidden="1" customHeight="1" x14ac:dyDescent="0.25">
      <c r="C257" s="7" t="s">
        <v>230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165</v>
      </c>
      <c r="K257" s="30">
        <v>180</v>
      </c>
    </row>
    <row r="258" spans="3:11" s="4" customFormat="1" ht="15.95" hidden="1" customHeight="1" x14ac:dyDescent="0.25">
      <c r="C258" s="7" t="s">
        <v>231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165</v>
      </c>
      <c r="K258" s="30">
        <v>120</v>
      </c>
    </row>
    <row r="259" spans="3:11" s="4" customFormat="1" ht="15.95" hidden="1" customHeight="1" x14ac:dyDescent="0.25">
      <c r="C259" s="7" t="s">
        <v>232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165</v>
      </c>
      <c r="K259" s="30">
        <v>220</v>
      </c>
    </row>
    <row r="260" spans="3:11" s="4" customFormat="1" ht="15.95" hidden="1" customHeight="1" x14ac:dyDescent="0.25">
      <c r="C260" s="7" t="s">
        <v>225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165</v>
      </c>
      <c r="K260" s="30">
        <v>230</v>
      </c>
    </row>
    <row r="261" spans="3:11" s="4" customFormat="1" ht="15.95" hidden="1" customHeight="1" x14ac:dyDescent="0.25">
      <c r="C261" s="7" t="s">
        <v>227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228</v>
      </c>
      <c r="K261" s="30">
        <v>500</v>
      </c>
    </row>
    <row r="262" spans="3:11" s="4" customFormat="1" ht="15.95" hidden="1" customHeight="1" x14ac:dyDescent="0.25">
      <c r="C262" s="7" t="s">
        <v>229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165</v>
      </c>
      <c r="K262" s="30">
        <v>180</v>
      </c>
    </row>
    <row r="263" spans="3:11" s="4" customFormat="1" ht="15.95" hidden="1" customHeight="1" x14ac:dyDescent="0.25">
      <c r="C263" s="7" t="s">
        <v>223</v>
      </c>
      <c r="D263" s="7"/>
      <c r="E263" s="8">
        <f t="shared" si="14"/>
        <v>0</v>
      </c>
      <c r="F263" s="8"/>
      <c r="G263" s="8"/>
      <c r="H263" s="8"/>
      <c r="I263" s="8">
        <v>0</v>
      </c>
      <c r="J263" s="10" t="s">
        <v>165</v>
      </c>
      <c r="K263" s="30">
        <v>260</v>
      </c>
    </row>
    <row r="264" spans="3:11" s="4" customFormat="1" ht="15.95" hidden="1" customHeight="1" x14ac:dyDescent="0.25">
      <c r="C264" s="7" t="s">
        <v>218</v>
      </c>
      <c r="D264" s="7"/>
      <c r="E264" s="8">
        <f t="shared" si="14"/>
        <v>0</v>
      </c>
      <c r="F264" s="8"/>
      <c r="G264" s="8"/>
      <c r="H264" s="8"/>
      <c r="I264" s="8">
        <v>0</v>
      </c>
      <c r="J264" s="10" t="s">
        <v>165</v>
      </c>
      <c r="K264" s="30">
        <v>6500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4"/>
        <v>0</v>
      </c>
      <c r="F265" s="8"/>
      <c r="G265" s="8"/>
      <c r="H265" s="8"/>
      <c r="I265" s="8">
        <v>0</v>
      </c>
      <c r="J265" s="10" t="s">
        <v>165</v>
      </c>
      <c r="K265" s="30">
        <v>8800</v>
      </c>
    </row>
    <row r="266" spans="3:11" s="4" customFormat="1" ht="15.95" hidden="1" customHeight="1" x14ac:dyDescent="0.25">
      <c r="C266" s="7" t="s">
        <v>219</v>
      </c>
      <c r="D266" s="7"/>
      <c r="E266" s="8">
        <f t="shared" si="14"/>
        <v>0</v>
      </c>
      <c r="F266" s="8"/>
      <c r="G266" s="8"/>
      <c r="H266" s="8"/>
      <c r="I266" s="8">
        <v>0</v>
      </c>
      <c r="J266" s="10" t="s">
        <v>165</v>
      </c>
      <c r="K266" s="30">
        <v>1050</v>
      </c>
    </row>
    <row r="267" spans="3:11" s="22" customFormat="1" ht="15.95" customHeight="1" x14ac:dyDescent="0.25">
      <c r="C267" s="32" t="s">
        <v>147</v>
      </c>
      <c r="D267" s="33">
        <f>SUM(E268)</f>
        <v>28000</v>
      </c>
      <c r="E267" s="34"/>
      <c r="F267" s="35"/>
      <c r="G267" s="35"/>
      <c r="H267" s="35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K268*I268</f>
        <v>28000</v>
      </c>
      <c r="F268" s="24"/>
      <c r="G268" s="24"/>
      <c r="H268" s="24"/>
      <c r="I268" s="24">
        <v>1</v>
      </c>
      <c r="J268" s="25" t="s">
        <v>165</v>
      </c>
      <c r="K268" s="48">
        <v>28000</v>
      </c>
    </row>
    <row r="269" spans="3:11" s="22" customFormat="1" ht="15.95" customHeight="1" x14ac:dyDescent="0.25">
      <c r="C269" s="32" t="s">
        <v>145</v>
      </c>
      <c r="D269" s="33">
        <f>SUM(E270)</f>
        <v>7500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7500</v>
      </c>
      <c r="F270" s="41"/>
      <c r="G270" s="41"/>
      <c r="H270" s="41"/>
      <c r="I270" s="24">
        <v>6</v>
      </c>
      <c r="J270" s="25" t="s">
        <v>148</v>
      </c>
      <c r="K270" s="48">
        <v>1250</v>
      </c>
    </row>
    <row r="271" spans="3:11" s="22" customFormat="1" ht="15.95" customHeight="1" x14ac:dyDescent="0.25">
      <c r="C271" s="32" t="s">
        <v>270</v>
      </c>
      <c r="D271" s="33">
        <f>SUM(E272)</f>
        <v>1000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1000</v>
      </c>
      <c r="F272" s="41"/>
      <c r="G272" s="41"/>
      <c r="H272" s="41"/>
      <c r="I272" s="24">
        <v>2</v>
      </c>
      <c r="J272" s="25" t="s">
        <v>165</v>
      </c>
      <c r="K272" s="48">
        <v>500</v>
      </c>
    </row>
    <row r="273" spans="3:11" s="22" customFormat="1" ht="15.95" customHeight="1" x14ac:dyDescent="0.25">
      <c r="C273" s="32" t="s">
        <v>146</v>
      </c>
      <c r="D273" s="33">
        <f>SUM(E274)</f>
        <v>7000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/>
      <c r="D274" s="38"/>
      <c r="E274" s="39">
        <f>I274*K274</f>
        <v>7000</v>
      </c>
      <c r="F274" s="41"/>
      <c r="G274" s="41"/>
      <c r="H274" s="41"/>
      <c r="I274" s="24">
        <v>1</v>
      </c>
      <c r="J274" s="25" t="s">
        <v>165</v>
      </c>
      <c r="K274" s="48">
        <v>7000</v>
      </c>
    </row>
    <row r="275" spans="3:11" s="22" customFormat="1" ht="15.95" customHeight="1" x14ac:dyDescent="0.25">
      <c r="C275" s="32" t="s">
        <v>211</v>
      </c>
      <c r="D275" s="33">
        <f>SUM(E276)</f>
        <v>2500</v>
      </c>
      <c r="E275" s="34"/>
      <c r="F275" s="40"/>
      <c r="G275" s="40"/>
      <c r="H275" s="40"/>
      <c r="I275" s="35"/>
      <c r="J275" s="36"/>
      <c r="K275" s="49"/>
    </row>
    <row r="276" spans="3:11" s="22" customFormat="1" ht="15.95" hidden="1" customHeight="1" x14ac:dyDescent="0.25">
      <c r="C276" s="37"/>
      <c r="D276" s="38"/>
      <c r="E276" s="39">
        <f>I276*K276</f>
        <v>2500</v>
      </c>
      <c r="F276" s="41"/>
      <c r="G276" s="41"/>
      <c r="H276" s="41"/>
      <c r="I276" s="24">
        <v>1</v>
      </c>
      <c r="J276" s="25" t="s">
        <v>165</v>
      </c>
      <c r="K276" s="48">
        <v>2500</v>
      </c>
    </row>
    <row r="277" spans="3:11" s="22" customFormat="1" ht="15.95" customHeight="1" x14ac:dyDescent="0.25">
      <c r="C277" s="32" t="s">
        <v>262</v>
      </c>
      <c r="D277" s="33">
        <f>SUM(E278)</f>
        <v>2000</v>
      </c>
      <c r="E277" s="34"/>
      <c r="F277" s="40"/>
      <c r="G277" s="40"/>
      <c r="H277" s="40"/>
      <c r="I277" s="35"/>
      <c r="J277" s="36"/>
      <c r="K277" s="49"/>
    </row>
    <row r="278" spans="3:11" s="22" customFormat="1" ht="15.95" hidden="1" customHeight="1" x14ac:dyDescent="0.25">
      <c r="C278" s="37" t="s">
        <v>287</v>
      </c>
      <c r="D278" s="38"/>
      <c r="E278" s="39">
        <f>I278*K278</f>
        <v>2000</v>
      </c>
      <c r="F278" s="41"/>
      <c r="G278" s="41"/>
      <c r="H278" s="41"/>
      <c r="I278" s="24">
        <v>1</v>
      </c>
      <c r="J278" s="25" t="s">
        <v>165</v>
      </c>
      <c r="K278" s="48">
        <v>2000</v>
      </c>
    </row>
    <row r="279" spans="3:11" ht="15.95" customHeight="1" thickBot="1" x14ac:dyDescent="0.3">
      <c r="C279" s="18" t="s">
        <v>57</v>
      </c>
      <c r="D279" s="14">
        <f>SUM(D2:D278)</f>
        <v>98689.77</v>
      </c>
      <c r="E279" s="15"/>
      <c r="F279" s="60"/>
      <c r="G279" s="60"/>
      <c r="H279" s="60"/>
      <c r="I279" s="60"/>
      <c r="J279" s="60"/>
      <c r="K279" s="60"/>
    </row>
    <row r="280" spans="3:11" ht="15.95" customHeight="1" thickTop="1" x14ac:dyDescent="0.25"/>
  </sheetData>
  <autoFilter ref="C1:K279" xr:uid="{00000000-0009-0000-0000-000000000000}">
    <filterColumn colId="1">
      <customFilters>
        <customFilter operator="notEqual" val=" "/>
      </customFilters>
    </filterColumn>
  </autoFilter>
  <mergeCells count="1">
    <mergeCell ref="F279:K279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2026-03-17T12:39:30Z</dcterms:modified>
</cp:coreProperties>
</file>