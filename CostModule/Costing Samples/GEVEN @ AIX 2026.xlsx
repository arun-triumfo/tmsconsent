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GEVEN @ AIX 2026\"/>
    </mc:Choice>
  </mc:AlternateContent>
  <xr:revisionPtr revIDLastSave="0" documentId="13_ncr:1_{21152E86-8688-4FB4-90E4-AE81D25DD7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7" i="1" l="1"/>
  <c r="E4" i="1"/>
  <c r="E115" i="1"/>
  <c r="E137" i="1" l="1"/>
  <c r="E270" i="1" l="1"/>
  <c r="D269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6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5" i="1" l="1"/>
  <c r="E89" i="1" l="1"/>
  <c r="D88" i="1" s="1"/>
  <c r="E16" i="1" l="1"/>
  <c r="E84" i="1" l="1"/>
  <c r="E85" i="1"/>
  <c r="E86" i="1"/>
  <c r="E210" i="1" l="1"/>
  <c r="E134" i="1"/>
  <c r="E167" i="1"/>
  <c r="D166" i="1" s="1"/>
  <c r="D209" i="1" l="1"/>
  <c r="E87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3" i="1" l="1"/>
  <c r="E145" i="1" l="1"/>
  <c r="E68" i="1" l="1"/>
  <c r="E69" i="1"/>
  <c r="E72" i="1"/>
  <c r="E75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2" i="1"/>
  <c r="D221" i="1" s="1"/>
  <c r="D17" i="1" l="1"/>
  <c r="D152" i="1"/>
  <c r="D133" i="1"/>
  <c r="D144" i="1"/>
  <c r="D109" i="1"/>
  <c r="D271" i="1" l="1"/>
</calcChain>
</file>

<file path=xl/sharedStrings.xml><?xml version="1.0" encoding="utf-8"?>
<sst xmlns="http://schemas.openxmlformats.org/spreadsheetml/2006/main" count="586" uniqueCount="285">
  <si>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</si>
  <si>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</si>
  <si>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</si>
  <si>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</si>
  <si>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</si>
  <si>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</si>
  <si>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</si>
  <si>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</si>
  <si>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</si>
  <si>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</si>
  <si>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</si>
  <si>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</si>
  <si>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</si>
  <si>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</si>
  <si>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</si>
  <si>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</si>
  <si>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</si>
  <si>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</si>
  <si>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</si>
  <si>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</si>
  <si>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</si>
  <si>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</si>
  <si>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</si>
  <si>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</si>
  <si>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</si>
  <si>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</si>
  <si>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</si>
  <si>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</si>
  <si>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</si>
  <si>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</si>
  <si>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</si>
  <si>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</si>
  <si>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</si>
  <si>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</si>
  <si>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</si>
  <si>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</si>
  <si>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</si>
  <si>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</si>
  <si>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</si>
  <si>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</si>
  <si>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</si>
  <si>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</si>
  <si>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</si>
  <si>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</si>
  <si>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</si>
  <si>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</si>
  <si>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</si>
  <si>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</si>
  <si>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</si>
  <si>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</si>
  <si>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</si>
  <si>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</si>
  <si>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</si>
  <si>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</si>
  <si>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</si>
  <si>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</si>
  <si>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</si>
  <si>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</si>
  <si>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</si>
  <si>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</si>
  <si>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</si>
  <si>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</si>
  <si>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</si>
  <si>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</si>
  <si>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</si>
  <si>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</si>
  <si>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</si>
  <si>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</si>
  <si>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</si>
  <si>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</si>
  <si>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</si>
  <si>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</si>
  <si>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</si>
  <si>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</si>
  <si>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</si>
  <si>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</si>
  <si>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</si>
  <si>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</si>
  <si>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</si>
  <si>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</si>
  <si>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</si>
  <si>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</si>
  <si>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</si>
  <si>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</si>
  <si>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</si>
  <si>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</si>
  <si>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</si>
  <si>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</si>
  <si>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</si>
  <si>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</si>
  <si>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</si>
  <si>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</si>
  <si>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</si>
  <si>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</si>
  <si>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</si>
  <si>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</si>
  <si>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</si>
  <si>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</si>
  <si>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</si>
  <si>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</si>
  <si>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</si>
  <si>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</si>
  <si>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</si>
  <si>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</si>
  <si>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</si>
  <si>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</si>
  <si>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</si>
  <si>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</si>
  <si>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</si>
  <si>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</si>
  <si>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</si>
  <si>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</si>
  <si>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</si>
  <si>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</si>
  <si>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</si>
  <si>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</si>
  <si>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</si>
  <si>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</si>
  <si>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</si>
  <si>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</si>
  <si>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</si>
  <si>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</si>
  <si>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</si>
  <si>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</si>
  <si>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</si>
  <si>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</si>
  <si>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</si>
  <si>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</si>
  <si>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</si>
  <si>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</si>
  <si>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</si>
  <si>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</si>
  <si>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</si>
  <si>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</si>
  <si>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</si>
  <si>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</si>
  <si>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</si>
  <si>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</si>
  <si>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</si>
  <si>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</si>
  <si>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</si>
  <si>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</si>
  <si>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</si>
  <si>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</si>
  <si>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</si>
  <si>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</si>
  <si>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</si>
  <si>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</si>
  <si>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</si>
  <si>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</si>
  <si>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</si>
  <si>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</si>
  <si>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</si>
  <si>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</si>
  <si>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</si>
  <si>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</si>
  <si>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</si>
  <si>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</si>
  <si>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</si>
  <si>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</si>
  <si>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</si>
  <si>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</si>
  <si>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</si>
  <si>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</si>
  <si>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</si>
  <si>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</si>
  <si>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</si>
  <si>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</si>
  <si>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</si>
  <si>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</si>
  <si>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</si>
  <si>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</si>
  <si>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</si>
  <si>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</si>
  <si>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</si>
  <si>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</si>
  <si>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</si>
  <si>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</si>
  <si>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</si>
  <si>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</si>
  <si>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</si>
  <si>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</si>
  <si>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</si>
  <si>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</si>
  <si>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</si>
  <si>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</si>
  <si>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</si>
  <si>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</si>
  <si>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</si>
  <si>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</si>
  <si>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</si>
  <si>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</si>
  <si>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</si>
  <si>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</si>
  <si>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</si>
  <si>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</si>
  <si>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</si>
  <si>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</si>
  <si>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</si>
  <si>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</si>
  <si>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</si>
  <si>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</si>
  <si>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</si>
  <si>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</si>
  <si>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</si>
  <si>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</si>
  <si>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</si>
  <si>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</si>
  <si>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</si>
  <si>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</si>
  <si>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</si>
  <si>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</si>
  <si>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</si>
  <si>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</si>
  <si>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</si>
  <si>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</si>
  <si>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</si>
  <si>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</si>
  <si>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</si>
  <si>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</si>
  <si>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</si>
  <si>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</si>
  <si>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</si>
  <si>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</si>
  <si>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</si>
  <si>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</si>
  <si>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</si>
  <si>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</si>
  <si>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</si>
  <si>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</si>
  <si>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</si>
  <si>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</si>
  <si>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</si>
  <si>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</si>
  <si>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</si>
  <si>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</si>
  <si>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</si>
  <si>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</si>
  <si>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</si>
  <si>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</si>
  <si>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</si>
  <si>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</si>
  <si>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</si>
  <si>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</si>
  <si>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</si>
  <si>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</si>
  <si>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</si>
  <si>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</si>
  <si>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</si>
  <si>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</si>
  <si>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</si>
  <si>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</si>
  <si>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</si>
  <si>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</si>
  <si>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</si>
  <si>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</si>
  <si>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</si>
  <si>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</si>
  <si>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</si>
  <si>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</si>
  <si>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</si>
  <si>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</si>
  <si>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</si>
  <si>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</si>
  <si>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</si>
  <si>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</si>
  <si>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</si>
  <si>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</si>
  <si>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</si>
  <si>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</si>
  <si>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Info Counter (Laminated) 4.5 x 0.5 x 1.0</t>
  </si>
  <si>
    <t>Bar Counter (Laminated) 4.5 x 0.5 x 1.0</t>
  </si>
  <si>
    <r>
      <t xml:space="preserve">Gray laminated floor (Standard Matt) </t>
    </r>
    <r>
      <rPr>
        <sz val="11"/>
        <color rgb="FFFF0000"/>
        <rFont val="Calibri"/>
        <family val="2"/>
        <scheme val="minor"/>
      </rPr>
      <t>TOP LAYER</t>
    </r>
  </si>
  <si>
    <t>Demo Stand (Laminated)- 0.5 x 0.5 x 1.0</t>
  </si>
  <si>
    <t>Opt Nr:-  1</t>
  </si>
  <si>
    <t>Date:- 30-10-2025</t>
  </si>
  <si>
    <t>GEVEN</t>
  </si>
  <si>
    <t>AIX 2026</t>
  </si>
  <si>
    <t>17M X 15.5M</t>
  </si>
  <si>
    <t>264 SQM</t>
  </si>
  <si>
    <t>3M</t>
  </si>
  <si>
    <t>14-16 APR, 2026</t>
  </si>
  <si>
    <t>HAMBURG</t>
  </si>
  <si>
    <t>M2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</si>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</sst>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144</xdr:row>
      <xdr:rowOff>0</xdr:rowOff>
    </xdr:from>
    <xdr:to>
      <xdr:col>1</xdr:col>
      <xdr:colOff>1019175</xdr:colOff>
      <xdr:row>266</xdr:row>
      <xdr:rowOff>171192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282E79-B668-4134-8CD3-DF9E8F59E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076449" cy="1571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265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SUM(E3:E12)</f>
        <v>9470.61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ref="E4" si="1">I4*K4</f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272</v>
      </c>
      <c r="D5" s="7"/>
      <c r="E5" s="8">
        <f t="shared" si="0"/>
        <v>2898</v>
      </c>
      <c r="F5" s="8"/>
      <c r="G5" s="8"/>
      <c r="H5" s="8"/>
      <c r="I5" s="9">
        <v>276</v>
      </c>
      <c r="J5" s="10" t="s">
        <v>165</v>
      </c>
      <c r="K5" s="30">
        <v>10.5</v>
      </c>
    </row>
    <row r="6" spans="1:11" ht="15.95" hidden="1" customHeight="1" x14ac:dyDescent="0.25">
      <c r="C6" s="7" t="s">
        <v>172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14.29</v>
      </c>
    </row>
    <row r="7" spans="1:11" ht="15.95" hidden="1" customHeight="1" x14ac:dyDescent="0.25">
      <c r="C7" s="7" t="s">
        <v>161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28.1</v>
      </c>
    </row>
    <row r="8" spans="1:11" ht="15.95" hidden="1" customHeight="1" x14ac:dyDescent="0.25">
      <c r="B8" s="29" t="s">
        <v>249</v>
      </c>
      <c r="C8" s="7" t="s">
        <v>152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10</v>
      </c>
    </row>
    <row r="9" spans="1:11" ht="15.95" hidden="1" customHeight="1" x14ac:dyDescent="0.25">
      <c r="B9" s="29" t="s">
        <v>249</v>
      </c>
      <c r="C9" s="7" t="s">
        <v>167</v>
      </c>
      <c r="D9" s="7"/>
      <c r="E9" s="8">
        <f t="shared" si="0"/>
        <v>6309.36</v>
      </c>
      <c r="F9" s="8"/>
      <c r="G9" s="8"/>
      <c r="H9" s="8"/>
      <c r="I9" s="9">
        <v>276</v>
      </c>
      <c r="J9" s="10" t="s">
        <v>165</v>
      </c>
      <c r="K9" s="30">
        <v>22.86</v>
      </c>
    </row>
    <row r="10" spans="1:11" ht="15.95" hidden="1" customHeight="1" x14ac:dyDescent="0.25">
      <c r="C10" s="7" t="s">
        <v>153</v>
      </c>
      <c r="D10" s="7"/>
      <c r="E10" s="8">
        <f t="shared" si="0"/>
        <v>263.25</v>
      </c>
      <c r="F10" s="8"/>
      <c r="G10" s="8"/>
      <c r="H10" s="8"/>
      <c r="I10" s="9">
        <v>65</v>
      </c>
      <c r="J10" s="10" t="s">
        <v>150</v>
      </c>
      <c r="K10" s="30">
        <v>4.05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28.57</v>
      </c>
    </row>
    <row r="12" spans="1:11" ht="15.95" hidden="1" customHeight="1" x14ac:dyDescent="0.25">
      <c r="C12" s="7" t="s">
        <v>113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165</v>
      </c>
      <c r="K12" s="30">
        <v>22.62</v>
      </c>
    </row>
    <row r="13" spans="1:11" s="4" customFormat="1" ht="15.95" customHeight="1" x14ac:dyDescent="0.25">
      <c r="A13" s="21" t="s">
        <v>139</v>
      </c>
      <c r="B13" s="4" t="s">
        <v>277</v>
      </c>
      <c r="C13" s="26" t="s">
        <v>194</v>
      </c>
      <c r="D13" s="52">
        <f>SUM(E14:E16)</f>
        <v>0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265</v>
      </c>
    </row>
    <row r="15" spans="1:11" ht="15.95" hidden="1" customHeight="1" x14ac:dyDescent="0.25">
      <c r="B15" s="13"/>
      <c r="C15" s="16" t="s">
        <v>186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365</v>
      </c>
    </row>
    <row r="16" spans="1:11" ht="15.95" hidden="1" customHeight="1" x14ac:dyDescent="0.25">
      <c r="B16" s="13"/>
      <c r="C16" s="16" t="s">
        <v>189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166</v>
      </c>
      <c r="K16" s="30">
        <v>810</v>
      </c>
    </row>
    <row r="17" spans="1:11" s="4" customFormat="1" ht="15.95" customHeight="1" x14ac:dyDescent="0.25">
      <c r="A17" s="21" t="s">
        <v>144</v>
      </c>
      <c r="B17" s="4" t="s">
        <v>282</v>
      </c>
      <c r="C17" s="26" t="s">
        <v>184</v>
      </c>
      <c r="D17" s="27">
        <f>SUM(E18:E87)</f>
        <v>6655.28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249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52.86</v>
      </c>
    </row>
    <row r="19" spans="1:11" ht="15.95" hidden="1" customHeight="1" x14ac:dyDescent="0.25">
      <c r="B19" s="29" t="s">
        <v>249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1:11" ht="15.95" hidden="1" customHeight="1" x14ac:dyDescent="0.25">
      <c r="C22" s="7" t="s">
        <v>136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1:11" ht="15.95" hidden="1" customHeight="1" x14ac:dyDescent="0.25">
      <c r="C23" s="7" t="s">
        <v>137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1:11" ht="15.95" hidden="1" customHeight="1" x14ac:dyDescent="0.25">
      <c r="C24" s="7" t="s">
        <v>128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1:11" ht="15.95" hidden="1" customHeight="1" x14ac:dyDescent="0.25">
      <c r="C25" s="7" t="s">
        <v>129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1:11" ht="15.95" hidden="1" customHeight="1" x14ac:dyDescent="0.25">
      <c r="B26" s="29" t="s">
        <v>249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62.86</v>
      </c>
    </row>
    <row r="27" spans="1:11" ht="15.95" hidden="1" customHeight="1" x14ac:dyDescent="0.25">
      <c r="B27" s="29" t="s">
        <v>249</v>
      </c>
      <c r="C27" s="7" t="s">
        <v>35</v>
      </c>
      <c r="D27" s="7"/>
      <c r="E27" s="8">
        <f t="shared" si="2"/>
        <v>3206.66</v>
      </c>
      <c r="F27" s="8">
        <v>1</v>
      </c>
      <c r="G27" s="8">
        <v>0.1</v>
      </c>
      <c r="H27" s="8">
        <v>3</v>
      </c>
      <c r="I27" s="9">
        <v>46</v>
      </c>
      <c r="J27" s="10" t="s">
        <v>154</v>
      </c>
      <c r="K27" s="30">
        <v>69.709999999999994</v>
      </c>
    </row>
    <row r="28" spans="1:11" ht="15.95" hidden="1" customHeight="1" x14ac:dyDescent="0.25">
      <c r="C28" s="7" t="s">
        <v>99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1:11" ht="15.95" hidden="1" customHeight="1" x14ac:dyDescent="0.25">
      <c r="B29" s="29" t="s">
        <v>249</v>
      </c>
      <c r="C29" s="7" t="s">
        <v>33</v>
      </c>
      <c r="D29" s="7"/>
      <c r="E29" s="8">
        <f t="shared" si="2"/>
        <v>419.44</v>
      </c>
      <c r="F29" s="8">
        <v>1</v>
      </c>
      <c r="G29" s="8">
        <v>0.1</v>
      </c>
      <c r="H29" s="8">
        <v>3</v>
      </c>
      <c r="I29" s="9">
        <v>4</v>
      </c>
      <c r="J29" s="10" t="s">
        <v>154</v>
      </c>
      <c r="K29" s="30">
        <v>104.86</v>
      </c>
    </row>
    <row r="30" spans="1:11" ht="15.95" hidden="1" customHeight="1" x14ac:dyDescent="0.25">
      <c r="B30" s="29" t="s">
        <v>249</v>
      </c>
      <c r="C30" s="7" t="s">
        <v>65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1:11" ht="15.95" hidden="1" customHeight="1" x14ac:dyDescent="0.25">
      <c r="B31" s="29" t="s">
        <v>249</v>
      </c>
      <c r="C31" s="7" t="s">
        <v>66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1:11" ht="15.95" hidden="1" customHeight="1" x14ac:dyDescent="0.25">
      <c r="C32" s="7" t="s">
        <v>97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2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B49" s="29" t="s">
        <v>249</v>
      </c>
      <c r="C49" s="7" t="s">
        <v>25</v>
      </c>
      <c r="D49" s="7"/>
      <c r="E49" s="8">
        <f t="shared" si="2"/>
        <v>772.56</v>
      </c>
      <c r="F49" s="8">
        <v>1</v>
      </c>
      <c r="G49" s="8">
        <v>0.1</v>
      </c>
      <c r="H49" s="8">
        <v>6</v>
      </c>
      <c r="I49" s="9">
        <v>4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2:11" ht="15.95" hidden="1" customHeight="1" x14ac:dyDescent="0.25">
      <c r="B57" s="29" t="s">
        <v>249</v>
      </c>
      <c r="C57" s="7" t="s">
        <v>35</v>
      </c>
      <c r="D57" s="7"/>
      <c r="E57" s="8">
        <f t="shared" si="3"/>
        <v>1558.88</v>
      </c>
      <c r="F57" s="8">
        <v>1</v>
      </c>
      <c r="G57" s="8">
        <v>0.2</v>
      </c>
      <c r="H57" s="8">
        <v>3</v>
      </c>
      <c r="I57" s="9">
        <v>16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697.74</v>
      </c>
      <c r="F76" s="8">
        <v>1</v>
      </c>
      <c r="G76" s="8">
        <v>0.2</v>
      </c>
      <c r="H76" s="8">
        <v>6</v>
      </c>
      <c r="I76" s="9">
        <v>6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281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263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264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278</v>
      </c>
      <c r="C109" s="26" t="s">
        <v>196</v>
      </c>
      <c r="D109" s="27">
        <f>SUM(E110:E132)</f>
        <v>966.72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268</v>
      </c>
      <c r="D112" s="7"/>
      <c r="E112" s="8">
        <f t="shared" si="6"/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255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166</v>
      </c>
      <c r="K113" s="30">
        <v>302.29000000000002</v>
      </c>
    </row>
    <row r="114" spans="2:11" s="4" customFormat="1" ht="15.95" hidden="1" customHeight="1" x14ac:dyDescent="0.25">
      <c r="C114" s="7" t="s">
        <v>253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604.02</v>
      </c>
    </row>
    <row r="115" spans="2:11" s="4" customFormat="1" ht="15.95" hidden="1" customHeight="1" x14ac:dyDescent="0.25">
      <c r="C115" s="7" t="s">
        <v>270</v>
      </c>
      <c r="D115" s="7"/>
      <c r="E115" s="8">
        <f t="shared" ref="E115" si="7">I115*K115</f>
        <v>423.86</v>
      </c>
      <c r="F115" s="8">
        <v>4.5</v>
      </c>
      <c r="G115" s="8">
        <v>0.5</v>
      </c>
      <c r="H115" s="8">
        <v>1</v>
      </c>
      <c r="I115" s="8">
        <v>1</v>
      </c>
      <c r="J115" s="10" t="s">
        <v>166</v>
      </c>
      <c r="K115" s="30">
        <v>423.86</v>
      </c>
    </row>
    <row r="116" spans="2:11" s="4" customFormat="1" ht="15.95" hidden="1" customHeight="1" x14ac:dyDescent="0.25">
      <c r="C116" s="7" t="s">
        <v>271</v>
      </c>
      <c r="D116" s="7"/>
      <c r="E116" s="8">
        <f t="shared" si="6"/>
        <v>423.86</v>
      </c>
      <c r="F116" s="8">
        <v>4.5</v>
      </c>
      <c r="G116" s="8">
        <v>0.5</v>
      </c>
      <c r="H116" s="8">
        <v>1</v>
      </c>
      <c r="I116" s="8">
        <v>1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273</v>
      </c>
      <c r="D117" s="7"/>
      <c r="E117" s="8">
        <f t="shared" ref="E117" si="8">I117*K117</f>
        <v>119</v>
      </c>
      <c r="F117" s="8">
        <v>0.5</v>
      </c>
      <c r="G117" s="8">
        <v>0.5</v>
      </c>
      <c r="H117" s="8">
        <v>1</v>
      </c>
      <c r="I117" s="8">
        <v>1</v>
      </c>
      <c r="J117" s="10" t="s">
        <v>166</v>
      </c>
      <c r="K117" s="30">
        <v>119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279</v>
      </c>
      <c r="C133" s="26" t="s">
        <v>204</v>
      </c>
      <c r="D133" s="27">
        <f>SUM(E134:E143)</f>
        <v>6141.55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9">I134*K134</f>
        <v>70</v>
      </c>
      <c r="F134" s="12"/>
      <c r="G134" s="12"/>
      <c r="H134" s="12"/>
      <c r="I134" s="8">
        <v>2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9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269</v>
      </c>
      <c r="D136" s="7"/>
      <c r="E136" s="8">
        <f t="shared" si="9"/>
        <v>6071.55</v>
      </c>
      <c r="F136" s="8">
        <v>1</v>
      </c>
      <c r="G136" s="8">
        <v>0</v>
      </c>
      <c r="H136" s="8">
        <v>2</v>
      </c>
      <c r="I136" s="8">
        <v>51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9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9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9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9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280</v>
      </c>
      <c r="C144" s="26" t="s">
        <v>205</v>
      </c>
      <c r="D144" s="27">
        <f>SUM(E145:E151)</f>
        <v>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266</v>
      </c>
      <c r="D145" s="7"/>
      <c r="E145" s="8">
        <f t="shared" ref="E145:E151" si="10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10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10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10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166</v>
      </c>
      <c r="K148" s="30">
        <v>25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10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10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1546.48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1">I153*K153</f>
        <v>238</v>
      </c>
      <c r="F153" s="8"/>
      <c r="G153" s="8"/>
      <c r="H153" s="8"/>
      <c r="I153" s="8">
        <v>20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1"/>
        <v>200</v>
      </c>
      <c r="F154" s="8"/>
      <c r="G154" s="8"/>
      <c r="H154" s="8"/>
      <c r="I154" s="8">
        <v>4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1"/>
        <v>500</v>
      </c>
      <c r="F159" s="8"/>
      <c r="G159" s="8"/>
      <c r="H159" s="8"/>
      <c r="I159" s="8">
        <v>50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1"/>
        <v>175</v>
      </c>
      <c r="F160" s="12"/>
      <c r="G160" s="12"/>
      <c r="H160" s="12"/>
      <c r="I160" s="8">
        <v>35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1"/>
        <v>243</v>
      </c>
      <c r="F164" s="8"/>
      <c r="G164" s="8"/>
      <c r="H164" s="8"/>
      <c r="I164" s="8">
        <v>60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1049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30</v>
      </c>
      <c r="F167" s="12"/>
      <c r="G167" s="12"/>
      <c r="H167" s="12"/>
      <c r="I167" s="8">
        <v>2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180</v>
      </c>
      <c r="F168" s="12"/>
      <c r="G168" s="12"/>
      <c r="H168" s="12"/>
      <c r="I168" s="8">
        <v>15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100</v>
      </c>
      <c r="F169" s="12"/>
      <c r="G169" s="12"/>
      <c r="H169" s="12"/>
      <c r="I169" s="8">
        <v>5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195</v>
      </c>
      <c r="F175" s="12"/>
      <c r="G175" s="12"/>
      <c r="H175" s="12"/>
      <c r="I175" s="8">
        <v>3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255</v>
      </c>
      <c r="F176" s="12"/>
      <c r="G176" s="12"/>
      <c r="H176" s="12"/>
      <c r="I176" s="8">
        <v>3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48</v>
      </c>
      <c r="F179" s="12"/>
      <c r="G179" s="12"/>
      <c r="H179" s="12"/>
      <c r="I179" s="8">
        <v>6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2"/>
        <v>140</v>
      </c>
      <c r="F181" s="12"/>
      <c r="G181" s="12"/>
      <c r="H181" s="12"/>
      <c r="I181" s="8">
        <v>4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2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2"/>
        <v>50</v>
      </c>
      <c r="F187" s="12"/>
      <c r="G187" s="12"/>
      <c r="H187" s="12"/>
      <c r="I187" s="8">
        <v>2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2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2"/>
        <v>16</v>
      </c>
      <c r="F194" s="8"/>
      <c r="G194" s="8"/>
      <c r="H194" s="8"/>
      <c r="I194" s="8">
        <v>2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2741.2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3"/>
        <v>928.80000000000007</v>
      </c>
      <c r="F211" s="8">
        <v>1</v>
      </c>
      <c r="G211" s="8">
        <v>1</v>
      </c>
      <c r="H211" s="12"/>
      <c r="I211" s="8">
        <v>60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3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3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3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3"/>
        <v>476.2</v>
      </c>
      <c r="F215" s="8">
        <v>1</v>
      </c>
      <c r="G215" s="8">
        <v>1</v>
      </c>
      <c r="H215" s="12"/>
      <c r="I215" s="8">
        <v>10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3"/>
        <v>1336.2</v>
      </c>
      <c r="F218" s="8">
        <v>1</v>
      </c>
      <c r="G218" s="8">
        <v>1</v>
      </c>
      <c r="H218" s="12"/>
      <c r="I218" s="8">
        <v>102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22440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22440</v>
      </c>
      <c r="F262" s="24"/>
      <c r="G262" s="24"/>
      <c r="H262" s="24"/>
      <c r="I262" s="24">
        <v>264</v>
      </c>
      <c r="J262" s="25" t="s">
        <v>283</v>
      </c>
      <c r="K262" s="48">
        <v>85</v>
      </c>
    </row>
    <row r="263" spans="3:11" s="22" customFormat="1" ht="15.95" customHeight="1" x14ac:dyDescent="0.25">
      <c r="C263" s="32" t="s">
        <v>146</v>
      </c>
      <c r="D263" s="33">
        <f>SUM(E264)</f>
        <v>7500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7500</v>
      </c>
      <c r="F264" s="41"/>
      <c r="G264" s="41"/>
      <c r="H264" s="41"/>
      <c r="I264" s="24">
        <v>6</v>
      </c>
      <c r="J264" s="25" t="s">
        <v>149</v>
      </c>
      <c r="K264" s="48">
        <v>1250</v>
      </c>
    </row>
    <row r="265" spans="3:11" s="22" customFormat="1" ht="15.95" customHeight="1" x14ac:dyDescent="0.25">
      <c r="C265" s="32" t="s">
        <v>147</v>
      </c>
      <c r="D265" s="33">
        <f>SUM(E266)</f>
        <v>9000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9000</v>
      </c>
      <c r="F266" s="41"/>
      <c r="G266" s="41"/>
      <c r="H266" s="41"/>
      <c r="I266" s="24">
        <v>6</v>
      </c>
      <c r="J266" s="25" t="s">
        <v>166</v>
      </c>
      <c r="K266" s="48">
        <v>1500</v>
      </c>
    </row>
    <row r="267" spans="3:11" s="22" customFormat="1" ht="15.95" customHeight="1" x14ac:dyDescent="0.25">
      <c r="C267" s="32" t="s">
        <v>212</v>
      </c>
      <c r="D267" s="33">
        <f>SUM(E268)</f>
        <v>2400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2400</v>
      </c>
      <c r="F268" s="41"/>
      <c r="G268" s="41"/>
      <c r="H268" s="41"/>
      <c r="I268" s="24">
        <v>2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262</v>
      </c>
      <c r="D269" s="33">
        <f>SUM(E270)</f>
        <v>1000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284</v>
      </c>
      <c r="D270" s="38"/>
      <c r="E270" s="39">
        <f>I270*K270</f>
        <v>1000</v>
      </c>
      <c r="F270" s="41"/>
      <c r="G270" s="41"/>
      <c r="H270" s="41"/>
      <c r="I270" s="24">
        <v>1</v>
      </c>
      <c r="J270" s="25" t="s">
        <v>166</v>
      </c>
      <c r="K270" s="48">
        <v>1000</v>
      </c>
    </row>
    <row r="271" spans="3:11" ht="15.95" customHeight="1" thickBot="1" x14ac:dyDescent="0.3">
      <c r="C271" s="18" t="s">
        <v>57</v>
      </c>
      <c r="D271" s="14">
        <f>SUM(D2:D270)</f>
        <v>70910.84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2025-10-30T07:10:13Z</dcterms:modified>
</cp:coreProperties>
</file>