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Evanoff Group @ ISM 2026\Option- 3\"/>
    </mc:Choice>
  </mc:AlternateContent>
  <xr:revisionPtr revIDLastSave="0" documentId="13_ncr:1_{5612CD41-F552-48D6-AF05-A74915853E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Europe!$C$1:$K$271</definedName>
    <definedName name="_xlnm.Print_Area" localSheetId="0">Europe!$A$1:$H$271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7" i="1" l="1"/>
  <c r="E61" i="1"/>
  <c r="E60" i="1"/>
  <c r="E137" i="1" l="1"/>
  <c r="E270" i="1" l="1"/>
  <c r="D269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6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6" i="1"/>
  <c r="E138" i="1"/>
  <c r="E139" i="1"/>
  <c r="E140" i="1"/>
  <c r="E141" i="1"/>
  <c r="E142" i="1"/>
  <c r="E143" i="1"/>
  <c r="E146" i="1"/>
  <c r="E147" i="1"/>
  <c r="E148" i="1"/>
  <c r="E149" i="1"/>
  <c r="E150" i="1"/>
  <c r="E151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4" i="1"/>
  <c r="E193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11" i="1"/>
  <c r="E212" i="1"/>
  <c r="E213" i="1"/>
  <c r="E214" i="1"/>
  <c r="E215" i="1"/>
  <c r="E216" i="1"/>
  <c r="E217" i="1"/>
  <c r="E218" i="1"/>
  <c r="E219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8" i="1" l="1"/>
  <c r="D267" i="1" s="1"/>
  <c r="E266" i="1"/>
  <c r="D265" i="1" s="1"/>
  <c r="E264" i="1"/>
  <c r="D263" i="1" s="1"/>
  <c r="E262" i="1"/>
  <c r="D261" i="1" s="1"/>
  <c r="E14" i="1" l="1"/>
  <c r="E89" i="1" l="1"/>
  <c r="D88" i="1" s="1"/>
  <c r="E15" i="1" l="1"/>
  <c r="E84" i="1" l="1"/>
  <c r="E85" i="1"/>
  <c r="E86" i="1"/>
  <c r="E210" i="1" l="1"/>
  <c r="E133" i="1"/>
  <c r="E167" i="1"/>
  <c r="D166" i="1" s="1"/>
  <c r="D209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3" i="1" l="1"/>
  <c r="E59" i="1"/>
  <c r="E44" i="1" l="1"/>
  <c r="E40" i="1"/>
  <c r="E41" i="1"/>
  <c r="E153" i="1" l="1"/>
  <c r="E145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4" i="1"/>
  <c r="E65" i="1"/>
  <c r="E66" i="1"/>
  <c r="E67" i="1"/>
  <c r="E76" i="1"/>
  <c r="E77" i="1"/>
  <c r="E78" i="1"/>
  <c r="E110" i="1"/>
  <c r="E222" i="1"/>
  <c r="D221" i="1" s="1"/>
  <c r="D16" i="1" l="1"/>
  <c r="D152" i="1"/>
  <c r="D132" i="1"/>
  <c r="D144" i="1"/>
  <c r="D109" i="1"/>
  <c r="D271" i="1" l="1"/>
</calcChain>
</file>

<file path=xl/sharedStrings.xml><?xml version="1.0" encoding="utf-8"?>
<sst xmlns="http://schemas.openxmlformats.org/spreadsheetml/2006/main" count="584" uniqueCount="283">
  <si>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</si>
  <si>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</si>
  <si>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</si>
  <si>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</si>
  <si>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</si>
  <si>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</si>
  <si>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</si>
  <si>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</si>
  <si>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</si>
  <si>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</si>
  <si>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</si>
  <si>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</si>
  <si>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</si>
  <si>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</si>
  <si>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</si>
  <si>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</si>
  <si>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</si>
  <si>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</si>
  <si>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</si>
  <si>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</si>
  <si>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</si>
  <si>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Planter ( Roller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</si>
  <si>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</si>
  <si>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</si>
  <si>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</si>
  <si>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</si>
  <si>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</si>
  <si>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</si>
  <si>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</si>
  <si>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</si>
  <si>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</si>
  <si>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</si>
  <si>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</si>
  <si>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</si>
  <si>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</si>
  <si>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</si>
  <si>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</si>
  <si>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</si>
  <si>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</si>
  <si>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</si>
  <si>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</si>
  <si>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</si>
  <si>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</si>
  <si>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</si>
  <si>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</si>
  <si>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</si>
  <si>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</si>
  <si>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</si>
  <si>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</si>
  <si>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</si>
  <si>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</si>
  <si>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</si>
  <si>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</si>
  <si>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</si>
  <si>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</si>
  <si>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</si>
  <si>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</si>
  <si>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</si>
  <si>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</si>
  <si>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</si>
  <si>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</si>
  <si>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</si>
  <si>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</si>
  <si>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</si>
  <si>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</si>
  <si>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</si>
  <si>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</si>
  <si>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</si>
  <si>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</si>
  <si>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</si>
  <si>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</si>
  <si>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</si>
  <si>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</si>
  <si>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</si>
  <si>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</si>
  <si>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</si>
  <si>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</si>
  <si>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</si>
  <si>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</si>
  <si>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</si>
  <si>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</si>
  <si>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</si>
  <si>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</si>
  <si>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</si>
  <si>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</si>
  <si>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</si>
  <si>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</si>
  <si>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</si>
  <si>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</si>
  <si>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</si>
  <si>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</si>
  <si>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</si>
  <si>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</si>
  <si>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</si>
  <si>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</si>
  <si>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</si>
  <si>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</si>
  <si>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</si>
  <si>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</si>
  <si>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</si>
  <si>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</si>
  <si>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</si>
  <si>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</si>
  <si>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</si>
  <si>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</si>
  <si>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</si>
  <si>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</si>
  <si>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</si>
  <si>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</si>
  <si>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</si>
  <si>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</si>
  <si>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</si>
  <si>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</si>
  <si>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</si>
  <si>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</si>
  <si>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</si>
  <si>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</si>
  <si>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</si>
  <si>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</si>
  <si>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</si>
  <si>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</si>
  <si>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</si>
  <si>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</si>
  <si>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</si>
  <si>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</si>
  <si>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</si>
  <si>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</si>
  <si>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</si>
  <si>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</si>
  <si>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</si>
  <si>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</si>
  <si>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</si>
  <si>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</si>
  <si>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</si>
  <si>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</si>
  <si>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</si>
  <si>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</si>
  <si>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</si>
  <si>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</si>
  <si>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</si>
  <si>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</si>
  <si>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</si>
  <si>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</si>
  <si>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</si>
  <si>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</si>
  <si>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</si>
  <si>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</si>
  <si>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</si>
  <si>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</si>
  <si>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</si>
  <si>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</si>
  <si>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</si>
  <si>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</si>
  <si>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</si>
  <si>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</si>
  <si>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</si>
  <si>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</si>
  <si>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</si>
  <si>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</si>
  <si>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</si>
  <si>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</si>
  <si>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</si>
  <si>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</si>
  <si>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</si>
  <si>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</si>
  <si>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</si>
  <si>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</si>
  <si>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</si>
  <si>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</si>
  <si>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</si>
  <si>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</si>
  <si>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</si>
  <si>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</si>
  <si>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</si>
  <si>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</si>
  <si>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</si>
  <si>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</si>
  <si>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</si>
  <si>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</si>
  <si>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</si>
  <si>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</si>
  <si>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</si>
  <si>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</si>
  <si>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</si>
  <si>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</si>
  <si>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</si>
  <si>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</si>
  <si>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</si>
  <si>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</si>
  <si>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</si>
  <si>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</si>
  <si>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</si>
  <si>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</si>
  <si>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</si>
  <si>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</si>
  <si>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</si>
  <si>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</si>
  <si>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</si>
  <si>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</si>
  <si>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</si>
  <si>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</si>
  <si>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</si>
  <si>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</si>
  <si>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</si>
  <si>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</si>
  <si>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</si>
  <si>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</si>
  <si>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</si>
  <si>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</si>
  <si>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</si>
  <si>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</si>
  <si>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</si>
  <si>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</si>
  <si>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</si>
  <si>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</si>
  <si>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</si>
  <si>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</si>
  <si>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</si>
  <si>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</si>
  <si>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</si>
  <si>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</si>
  <si>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</si>
  <si>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</si>
  <si>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</si>
  <si>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</si>
  <si>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</si>
  <si>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</si>
  <si>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</si>
  <si>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</si>
  <si>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</si>
  <si>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</si>
  <si>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</si>
  <si>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</si>
  <si>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</si>
  <si>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</si>
  <si>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</si>
  <si>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</si>
  <si>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</si>
  <si>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</si>
  <si>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</si>
  <si>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</si>
  <si>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</si>
  <si>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</si>
  <si>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</si>
  <si>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</si>
  <si>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</si>
  <si>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</si>
  <si>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</si>
  <si>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</si>
  <si>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</si>
  <si>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</si>
  <si>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</si>
  <si>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</si>
  <si>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</si>
  <si>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</si>
  <si>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</si>
  <si>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</si>
  <si>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</si>
  <si>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</si>
  <si>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</si>
  <si>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</si>
  <si>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</si>
  <si>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</si>
  <si>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</si>
  <si>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</si>
  <si>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</si>
  <si>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</si>
  <si>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</si>
  <si>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</si>
  <si>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</si>
  <si>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Walls 6m( Double  Side) (Fascia)</t>
  </si>
  <si>
    <t>Display (Spray Painted)- 1.4 x 0.8 x 1.0</t>
  </si>
  <si>
    <t>Meeting table _LAMINATED</t>
  </si>
  <si>
    <t>Bar Counter (Laminated)- 2.0 x 0.5 x 1.0</t>
  </si>
  <si>
    <t>Opt Nr:-  3</t>
  </si>
  <si>
    <t>Date:- 01-09-2025</t>
  </si>
  <si>
    <t>EVANOFF GROUP</t>
  </si>
  <si>
    <t>ISM 2026</t>
  </si>
  <si>
    <t>8M X 6M</t>
  </si>
  <si>
    <t>48 SQM</t>
  </si>
  <si>
    <t>4M</t>
  </si>
  <si>
    <t>10. – 12.02.2026</t>
  </si>
  <si>
    <t>COLOGNE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</si>
</sst>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144</xdr:row>
      <xdr:rowOff>0</xdr:rowOff>
    </xdr:from>
    <xdr:to>
      <xdr:col>1</xdr:col>
      <xdr:colOff>1028700</xdr:colOff>
      <xdr:row>270</xdr:row>
      <xdr:rowOff>9827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C2A9D3-6C54-454E-98E8-2337CE560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5975" cy="1810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2"/>
  <sheetViews>
    <sheetView tabSelected="1" zoomScaleNormal="100" zoomScaleSheetLayoutView="85" workbookViewId="0">
      <pane ySplit="1" topLeftCell="A2" activePane="bottomLeft" state="frozen"/>
      <selection pane="bottomLeft" activeCell="D272" sqref="D272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47</v>
      </c>
      <c r="D1" s="19" t="s">
        <v>132</v>
      </c>
      <c r="E1" s="20" t="s">
        <v>269</v>
      </c>
      <c r="F1" s="20" t="s">
        <v>46</v>
      </c>
      <c r="G1" s="20" t="s">
        <v>45</v>
      </c>
      <c r="H1" s="20" t="s">
        <v>44</v>
      </c>
      <c r="I1" s="20" t="s">
        <v>43</v>
      </c>
      <c r="J1" s="20" t="s">
        <v>156</v>
      </c>
      <c r="K1" s="46" t="s">
        <v>269</v>
      </c>
    </row>
    <row r="2" spans="1:11" s="4" customFormat="1" ht="15.95" customHeight="1" x14ac:dyDescent="0.25">
      <c r="A2" s="21" t="s">
        <v>141</v>
      </c>
      <c r="B2" s="4" t="s">
        <v>276</v>
      </c>
      <c r="C2" s="26" t="s">
        <v>152</v>
      </c>
      <c r="D2" s="27">
        <f>SUM(E3:E11)</f>
        <v>693.98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137.28</v>
      </c>
      <c r="F3" s="8"/>
      <c r="G3" s="8"/>
      <c r="H3" s="8"/>
      <c r="I3" s="9">
        <v>48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500</v>
      </c>
      <c r="F7" s="8"/>
      <c r="G7" s="8"/>
      <c r="H7" s="8"/>
      <c r="I7" s="9">
        <v>50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56.699999999999996</v>
      </c>
      <c r="F9" s="8"/>
      <c r="G9" s="8"/>
      <c r="H9" s="8"/>
      <c r="I9" s="9">
        <v>14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277</v>
      </c>
      <c r="C12" s="26" t="s">
        <v>195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282</v>
      </c>
      <c r="C16" s="26" t="s">
        <v>185</v>
      </c>
      <c r="D16" s="27">
        <f>SUM(E17:E87)</f>
        <v>2953.07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41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42</v>
      </c>
      <c r="D18" s="7"/>
      <c r="E18" s="8">
        <f t="shared" si="1"/>
        <v>210</v>
      </c>
      <c r="F18" s="8">
        <v>1</v>
      </c>
      <c r="G18" s="8">
        <v>0.1</v>
      </c>
      <c r="H18" s="8">
        <v>2.5</v>
      </c>
      <c r="I18" s="9">
        <v>3</v>
      </c>
      <c r="J18" s="10" t="s">
        <v>155</v>
      </c>
      <c r="K18" s="30">
        <v>70</v>
      </c>
    </row>
    <row r="19" spans="2:11" ht="15.95" hidden="1" customHeight="1" x14ac:dyDescent="0.25">
      <c r="C19" s="7" t="s">
        <v>39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38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37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36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34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66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67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155</v>
      </c>
      <c r="K30" s="30">
        <v>83.81</v>
      </c>
    </row>
    <row r="31" spans="2:11" ht="15.95" hidden="1" customHeight="1" x14ac:dyDescent="0.25">
      <c r="C31" s="7" t="s">
        <v>98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33</v>
      </c>
      <c r="D33" s="7"/>
      <c r="E33" s="8">
        <f t="shared" si="1"/>
        <v>950.04</v>
      </c>
      <c r="F33" s="8">
        <v>1</v>
      </c>
      <c r="G33" s="8">
        <v>0.1</v>
      </c>
      <c r="H33" s="8">
        <v>4</v>
      </c>
      <c r="I33" s="9">
        <v>14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32</v>
      </c>
      <c r="D34" s="7"/>
      <c r="E34" s="8">
        <f t="shared" si="1"/>
        <v>555.41999999999996</v>
      </c>
      <c r="F34" s="8">
        <v>1</v>
      </c>
      <c r="G34" s="8">
        <v>0.1</v>
      </c>
      <c r="H34" s="8">
        <v>4</v>
      </c>
      <c r="I34" s="9">
        <v>6</v>
      </c>
      <c r="J34" s="10" t="s">
        <v>155</v>
      </c>
      <c r="K34" s="30">
        <v>92.57</v>
      </c>
    </row>
    <row r="35" spans="2:11" ht="15.95" hidden="1" customHeight="1" x14ac:dyDescent="0.25"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77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78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79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29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2:11" ht="15.95" hidden="1" customHeight="1" x14ac:dyDescent="0.25">
      <c r="C49" s="7" t="s">
        <v>96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2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2:11" ht="15.95" hidden="1" customHeight="1" x14ac:dyDescent="0.25">
      <c r="C51" s="7" t="s">
        <v>41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2:11" ht="15.95" hidden="1" customHeight="1" x14ac:dyDescent="0.25">
      <c r="C52" s="7" t="s">
        <v>40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2:11" ht="15.95" hidden="1" customHeight="1" x14ac:dyDescent="0.25">
      <c r="C53" s="7" t="s">
        <v>39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2:11" ht="15.95" hidden="1" customHeight="1" x14ac:dyDescent="0.25">
      <c r="C54" s="7" t="s">
        <v>38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2:11" ht="15.95" hidden="1" customHeight="1" x14ac:dyDescent="0.25">
      <c r="C55" s="7" t="s">
        <v>37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157</v>
      </c>
      <c r="K55" s="30">
        <v>80.569999999999993</v>
      </c>
    </row>
    <row r="56" spans="2:11" ht="15.95" hidden="1" customHeight="1" x14ac:dyDescent="0.25">
      <c r="C56" s="7" t="s">
        <v>36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2:11" ht="15.95" hidden="1" customHeight="1" x14ac:dyDescent="0.25">
      <c r="C57" s="7" t="s">
        <v>35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2:11" ht="15.95" hidden="1" customHeight="1" x14ac:dyDescent="0.25">
      <c r="C59" s="7" t="s">
        <v>106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157</v>
      </c>
      <c r="K59" s="30">
        <v>95.24</v>
      </c>
    </row>
    <row r="60" spans="2:11" ht="15.95" hidden="1" customHeight="1" x14ac:dyDescent="0.25">
      <c r="B60" s="29" t="s">
        <v>250</v>
      </c>
      <c r="C60" s="7" t="s">
        <v>107</v>
      </c>
      <c r="D60" s="7"/>
      <c r="E60" s="8">
        <f t="shared" si="2"/>
        <v>255.95</v>
      </c>
      <c r="F60" s="8">
        <v>1</v>
      </c>
      <c r="G60" s="8">
        <v>0.2</v>
      </c>
      <c r="H60" s="8">
        <v>3.5</v>
      </c>
      <c r="I60" s="9">
        <v>2.5</v>
      </c>
      <c r="J60" s="10" t="s">
        <v>157</v>
      </c>
      <c r="K60" s="30">
        <v>102.38</v>
      </c>
    </row>
    <row r="61" spans="2:11" ht="15.95" hidden="1" customHeight="1" x14ac:dyDescent="0.25">
      <c r="B61" s="29"/>
      <c r="C61" s="7" t="s">
        <v>107</v>
      </c>
      <c r="D61" s="7"/>
      <c r="E61" s="8">
        <f t="shared" ref="E61" si="3">I61*K61</f>
        <v>614.28</v>
      </c>
      <c r="F61" s="8">
        <v>1</v>
      </c>
      <c r="G61" s="8">
        <v>0.2</v>
      </c>
      <c r="H61" s="8">
        <v>3.5</v>
      </c>
      <c r="I61" s="9">
        <v>6</v>
      </c>
      <c r="J61" s="10" t="s">
        <v>157</v>
      </c>
      <c r="K61" s="30">
        <v>102.38</v>
      </c>
    </row>
    <row r="62" spans="2:11" ht="15.95" hidden="1" customHeight="1" x14ac:dyDescent="0.25">
      <c r="C62" s="7" t="s">
        <v>108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117.14</v>
      </c>
    </row>
    <row r="63" spans="2:11" ht="15.95" hidden="1" customHeight="1" x14ac:dyDescent="0.25">
      <c r="C63" s="7" t="s">
        <v>80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157</v>
      </c>
      <c r="K63" s="30">
        <v>142.86000000000001</v>
      </c>
    </row>
    <row r="64" spans="2:11" ht="15.95" hidden="1" customHeight="1" x14ac:dyDescent="0.25">
      <c r="C64" s="7" t="s">
        <v>33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157</v>
      </c>
      <c r="K64" s="30">
        <v>96.29</v>
      </c>
    </row>
    <row r="65" spans="1:11" ht="15.95" hidden="1" customHeight="1" x14ac:dyDescent="0.25">
      <c r="C65" s="7" t="s">
        <v>32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126</v>
      </c>
    </row>
    <row r="66" spans="1:11" ht="15.95" hidden="1" customHeight="1" x14ac:dyDescent="0.25">
      <c r="C66" s="7" t="s">
        <v>31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136</v>
      </c>
    </row>
    <row r="67" spans="1:11" ht="15.95" hidden="1" customHeight="1" x14ac:dyDescent="0.25">
      <c r="C67" s="7" t="s">
        <v>30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157</v>
      </c>
      <c r="K67" s="30">
        <v>179.71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100.95</v>
      </c>
    </row>
    <row r="69" spans="1:11" ht="15.95" hidden="1" customHeight="1" x14ac:dyDescent="0.25">
      <c r="C69" s="7" t="s">
        <v>71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130.94999999999999</v>
      </c>
    </row>
    <row r="70" spans="1:11" ht="15.95" hidden="1" customHeight="1" x14ac:dyDescent="0.25">
      <c r="C70" s="7" t="s">
        <v>109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140.47999999999999</v>
      </c>
    </row>
    <row r="71" spans="1:11" ht="15.95" hidden="1" customHeight="1" x14ac:dyDescent="0.25">
      <c r="C71" s="7" t="s">
        <v>139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157</v>
      </c>
      <c r="K71" s="30">
        <v>357.14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111.43</v>
      </c>
    </row>
    <row r="73" spans="1:11" ht="15.95" hidden="1" customHeight="1" x14ac:dyDescent="0.25">
      <c r="C73" s="7" t="s">
        <v>69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145.24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167.86</v>
      </c>
    </row>
    <row r="75" spans="1:11" ht="15.95" hidden="1" customHeight="1" x14ac:dyDescent="0.25">
      <c r="C75" s="7" t="s">
        <v>111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157</v>
      </c>
      <c r="K75" s="30">
        <v>223.81</v>
      </c>
    </row>
    <row r="76" spans="1:11" ht="15.95" hidden="1" customHeight="1" x14ac:dyDescent="0.25">
      <c r="C76" s="7" t="s">
        <v>29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116.29</v>
      </c>
    </row>
    <row r="77" spans="1:11" ht="15.95" hidden="1" customHeight="1" x14ac:dyDescent="0.25">
      <c r="C77" s="7" t="s">
        <v>270</v>
      </c>
      <c r="D77" s="7"/>
      <c r="E77" s="8">
        <f t="shared" si="2"/>
        <v>304.58</v>
      </c>
      <c r="F77" s="8">
        <v>1</v>
      </c>
      <c r="G77" s="8">
        <v>0.2</v>
      </c>
      <c r="H77" s="8">
        <v>6</v>
      </c>
      <c r="I77" s="9">
        <v>2</v>
      </c>
      <c r="J77" s="10" t="s">
        <v>157</v>
      </c>
      <c r="K77" s="30">
        <v>152.29</v>
      </c>
    </row>
    <row r="78" spans="1:11" ht="15.95" hidden="1" customHeight="1" x14ac:dyDescent="0.25">
      <c r="C78" s="7" t="s">
        <v>27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173.14</v>
      </c>
    </row>
    <row r="79" spans="1:11" ht="15.95" hidden="1" customHeight="1" x14ac:dyDescent="0.25">
      <c r="C79" s="7" t="s">
        <v>26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157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263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264</v>
      </c>
      <c r="D81" s="23"/>
      <c r="E81" s="24">
        <f t="shared" si="2"/>
        <v>62.8</v>
      </c>
      <c r="F81" s="24">
        <v>1</v>
      </c>
      <c r="G81" s="24"/>
      <c r="H81" s="24">
        <v>1</v>
      </c>
      <c r="I81" s="44">
        <v>4</v>
      </c>
      <c r="J81" s="25" t="s">
        <v>263</v>
      </c>
      <c r="K81" s="30">
        <v>15.7</v>
      </c>
    </row>
    <row r="82" spans="1:11" ht="15.95" hidden="1" customHeight="1" x14ac:dyDescent="0.25">
      <c r="C82" s="7" t="s">
        <v>96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41.67</v>
      </c>
    </row>
    <row r="83" spans="1:11" ht="15.95" hidden="1" customHeight="1" x14ac:dyDescent="0.25">
      <c r="C83" s="7" t="s">
        <v>97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157</v>
      </c>
      <c r="K83" s="30">
        <v>83.33</v>
      </c>
    </row>
    <row r="84" spans="1:11" ht="15.95" hidden="1" customHeight="1" x14ac:dyDescent="0.25">
      <c r="B84" s="29" t="s">
        <v>250</v>
      </c>
      <c r="C84" s="7" t="s">
        <v>174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112</v>
      </c>
      <c r="K84" s="30">
        <v>47.62</v>
      </c>
    </row>
    <row r="85" spans="1:11" ht="15.95" hidden="1" customHeight="1" x14ac:dyDescent="0.25">
      <c r="B85" s="29" t="s">
        <v>250</v>
      </c>
      <c r="C85" s="7" t="s">
        <v>175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B86" s="29" t="s">
        <v>250</v>
      </c>
      <c r="C86" s="7" t="s">
        <v>176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170</v>
      </c>
      <c r="K86" s="30">
        <v>190.48</v>
      </c>
    </row>
    <row r="87" spans="1:11" ht="15.95" hidden="1" customHeight="1" x14ac:dyDescent="0.25">
      <c r="C87" s="7" t="s">
        <v>177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112</v>
      </c>
      <c r="K87" s="30">
        <v>32.14</v>
      </c>
    </row>
    <row r="88" spans="1:11" s="4" customFormat="1" ht="15.95" customHeight="1" x14ac:dyDescent="0.25">
      <c r="A88" s="21" t="s">
        <v>146</v>
      </c>
      <c r="B88" s="4" t="s">
        <v>281</v>
      </c>
      <c r="C88" s="26" t="s">
        <v>196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250</v>
      </c>
      <c r="C89" s="23" t="s">
        <v>171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167</v>
      </c>
      <c r="K89" s="48">
        <v>25</v>
      </c>
    </row>
    <row r="90" spans="1:11" s="22" customFormat="1" ht="15.95" hidden="1" customHeight="1" x14ac:dyDescent="0.25">
      <c r="B90" s="29" t="s">
        <v>250</v>
      </c>
      <c r="C90" s="23" t="s">
        <v>193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167</v>
      </c>
      <c r="K90" s="48">
        <v>10</v>
      </c>
    </row>
    <row r="91" spans="1:11" s="22" customFormat="1" ht="15.95" hidden="1" customHeight="1" x14ac:dyDescent="0.25">
      <c r="B91" s="29" t="s">
        <v>250</v>
      </c>
      <c r="C91" s="23" t="s">
        <v>194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167</v>
      </c>
      <c r="K91" s="48">
        <v>2</v>
      </c>
    </row>
    <row r="92" spans="1:11" s="4" customFormat="1" ht="15.95" hidden="1" customHeight="1" x14ac:dyDescent="0.25">
      <c r="B92" s="29" t="s">
        <v>250</v>
      </c>
      <c r="C92" s="7" t="s">
        <v>251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167</v>
      </c>
      <c r="K92" s="48">
        <v>800</v>
      </c>
    </row>
    <row r="93" spans="1:11" s="4" customFormat="1" ht="15.95" hidden="1" customHeight="1" x14ac:dyDescent="0.25">
      <c r="B93" s="29" t="s">
        <v>250</v>
      </c>
      <c r="C93" s="7" t="s">
        <v>252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167</v>
      </c>
      <c r="K93" s="48">
        <v>1210</v>
      </c>
    </row>
    <row r="94" spans="1:11" s="4" customFormat="1" ht="15.95" hidden="1" customHeight="1" x14ac:dyDescent="0.25">
      <c r="B94" s="29" t="s">
        <v>250</v>
      </c>
      <c r="C94" s="7" t="s">
        <v>267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167</v>
      </c>
      <c r="K94" s="48">
        <v>1820</v>
      </c>
    </row>
    <row r="95" spans="1:11" s="4" customFormat="1" ht="15.95" hidden="1" customHeight="1" x14ac:dyDescent="0.25">
      <c r="B95" s="29" t="s">
        <v>250</v>
      </c>
      <c r="C95" s="7" t="s">
        <v>268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167</v>
      </c>
      <c r="K95" s="48">
        <v>830</v>
      </c>
    </row>
    <row r="96" spans="1:11" s="4" customFormat="1" ht="15.95" hidden="1" customHeight="1" x14ac:dyDescent="0.25">
      <c r="B96" s="42"/>
      <c r="C96" s="7" t="s">
        <v>25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167</v>
      </c>
      <c r="K96" s="48">
        <v>714.29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167</v>
      </c>
      <c r="K97" s="48">
        <v>1000</v>
      </c>
    </row>
    <row r="98" spans="1:11" s="4" customFormat="1" ht="15.95" hidden="1" customHeight="1" x14ac:dyDescent="0.25">
      <c r="B98" s="42"/>
      <c r="C98" s="7" t="s">
        <v>178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167</v>
      </c>
      <c r="K98" s="48">
        <v>250</v>
      </c>
    </row>
    <row r="99" spans="1:11" s="4" customFormat="1" ht="15.95" hidden="1" customHeight="1" x14ac:dyDescent="0.25">
      <c r="B99" s="42"/>
      <c r="C99" s="7" t="s">
        <v>23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167</v>
      </c>
      <c r="K99" s="48">
        <v>1166.67</v>
      </c>
    </row>
    <row r="100" spans="1:11" s="4" customFormat="1" ht="15.95" hidden="1" customHeight="1" x14ac:dyDescent="0.25">
      <c r="B100" s="42"/>
      <c r="C100" s="7" t="s">
        <v>134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167</v>
      </c>
      <c r="K100" s="48">
        <v>35.71</v>
      </c>
    </row>
    <row r="101" spans="1:11" s="4" customFormat="1" ht="15.95" hidden="1" customHeight="1" x14ac:dyDescent="0.25">
      <c r="B101" s="29" t="s">
        <v>250</v>
      </c>
      <c r="C101" s="7" t="s">
        <v>115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112</v>
      </c>
      <c r="K101" s="48">
        <v>23.33</v>
      </c>
    </row>
    <row r="102" spans="1:11" s="4" customFormat="1" ht="15.95" hidden="1" customHeight="1" x14ac:dyDescent="0.25">
      <c r="B102" s="29" t="s">
        <v>250</v>
      </c>
      <c r="C102" s="7" t="s">
        <v>117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167</v>
      </c>
      <c r="K102" s="48">
        <v>12.86</v>
      </c>
    </row>
    <row r="103" spans="1:11" s="4" customFormat="1" ht="15.95" hidden="1" customHeight="1" x14ac:dyDescent="0.25">
      <c r="B103" s="29" t="s">
        <v>250</v>
      </c>
      <c r="C103" s="7" t="s">
        <v>118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11.9</v>
      </c>
    </row>
    <row r="104" spans="1:11" s="4" customFormat="1" ht="15.95" hidden="1" customHeight="1" x14ac:dyDescent="0.25">
      <c r="B104" s="29" t="s">
        <v>250</v>
      </c>
      <c r="C104" s="7" t="s">
        <v>119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167</v>
      </c>
      <c r="K104" s="48">
        <v>9.52</v>
      </c>
    </row>
    <row r="105" spans="1:11" s="4" customFormat="1" ht="15.95" hidden="1" customHeight="1" x14ac:dyDescent="0.25">
      <c r="C105" s="7" t="s">
        <v>253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112</v>
      </c>
      <c r="K105" s="48">
        <v>15.48</v>
      </c>
    </row>
    <row r="106" spans="1:11" s="4" customFormat="1" ht="15.95" hidden="1" customHeight="1" x14ac:dyDescent="0.25">
      <c r="C106" s="7" t="s">
        <v>116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112</v>
      </c>
      <c r="K106" s="48">
        <v>16.07</v>
      </c>
    </row>
    <row r="107" spans="1:11" s="4" customFormat="1" ht="15.95" hidden="1" customHeight="1" x14ac:dyDescent="0.25">
      <c r="C107" s="7" t="s">
        <v>120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167</v>
      </c>
      <c r="K107" s="48">
        <v>2142.86</v>
      </c>
    </row>
    <row r="108" spans="1:11" s="4" customFormat="1" ht="15.95" hidden="1" customHeight="1" x14ac:dyDescent="0.25">
      <c r="C108" s="7" t="s">
        <v>135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167</v>
      </c>
      <c r="K108" s="48">
        <v>11.9</v>
      </c>
    </row>
    <row r="109" spans="1:11" s="4" customFormat="1" ht="15.95" customHeight="1" x14ac:dyDescent="0.25">
      <c r="A109" s="21" t="s">
        <v>142</v>
      </c>
      <c r="B109" s="4" t="s">
        <v>278</v>
      </c>
      <c r="C109" s="26" t="s">
        <v>197</v>
      </c>
      <c r="D109" s="27">
        <f>SUM(E110:E131)</f>
        <v>2152.14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256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167</v>
      </c>
      <c r="K110" s="30">
        <v>262.86</v>
      </c>
    </row>
    <row r="111" spans="1:11" s="4" customFormat="1" ht="15.95" hidden="1" customHeight="1" x14ac:dyDescent="0.25">
      <c r="C111" s="7" t="s">
        <v>255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564.6</v>
      </c>
    </row>
    <row r="112" spans="1:11" s="4" customFormat="1" ht="15.95" hidden="1" customHeight="1" x14ac:dyDescent="0.25">
      <c r="C112" s="7" t="s">
        <v>273</v>
      </c>
      <c r="D112" s="7"/>
      <c r="E112" s="8">
        <f t="shared" si="6"/>
        <v>358.69</v>
      </c>
      <c r="F112" s="8">
        <v>2</v>
      </c>
      <c r="G112" s="8">
        <v>0.5</v>
      </c>
      <c r="H112" s="8">
        <v>1</v>
      </c>
      <c r="I112" s="8">
        <v>1</v>
      </c>
      <c r="J112" s="10" t="s">
        <v>167</v>
      </c>
      <c r="K112" s="30">
        <v>358.69</v>
      </c>
    </row>
    <row r="113" spans="2:11" s="4" customFormat="1" ht="15.95" hidden="1" customHeight="1" x14ac:dyDescent="0.25">
      <c r="C113" s="7" t="s">
        <v>257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167</v>
      </c>
      <c r="K113" s="30">
        <v>302.29000000000002</v>
      </c>
    </row>
    <row r="114" spans="2:11" s="4" customFormat="1" ht="15.95" hidden="1" customHeight="1" x14ac:dyDescent="0.25">
      <c r="C114" s="7" t="s">
        <v>254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167</v>
      </c>
      <c r="K114" s="30">
        <v>604.02</v>
      </c>
    </row>
    <row r="115" spans="2:11" s="4" customFormat="1" ht="15.95" hidden="1" customHeight="1" x14ac:dyDescent="0.25">
      <c r="C115" s="7" t="s">
        <v>258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167</v>
      </c>
      <c r="K115" s="30">
        <v>423.86</v>
      </c>
    </row>
    <row r="116" spans="2:11" s="4" customFormat="1" ht="15.95" hidden="1" customHeight="1" x14ac:dyDescent="0.25">
      <c r="C116" s="7" t="s">
        <v>158</v>
      </c>
      <c r="D116" s="7"/>
      <c r="E116" s="8">
        <f t="shared" si="6"/>
        <v>0</v>
      </c>
      <c r="F116" s="8">
        <v>4</v>
      </c>
      <c r="G116" s="8">
        <v>0.5</v>
      </c>
      <c r="H116" s="8">
        <v>1</v>
      </c>
      <c r="I116" s="8">
        <v>0</v>
      </c>
      <c r="J116" s="10" t="s">
        <v>167</v>
      </c>
      <c r="K116" s="30">
        <v>595.24</v>
      </c>
    </row>
    <row r="117" spans="2:11" s="4" customFormat="1" ht="15.95" hidden="1" customHeight="1" x14ac:dyDescent="0.25">
      <c r="C117" s="7" t="s">
        <v>271</v>
      </c>
      <c r="D117" s="7"/>
      <c r="E117" s="8">
        <f t="shared" ref="E117" si="7">I117*K117</f>
        <v>1793.45</v>
      </c>
      <c r="F117" s="8">
        <v>1.4</v>
      </c>
      <c r="G117" s="8">
        <v>0.8</v>
      </c>
      <c r="H117" s="8">
        <v>1</v>
      </c>
      <c r="I117" s="8">
        <v>5</v>
      </c>
      <c r="J117" s="10" t="s">
        <v>167</v>
      </c>
      <c r="K117" s="30">
        <v>358.69</v>
      </c>
    </row>
    <row r="118" spans="2:11" s="4" customFormat="1" ht="15.95" hidden="1" customHeight="1" x14ac:dyDescent="0.25">
      <c r="C118" s="7" t="s">
        <v>198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167</v>
      </c>
      <c r="K118" s="30">
        <v>161.9</v>
      </c>
    </row>
    <row r="119" spans="2:11" s="4" customFormat="1" ht="15.95" hidden="1" customHeight="1" x14ac:dyDescent="0.25">
      <c r="C119" s="7" t="s">
        <v>199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167</v>
      </c>
      <c r="K119" s="30">
        <v>190.48</v>
      </c>
    </row>
    <row r="120" spans="2:11" s="4" customFormat="1" ht="15.95" hidden="1" customHeight="1" x14ac:dyDescent="0.25">
      <c r="C120" s="7" t="s">
        <v>200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167</v>
      </c>
      <c r="K120" s="30">
        <v>216.67</v>
      </c>
    </row>
    <row r="121" spans="2:11" s="4" customFormat="1" ht="15.95" hidden="1" customHeight="1" x14ac:dyDescent="0.25">
      <c r="C121" s="7" t="s">
        <v>201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167</v>
      </c>
      <c r="K121" s="30">
        <v>154.76</v>
      </c>
    </row>
    <row r="122" spans="2:11" s="4" customFormat="1" ht="15.95" hidden="1" customHeight="1" x14ac:dyDescent="0.25">
      <c r="C122" s="7" t="s">
        <v>202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167</v>
      </c>
      <c r="K122" s="30">
        <v>177.98</v>
      </c>
    </row>
    <row r="123" spans="2:11" s="4" customFormat="1" ht="15.95" hidden="1" customHeight="1" x14ac:dyDescent="0.25">
      <c r="C123" s="7" t="s">
        <v>203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167</v>
      </c>
      <c r="K123" s="30">
        <v>260.12</v>
      </c>
    </row>
    <row r="124" spans="2:11" s="4" customFormat="1" ht="15.95" hidden="1" customHeight="1" x14ac:dyDescent="0.25">
      <c r="B124" s="29" t="s">
        <v>250</v>
      </c>
      <c r="C124" s="7" t="s">
        <v>121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167</v>
      </c>
      <c r="K124" s="30">
        <v>210</v>
      </c>
    </row>
    <row r="125" spans="2:11" s="4" customFormat="1" ht="15.95" hidden="1" customHeight="1" x14ac:dyDescent="0.25">
      <c r="C125" s="7" t="s">
        <v>126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167</v>
      </c>
      <c r="K125" s="30">
        <v>223.81</v>
      </c>
    </row>
    <row r="126" spans="2:11" s="4" customFormat="1" ht="15.95" hidden="1" customHeight="1" x14ac:dyDescent="0.25">
      <c r="C126" s="7" t="s">
        <v>127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167</v>
      </c>
      <c r="K126" s="30">
        <v>65</v>
      </c>
    </row>
    <row r="127" spans="2:11" s="4" customFormat="1" ht="15.95" hidden="1" customHeight="1" x14ac:dyDescent="0.25">
      <c r="C127" s="7" t="s">
        <v>128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167</v>
      </c>
      <c r="K127" s="30">
        <v>35</v>
      </c>
    </row>
    <row r="128" spans="2:11" s="4" customFormat="1" ht="15.95" hidden="1" customHeight="1" x14ac:dyDescent="0.25">
      <c r="B128" s="29" t="s">
        <v>250</v>
      </c>
      <c r="C128" s="7" t="s">
        <v>56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167</v>
      </c>
      <c r="K128" s="30">
        <v>12</v>
      </c>
    </row>
    <row r="129" spans="1:11" s="4" customFormat="1" ht="15.95" hidden="1" customHeight="1" x14ac:dyDescent="0.25">
      <c r="C129" s="7" t="s">
        <v>131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112</v>
      </c>
      <c r="K129" s="30">
        <v>21.9</v>
      </c>
    </row>
    <row r="130" spans="1:11" s="4" customFormat="1" ht="15.95" hidden="1" customHeight="1" x14ac:dyDescent="0.25">
      <c r="C130" s="7" t="s">
        <v>204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167</v>
      </c>
      <c r="K130" s="30">
        <v>177.98</v>
      </c>
    </row>
    <row r="131" spans="1:11" s="4" customFormat="1" ht="15.95" hidden="1" customHeight="1" x14ac:dyDescent="0.25">
      <c r="C131" s="7" t="s">
        <v>179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167</v>
      </c>
      <c r="K131" s="30">
        <v>383.33</v>
      </c>
    </row>
    <row r="132" spans="1:11" s="4" customFormat="1" ht="15.95" customHeight="1" x14ac:dyDescent="0.25">
      <c r="A132" s="21" t="s">
        <v>144</v>
      </c>
      <c r="B132" s="4" t="s">
        <v>279</v>
      </c>
      <c r="C132" s="26" t="s">
        <v>205</v>
      </c>
      <c r="D132" s="27">
        <f>SUM(E133:E143)</f>
        <v>149.28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250</v>
      </c>
      <c r="C133" s="7" t="s">
        <v>50</v>
      </c>
      <c r="D133" s="7"/>
      <c r="E133" s="8">
        <f t="shared" ref="E133:E143" si="8">I133*K133</f>
        <v>35</v>
      </c>
      <c r="F133" s="12"/>
      <c r="G133" s="12"/>
      <c r="H133" s="12"/>
      <c r="I133" s="8">
        <v>1</v>
      </c>
      <c r="J133" s="10" t="s">
        <v>167</v>
      </c>
      <c r="K133" s="30">
        <v>35</v>
      </c>
    </row>
    <row r="134" spans="1:11" s="4" customFormat="1" ht="15.95" hidden="1" customHeight="1" x14ac:dyDescent="0.25">
      <c r="B134" s="29" t="s">
        <v>250</v>
      </c>
      <c r="C134" s="7" t="s">
        <v>51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167</v>
      </c>
      <c r="K134" s="30">
        <v>50</v>
      </c>
    </row>
    <row r="135" spans="1:11" s="4" customFormat="1" ht="15.95" hidden="1" customHeight="1" x14ac:dyDescent="0.25">
      <c r="B135" s="29" t="s">
        <v>250</v>
      </c>
      <c r="C135" s="7" t="s">
        <v>73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167</v>
      </c>
      <c r="K135" s="30">
        <v>119.05</v>
      </c>
    </row>
    <row r="136" spans="1:11" s="4" customFormat="1" ht="15.95" hidden="1" customHeight="1" x14ac:dyDescent="0.25">
      <c r="C136" s="7" t="s">
        <v>53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112</v>
      </c>
      <c r="K136" s="30">
        <v>13.1</v>
      </c>
    </row>
    <row r="137" spans="1:11" s="4" customFormat="1" ht="15.95" hidden="1" customHeight="1" x14ac:dyDescent="0.25">
      <c r="C137" s="7" t="s">
        <v>123</v>
      </c>
      <c r="D137" s="7"/>
      <c r="E137" s="8">
        <f t="shared" si="8"/>
        <v>114.28</v>
      </c>
      <c r="F137" s="8">
        <v>1</v>
      </c>
      <c r="G137" s="8">
        <v>1</v>
      </c>
      <c r="H137" s="8"/>
      <c r="I137" s="8">
        <v>4</v>
      </c>
      <c r="J137" s="10" t="s">
        <v>112</v>
      </c>
      <c r="K137" s="30">
        <v>28.57</v>
      </c>
    </row>
    <row r="138" spans="1:11" s="4" customFormat="1" ht="15.95" hidden="1" customHeight="1" x14ac:dyDescent="0.25">
      <c r="C138" s="7" t="s">
        <v>76</v>
      </c>
      <c r="D138" s="7"/>
      <c r="E138" s="8">
        <f t="shared" si="8"/>
        <v>0</v>
      </c>
      <c r="F138" s="8">
        <v>1</v>
      </c>
      <c r="G138" s="8">
        <v>0</v>
      </c>
      <c r="H138" s="8">
        <v>1</v>
      </c>
      <c r="I138" s="8">
        <v>0</v>
      </c>
      <c r="J138" s="10" t="s">
        <v>167</v>
      </c>
      <c r="K138" s="30">
        <v>11.9</v>
      </c>
    </row>
    <row r="139" spans="1:11" s="4" customFormat="1" ht="15.95" hidden="1" customHeight="1" x14ac:dyDescent="0.25">
      <c r="C139" s="7" t="s">
        <v>20</v>
      </c>
      <c r="D139" s="7"/>
      <c r="E139" s="8">
        <f t="shared" si="8"/>
        <v>0</v>
      </c>
      <c r="F139" s="8">
        <v>2</v>
      </c>
      <c r="G139" s="8">
        <v>0.2</v>
      </c>
      <c r="H139" s="8">
        <v>0.2</v>
      </c>
      <c r="I139" s="8">
        <v>0</v>
      </c>
      <c r="J139" s="10" t="s">
        <v>167</v>
      </c>
      <c r="K139" s="30">
        <v>136.9</v>
      </c>
    </row>
    <row r="140" spans="1:11" s="4" customFormat="1" ht="15.95" hidden="1" customHeight="1" x14ac:dyDescent="0.25">
      <c r="C140" s="7" t="s">
        <v>172</v>
      </c>
      <c r="D140" s="7"/>
      <c r="E140" s="8">
        <f t="shared" si="8"/>
        <v>0</v>
      </c>
      <c r="F140" s="8">
        <v>1</v>
      </c>
      <c r="G140" s="8">
        <v>1</v>
      </c>
      <c r="H140" s="8">
        <v>0</v>
      </c>
      <c r="I140" s="8">
        <v>0</v>
      </c>
      <c r="J140" s="10" t="s">
        <v>112</v>
      </c>
      <c r="K140" s="30">
        <v>22.62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112</v>
      </c>
      <c r="K141" s="30">
        <v>83.33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112</v>
      </c>
      <c r="K142" s="30">
        <v>32.14</v>
      </c>
    </row>
    <row r="143" spans="1:11" s="4" customFormat="1" ht="15.95" hidden="1" customHeight="1" x14ac:dyDescent="0.25">
      <c r="C143" s="7" t="s">
        <v>165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112</v>
      </c>
      <c r="K143" s="30">
        <v>38.1</v>
      </c>
    </row>
    <row r="144" spans="1:11" s="4" customFormat="1" ht="15.95" customHeight="1" x14ac:dyDescent="0.25">
      <c r="A144" s="21" t="s">
        <v>143</v>
      </c>
      <c r="B144" s="4" t="s">
        <v>280</v>
      </c>
      <c r="C144" s="26" t="s">
        <v>206</v>
      </c>
      <c r="D144" s="27">
        <f>SUM(E145:E151)</f>
        <v>0</v>
      </c>
      <c r="E144" s="51"/>
      <c r="F144" s="27"/>
      <c r="G144" s="27"/>
      <c r="H144" s="27"/>
      <c r="I144" s="27"/>
      <c r="J144" s="28"/>
      <c r="K144" s="47"/>
    </row>
    <row r="145" spans="2:11" s="4" customFormat="1" ht="15.95" hidden="1" customHeight="1" x14ac:dyDescent="0.25">
      <c r="C145" s="7" t="s">
        <v>21</v>
      </c>
      <c r="D145" s="7"/>
      <c r="E145" s="8">
        <f t="shared" ref="E145:E151" si="9">I145*K145</f>
        <v>0</v>
      </c>
      <c r="F145" s="8">
        <v>2</v>
      </c>
      <c r="G145" s="8">
        <v>0.2</v>
      </c>
      <c r="H145" s="8">
        <v>0.2</v>
      </c>
      <c r="I145" s="8">
        <v>0</v>
      </c>
      <c r="J145" s="10" t="s">
        <v>167</v>
      </c>
      <c r="K145" s="30">
        <v>109.52</v>
      </c>
    </row>
    <row r="146" spans="2:11" s="4" customFormat="1" ht="15.95" hidden="1" customHeight="1" x14ac:dyDescent="0.25">
      <c r="C146" s="7" t="s">
        <v>87</v>
      </c>
      <c r="D146" s="7"/>
      <c r="E146" s="8">
        <f t="shared" si="9"/>
        <v>0</v>
      </c>
      <c r="F146" s="8">
        <v>6</v>
      </c>
      <c r="G146" s="8">
        <v>0.2</v>
      </c>
      <c r="H146" s="8">
        <v>1</v>
      </c>
      <c r="I146" s="8">
        <v>0</v>
      </c>
      <c r="J146" s="10" t="s">
        <v>167</v>
      </c>
      <c r="K146" s="30">
        <v>219.05</v>
      </c>
    </row>
    <row r="147" spans="2:11" s="4" customFormat="1" ht="15.95" hidden="1" customHeight="1" x14ac:dyDescent="0.25">
      <c r="C147" s="7" t="s">
        <v>181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167</v>
      </c>
      <c r="K147" s="30">
        <v>3</v>
      </c>
    </row>
    <row r="148" spans="2:11" s="4" customFormat="1" ht="15.95" hidden="1" customHeight="1" x14ac:dyDescent="0.25">
      <c r="C148" s="7" t="s">
        <v>54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167</v>
      </c>
      <c r="K148" s="30">
        <v>25</v>
      </c>
    </row>
    <row r="149" spans="2:11" s="4" customFormat="1" ht="15.95" hidden="1" customHeight="1" x14ac:dyDescent="0.25">
      <c r="B149" s="29" t="s">
        <v>250</v>
      </c>
      <c r="C149" s="7" t="s">
        <v>74</v>
      </c>
      <c r="D149" s="7"/>
      <c r="E149" s="8">
        <f t="shared" si="9"/>
        <v>0</v>
      </c>
      <c r="F149" s="8">
        <v>0.5</v>
      </c>
      <c r="G149" s="8">
        <v>0.5</v>
      </c>
      <c r="H149" s="8"/>
      <c r="I149" s="8">
        <v>0</v>
      </c>
      <c r="J149" s="10" t="s">
        <v>112</v>
      </c>
      <c r="K149" s="30">
        <v>25</v>
      </c>
    </row>
    <row r="150" spans="2:11" s="4" customFormat="1" ht="15.95" hidden="1" customHeight="1" x14ac:dyDescent="0.25">
      <c r="C150" s="7" t="s">
        <v>92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167</v>
      </c>
      <c r="K150" s="30">
        <v>25</v>
      </c>
    </row>
    <row r="151" spans="2:11" s="4" customFormat="1" ht="15.95" hidden="1" customHeight="1" x14ac:dyDescent="0.25">
      <c r="C151" s="7" t="s">
        <v>249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167</v>
      </c>
      <c r="K151" s="30">
        <v>20</v>
      </c>
    </row>
    <row r="152" spans="2:11" s="4" customFormat="1" ht="15.95" customHeight="1" x14ac:dyDescent="0.25">
      <c r="C152" s="26" t="s">
        <v>133</v>
      </c>
      <c r="D152" s="27">
        <f>SUM(E153:E165)</f>
        <v>669.08</v>
      </c>
      <c r="E152" s="51"/>
      <c r="F152" s="27"/>
      <c r="G152" s="27"/>
      <c r="H152" s="27"/>
      <c r="I152" s="27"/>
      <c r="J152" s="28"/>
      <c r="K152" s="47"/>
    </row>
    <row r="153" spans="2:11" s="4" customFormat="1" ht="15.95" hidden="1" customHeight="1" x14ac:dyDescent="0.25">
      <c r="B153" s="29" t="s">
        <v>250</v>
      </c>
      <c r="C153" s="7" t="s">
        <v>19</v>
      </c>
      <c r="D153" s="7"/>
      <c r="E153" s="8">
        <f t="shared" ref="E153:E165" si="10">I153*K153</f>
        <v>0</v>
      </c>
      <c r="F153" s="8"/>
      <c r="G153" s="8"/>
      <c r="H153" s="8"/>
      <c r="I153" s="8">
        <v>0</v>
      </c>
      <c r="J153" s="10" t="s">
        <v>167</v>
      </c>
      <c r="K153" s="30">
        <v>11.9</v>
      </c>
    </row>
    <row r="154" spans="2:11" s="4" customFormat="1" ht="15.95" hidden="1" customHeight="1" x14ac:dyDescent="0.25">
      <c r="B154" s="29" t="s">
        <v>250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167</v>
      </c>
      <c r="K154" s="30">
        <v>50</v>
      </c>
    </row>
    <row r="155" spans="2:11" s="4" customFormat="1" ht="15.95" hidden="1" customHeight="1" x14ac:dyDescent="0.25">
      <c r="B155" s="29" t="s">
        <v>250</v>
      </c>
      <c r="C155" s="7" t="s">
        <v>64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167</v>
      </c>
      <c r="K155" s="30">
        <v>65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167</v>
      </c>
      <c r="K156" s="30">
        <v>23.81</v>
      </c>
    </row>
    <row r="157" spans="2:11" s="4" customFormat="1" ht="15.95" hidden="1" customHeight="1" x14ac:dyDescent="0.25">
      <c r="C157" s="7" t="s">
        <v>84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167</v>
      </c>
      <c r="K157" s="30">
        <v>14.29</v>
      </c>
    </row>
    <row r="158" spans="2:11" s="4" customFormat="1" ht="15.95" hidden="1" customHeight="1" x14ac:dyDescent="0.25">
      <c r="B158" s="29" t="s">
        <v>250</v>
      </c>
      <c r="C158" s="7" t="s">
        <v>65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167</v>
      </c>
      <c r="K158" s="30">
        <v>10</v>
      </c>
    </row>
    <row r="159" spans="2:11" s="4" customFormat="1" ht="15.95" hidden="1" customHeight="1" x14ac:dyDescent="0.25">
      <c r="B159" s="29" t="s">
        <v>250</v>
      </c>
      <c r="C159" s="7" t="s">
        <v>18</v>
      </c>
      <c r="D159" s="7"/>
      <c r="E159" s="8">
        <f t="shared" si="10"/>
        <v>90</v>
      </c>
      <c r="F159" s="8"/>
      <c r="G159" s="8"/>
      <c r="H159" s="8"/>
      <c r="I159" s="8">
        <v>9</v>
      </c>
      <c r="J159" s="10" t="s">
        <v>167</v>
      </c>
      <c r="K159" s="30">
        <v>10</v>
      </c>
    </row>
    <row r="160" spans="2:11" s="4" customFormat="1" ht="15.95" hidden="1" customHeight="1" x14ac:dyDescent="0.25">
      <c r="C160" s="7" t="s">
        <v>52</v>
      </c>
      <c r="D160" s="7"/>
      <c r="E160" s="8">
        <f t="shared" si="10"/>
        <v>60</v>
      </c>
      <c r="F160" s="12"/>
      <c r="G160" s="12"/>
      <c r="H160" s="12"/>
      <c r="I160" s="8">
        <v>12</v>
      </c>
      <c r="J160" s="10" t="s">
        <v>167</v>
      </c>
      <c r="K160" s="30">
        <v>5</v>
      </c>
    </row>
    <row r="161" spans="2:11" s="4" customFormat="1" ht="15.95" hidden="1" customHeight="1" x14ac:dyDescent="0.25">
      <c r="B161" s="29" t="s">
        <v>250</v>
      </c>
      <c r="C161" s="7" t="s">
        <v>17</v>
      </c>
      <c r="D161" s="7"/>
      <c r="E161" s="8">
        <f t="shared" si="10"/>
        <v>166.6</v>
      </c>
      <c r="F161" s="8"/>
      <c r="G161" s="8"/>
      <c r="H161" s="8"/>
      <c r="I161" s="8">
        <v>14</v>
      </c>
      <c r="J161" s="10" t="s">
        <v>167</v>
      </c>
      <c r="K161" s="30">
        <v>11.9</v>
      </c>
    </row>
    <row r="162" spans="2:11" s="4" customFormat="1" ht="15.95" hidden="1" customHeight="1" x14ac:dyDescent="0.25">
      <c r="C162" s="7" t="s">
        <v>57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167</v>
      </c>
      <c r="K162" s="30">
        <v>4.76</v>
      </c>
    </row>
    <row r="163" spans="2:11" s="4" customFormat="1" ht="15.95" hidden="1" customHeight="1" x14ac:dyDescent="0.25">
      <c r="C163" s="7" t="s">
        <v>16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167</v>
      </c>
      <c r="K163" s="30">
        <v>2.38</v>
      </c>
    </row>
    <row r="164" spans="2:11" ht="15.95" hidden="1" customHeight="1" x14ac:dyDescent="0.25">
      <c r="C164" s="7" t="s">
        <v>189</v>
      </c>
      <c r="D164" s="7"/>
      <c r="E164" s="8">
        <f t="shared" si="10"/>
        <v>162</v>
      </c>
      <c r="F164" s="8"/>
      <c r="G164" s="8"/>
      <c r="H164" s="8"/>
      <c r="I164" s="8">
        <v>40</v>
      </c>
      <c r="J164" s="10" t="s">
        <v>151</v>
      </c>
      <c r="K164" s="30">
        <v>4.05</v>
      </c>
    </row>
    <row r="165" spans="2:11" s="4" customFormat="1" ht="15.95" hidden="1" customHeight="1" x14ac:dyDescent="0.25">
      <c r="C165" s="7" t="s">
        <v>159</v>
      </c>
      <c r="D165" s="7"/>
      <c r="E165" s="8">
        <f t="shared" si="10"/>
        <v>190.48</v>
      </c>
      <c r="F165" s="8"/>
      <c r="G165" s="8"/>
      <c r="H165" s="8"/>
      <c r="I165" s="8">
        <v>1</v>
      </c>
      <c r="J165" s="10" t="s">
        <v>167</v>
      </c>
      <c r="K165" s="30">
        <v>190.48</v>
      </c>
    </row>
    <row r="166" spans="2:11" s="4" customFormat="1" ht="15.95" customHeight="1" x14ac:dyDescent="0.25">
      <c r="C166" s="26" t="s">
        <v>207</v>
      </c>
      <c r="D166" s="27">
        <f>SUM(E167:E208)</f>
        <v>852.76</v>
      </c>
      <c r="E166" s="51"/>
      <c r="F166" s="27"/>
      <c r="G166" s="27"/>
      <c r="H166" s="27"/>
      <c r="I166" s="27"/>
      <c r="J166" s="28"/>
      <c r="K166" s="47"/>
    </row>
    <row r="167" spans="2:11" s="4" customFormat="1" ht="15.95" hidden="1" customHeight="1" x14ac:dyDescent="0.25">
      <c r="C167" s="7" t="s">
        <v>15</v>
      </c>
      <c r="D167" s="7"/>
      <c r="E167" s="8">
        <f t="shared" ref="E167:E208" si="11">I167*K167</f>
        <v>0</v>
      </c>
      <c r="F167" s="12"/>
      <c r="G167" s="12"/>
      <c r="H167" s="12"/>
      <c r="I167" s="8">
        <v>0</v>
      </c>
      <c r="J167" s="10" t="s">
        <v>167</v>
      </c>
      <c r="K167" s="30">
        <v>15</v>
      </c>
    </row>
    <row r="168" spans="2:11" s="4" customFormat="1" ht="15.95" hidden="1" customHeight="1" x14ac:dyDescent="0.25">
      <c r="C168" s="7" t="s">
        <v>14</v>
      </c>
      <c r="D168" s="7"/>
      <c r="E168" s="8">
        <f t="shared" si="11"/>
        <v>48</v>
      </c>
      <c r="F168" s="12"/>
      <c r="G168" s="12"/>
      <c r="H168" s="12"/>
      <c r="I168" s="8">
        <v>4</v>
      </c>
      <c r="J168" s="10" t="s">
        <v>167</v>
      </c>
      <c r="K168" s="30">
        <v>12</v>
      </c>
    </row>
    <row r="169" spans="2:11" s="4" customFormat="1" ht="15.95" hidden="1" customHeight="1" x14ac:dyDescent="0.25">
      <c r="C169" s="7" t="s">
        <v>13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167</v>
      </c>
      <c r="K169" s="30">
        <v>20</v>
      </c>
    </row>
    <row r="170" spans="2:11" s="4" customFormat="1" ht="15.95" hidden="1" customHeight="1" x14ac:dyDescent="0.25">
      <c r="C170" s="7" t="s">
        <v>12</v>
      </c>
      <c r="D170" s="7"/>
      <c r="E170" s="8">
        <f t="shared" si="11"/>
        <v>30</v>
      </c>
      <c r="F170" s="12"/>
      <c r="G170" s="12"/>
      <c r="H170" s="12"/>
      <c r="I170" s="8">
        <v>2</v>
      </c>
      <c r="J170" s="10" t="s">
        <v>167</v>
      </c>
      <c r="K170" s="30">
        <v>15</v>
      </c>
    </row>
    <row r="171" spans="2:11" s="4" customFormat="1" ht="15.95" hidden="1" customHeight="1" x14ac:dyDescent="0.25">
      <c r="C171" s="7" t="s">
        <v>82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167</v>
      </c>
      <c r="K171" s="30">
        <v>15</v>
      </c>
    </row>
    <row r="172" spans="2:11" s="4" customFormat="1" ht="15.95" hidden="1" customHeight="1" x14ac:dyDescent="0.25">
      <c r="C172" s="7" t="s">
        <v>180</v>
      </c>
      <c r="D172" s="7"/>
      <c r="E172" s="8">
        <f t="shared" si="11"/>
        <v>0</v>
      </c>
      <c r="F172" s="12">
        <v>2.4</v>
      </c>
      <c r="G172" s="12">
        <v>0.7</v>
      </c>
      <c r="H172" s="12">
        <v>1</v>
      </c>
      <c r="I172" s="8">
        <v>0</v>
      </c>
      <c r="J172" s="10" t="s">
        <v>167</v>
      </c>
      <c r="K172" s="30">
        <v>385</v>
      </c>
    </row>
    <row r="173" spans="2:11" s="4" customFormat="1" ht="15.95" hidden="1" customHeight="1" x14ac:dyDescent="0.25">
      <c r="C173" s="7" t="s">
        <v>81</v>
      </c>
      <c r="D173" s="7"/>
      <c r="E173" s="8">
        <f t="shared" si="11"/>
        <v>0</v>
      </c>
      <c r="F173" s="12">
        <v>2</v>
      </c>
      <c r="G173" s="12">
        <v>0.4</v>
      </c>
      <c r="H173" s="12">
        <v>0.75</v>
      </c>
      <c r="I173" s="8">
        <v>0</v>
      </c>
      <c r="J173" s="10" t="s">
        <v>167</v>
      </c>
      <c r="K173" s="30">
        <v>130</v>
      </c>
    </row>
    <row r="174" spans="2:11" s="4" customFormat="1" ht="15.95" hidden="1" customHeight="1" x14ac:dyDescent="0.25">
      <c r="C174" s="7" t="s">
        <v>272</v>
      </c>
      <c r="D174" s="7"/>
      <c r="E174" s="8">
        <f t="shared" si="11"/>
        <v>154.76</v>
      </c>
      <c r="F174" s="12">
        <v>1.5</v>
      </c>
      <c r="G174" s="12">
        <v>1</v>
      </c>
      <c r="H174" s="12">
        <v>0.75</v>
      </c>
      <c r="I174" s="8">
        <v>1</v>
      </c>
      <c r="J174" s="10" t="s">
        <v>167</v>
      </c>
      <c r="K174" s="30">
        <v>154.76</v>
      </c>
    </row>
    <row r="175" spans="2:11" s="4" customFormat="1" ht="15.95" hidden="1" customHeight="1" x14ac:dyDescent="0.25">
      <c r="C175" s="7" t="s">
        <v>11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167</v>
      </c>
      <c r="K175" s="30">
        <v>65</v>
      </c>
    </row>
    <row r="176" spans="2:11" s="4" customFormat="1" ht="15.95" hidden="1" customHeight="1" x14ac:dyDescent="0.25">
      <c r="C176" s="7" t="s">
        <v>10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167</v>
      </c>
      <c r="K176" s="30">
        <v>85</v>
      </c>
    </row>
    <row r="177" spans="3:11" s="4" customFormat="1" ht="15.95" hidden="1" customHeight="1" x14ac:dyDescent="0.25">
      <c r="C177" s="7" t="s">
        <v>9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167</v>
      </c>
      <c r="K177" s="30">
        <v>120</v>
      </c>
    </row>
    <row r="178" spans="3:11" s="4" customFormat="1" ht="15.95" hidden="1" customHeight="1" x14ac:dyDescent="0.25">
      <c r="C178" s="7" t="s">
        <v>8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167</v>
      </c>
      <c r="K178" s="30">
        <v>10</v>
      </c>
    </row>
    <row r="179" spans="3:11" s="4" customFormat="1" ht="15.95" hidden="1" customHeight="1" x14ac:dyDescent="0.25">
      <c r="C179" s="7" t="s">
        <v>7</v>
      </c>
      <c r="D179" s="7"/>
      <c r="E179" s="8">
        <f t="shared" si="11"/>
        <v>32</v>
      </c>
      <c r="F179" s="12"/>
      <c r="G179" s="12"/>
      <c r="H179" s="12"/>
      <c r="I179" s="8">
        <v>4</v>
      </c>
      <c r="J179" s="10" t="s">
        <v>167</v>
      </c>
      <c r="K179" s="30">
        <v>8</v>
      </c>
    </row>
    <row r="180" spans="3:11" s="4" customFormat="1" ht="15.95" hidden="1" customHeight="1" x14ac:dyDescent="0.25">
      <c r="C180" s="7" t="s">
        <v>6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167</v>
      </c>
      <c r="K180" s="30">
        <v>15</v>
      </c>
    </row>
    <row r="181" spans="3:11" s="4" customFormat="1" ht="15.95" hidden="1" customHeight="1" x14ac:dyDescent="0.25">
      <c r="C181" s="7" t="s">
        <v>191</v>
      </c>
      <c r="D181" s="7"/>
      <c r="E181" s="8">
        <f t="shared" si="11"/>
        <v>70</v>
      </c>
      <c r="F181" s="12"/>
      <c r="G181" s="12"/>
      <c r="H181" s="12"/>
      <c r="I181" s="8">
        <v>2</v>
      </c>
      <c r="J181" s="10" t="s">
        <v>167</v>
      </c>
      <c r="K181" s="30">
        <v>35</v>
      </c>
    </row>
    <row r="182" spans="3:11" s="4" customFormat="1" ht="15.95" hidden="1" customHeight="1" x14ac:dyDescent="0.25">
      <c r="C182" s="7" t="s">
        <v>62</v>
      </c>
      <c r="D182" s="7"/>
      <c r="E182" s="8">
        <f t="shared" si="11"/>
        <v>0</v>
      </c>
      <c r="F182" s="12"/>
      <c r="G182" s="12"/>
      <c r="H182" s="12"/>
      <c r="I182" s="8">
        <v>0</v>
      </c>
      <c r="J182" s="10" t="s">
        <v>167</v>
      </c>
      <c r="K182" s="30">
        <v>85</v>
      </c>
    </row>
    <row r="183" spans="3:11" s="4" customFormat="1" ht="15.95" hidden="1" customHeight="1" x14ac:dyDescent="0.25">
      <c r="C183" s="7" t="s">
        <v>59</v>
      </c>
      <c r="D183" s="7"/>
      <c r="E183" s="8">
        <f t="shared" si="11"/>
        <v>35</v>
      </c>
      <c r="F183" s="12"/>
      <c r="G183" s="12"/>
      <c r="H183" s="12"/>
      <c r="I183" s="8">
        <v>1</v>
      </c>
      <c r="J183" s="10" t="s">
        <v>167</v>
      </c>
      <c r="K183" s="30">
        <v>35</v>
      </c>
    </row>
    <row r="184" spans="3:11" s="4" customFormat="1" ht="15.95" hidden="1" customHeight="1" x14ac:dyDescent="0.25">
      <c r="C184" s="7" t="s">
        <v>61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167</v>
      </c>
      <c r="K184" s="30">
        <v>25</v>
      </c>
    </row>
    <row r="185" spans="3:11" s="4" customFormat="1" ht="15.95" hidden="1" customHeight="1" x14ac:dyDescent="0.25">
      <c r="C185" s="7" t="s">
        <v>136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167</v>
      </c>
      <c r="K185" s="30">
        <v>35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167</v>
      </c>
      <c r="K186" s="30">
        <v>12</v>
      </c>
    </row>
    <row r="187" spans="3:11" s="4" customFormat="1" ht="15.95" hidden="1" customHeight="1" x14ac:dyDescent="0.25">
      <c r="C187" s="7" t="s">
        <v>49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167</v>
      </c>
      <c r="K187" s="30">
        <v>25</v>
      </c>
    </row>
    <row r="188" spans="3:11" s="4" customFormat="1" ht="15.95" hidden="1" customHeight="1" x14ac:dyDescent="0.25">
      <c r="C188" s="7" t="s">
        <v>55</v>
      </c>
      <c r="D188" s="7"/>
      <c r="E188" s="8">
        <f t="shared" si="11"/>
        <v>150</v>
      </c>
      <c r="F188" s="12"/>
      <c r="G188" s="12"/>
      <c r="H188" s="12"/>
      <c r="I188" s="8">
        <v>1</v>
      </c>
      <c r="J188" s="10" t="s">
        <v>167</v>
      </c>
      <c r="K188" s="30">
        <v>150</v>
      </c>
    </row>
    <row r="189" spans="3:11" s="4" customFormat="1" ht="15.95" hidden="1" customHeight="1" x14ac:dyDescent="0.25">
      <c r="C189" s="7" t="s">
        <v>208</v>
      </c>
      <c r="D189" s="7"/>
      <c r="E189" s="8">
        <f t="shared" si="11"/>
        <v>30</v>
      </c>
      <c r="F189" s="8"/>
      <c r="G189" s="8"/>
      <c r="H189" s="8"/>
      <c r="I189" s="8">
        <v>2</v>
      </c>
      <c r="J189" s="10" t="s">
        <v>167</v>
      </c>
      <c r="K189" s="30">
        <v>15</v>
      </c>
    </row>
    <row r="190" spans="3:11" s="4" customFormat="1" ht="15.95" hidden="1" customHeight="1" x14ac:dyDescent="0.25">
      <c r="C190" s="7" t="s">
        <v>160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167</v>
      </c>
      <c r="K190" s="30">
        <v>15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167</v>
      </c>
      <c r="K191" s="30">
        <v>600</v>
      </c>
    </row>
    <row r="192" spans="3:11" s="4" customFormat="1" ht="15.95" hidden="1" customHeight="1" x14ac:dyDescent="0.25">
      <c r="C192" s="7" t="s">
        <v>210</v>
      </c>
      <c r="D192" s="7"/>
      <c r="E192" s="8">
        <f t="shared" si="11"/>
        <v>85</v>
      </c>
      <c r="F192" s="8"/>
      <c r="G192" s="8"/>
      <c r="H192" s="8"/>
      <c r="I192" s="8">
        <v>1</v>
      </c>
      <c r="J192" s="10" t="s">
        <v>167</v>
      </c>
      <c r="K192" s="30">
        <v>85</v>
      </c>
    </row>
    <row r="193" spans="2:11" s="4" customFormat="1" ht="15.95" hidden="1" customHeight="1" x14ac:dyDescent="0.25">
      <c r="C193" s="7" t="s">
        <v>259</v>
      </c>
      <c r="D193" s="7"/>
      <c r="E193" s="8">
        <f t="shared" si="11"/>
        <v>210</v>
      </c>
      <c r="F193" s="8"/>
      <c r="G193" s="8"/>
      <c r="H193" s="8"/>
      <c r="I193" s="8">
        <v>1</v>
      </c>
      <c r="J193" s="10" t="s">
        <v>167</v>
      </c>
      <c r="K193" s="30">
        <v>210</v>
      </c>
    </row>
    <row r="194" spans="2:11" s="4" customFormat="1" ht="15.95" hidden="1" customHeight="1" x14ac:dyDescent="0.25">
      <c r="C194" s="7" t="s">
        <v>88</v>
      </c>
      <c r="D194" s="7"/>
      <c r="E194" s="8">
        <f t="shared" si="11"/>
        <v>8</v>
      </c>
      <c r="F194" s="8"/>
      <c r="G194" s="8"/>
      <c r="H194" s="8"/>
      <c r="I194" s="8">
        <v>1</v>
      </c>
      <c r="J194" s="10" t="s">
        <v>167</v>
      </c>
      <c r="K194" s="30">
        <v>8</v>
      </c>
    </row>
    <row r="195" spans="2:11" s="4" customFormat="1" ht="15.95" hidden="1" customHeight="1" x14ac:dyDescent="0.25">
      <c r="C195" s="7" t="s">
        <v>75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167</v>
      </c>
      <c r="K195" s="30">
        <v>15</v>
      </c>
    </row>
    <row r="196" spans="2:11" s="4" customFormat="1" ht="15.95" hidden="1" customHeight="1" x14ac:dyDescent="0.25"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167</v>
      </c>
      <c r="K196" s="30">
        <v>15</v>
      </c>
    </row>
    <row r="197" spans="2:11" s="4" customFormat="1" ht="15.95" hidden="1" customHeight="1" x14ac:dyDescent="0.25">
      <c r="B197" s="29" t="s">
        <v>250</v>
      </c>
      <c r="C197" s="7" t="s">
        <v>86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167</v>
      </c>
      <c r="K197" s="30">
        <v>25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167</v>
      </c>
      <c r="K198" s="30">
        <v>85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167</v>
      </c>
      <c r="K199" s="30">
        <v>15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167</v>
      </c>
      <c r="K200" s="30">
        <v>5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167</v>
      </c>
      <c r="K201" s="30">
        <v>12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167</v>
      </c>
      <c r="K202" s="30">
        <v>25</v>
      </c>
    </row>
    <row r="203" spans="2:11" s="4" customFormat="1" ht="15.95" hidden="1" customHeight="1" x14ac:dyDescent="0.25">
      <c r="C203" s="7" t="s">
        <v>95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167</v>
      </c>
      <c r="K203" s="30">
        <v>20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167</v>
      </c>
      <c r="K204" s="30">
        <v>6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167</v>
      </c>
      <c r="K205" s="30">
        <v>3</v>
      </c>
    </row>
    <row r="206" spans="2:11" s="4" customFormat="1" ht="15.95" hidden="1" customHeight="1" x14ac:dyDescent="0.25">
      <c r="C206" s="7" t="s">
        <v>125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167</v>
      </c>
      <c r="K206" s="30">
        <v>35</v>
      </c>
    </row>
    <row r="207" spans="2:11" s="4" customFormat="1" ht="15.95" hidden="1" customHeight="1" x14ac:dyDescent="0.25">
      <c r="C207" s="7" t="s">
        <v>248</v>
      </c>
      <c r="D207" s="7"/>
      <c r="E207" s="8">
        <f t="shared" si="11"/>
        <v>0</v>
      </c>
      <c r="F207" s="8">
        <v>0.5</v>
      </c>
      <c r="G207" s="8">
        <v>0.5</v>
      </c>
      <c r="H207" s="8">
        <v>0.5</v>
      </c>
      <c r="I207" s="8">
        <v>0</v>
      </c>
      <c r="J207" s="10" t="s">
        <v>167</v>
      </c>
      <c r="K207" s="30">
        <v>20</v>
      </c>
    </row>
    <row r="208" spans="2:11" s="4" customFormat="1" ht="15.95" hidden="1" customHeight="1" x14ac:dyDescent="0.25">
      <c r="C208" s="7" t="s">
        <v>247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167</v>
      </c>
      <c r="K208" s="30">
        <v>85</v>
      </c>
    </row>
    <row r="209" spans="3:11" s="4" customFormat="1" ht="15.95" customHeight="1" x14ac:dyDescent="0.25">
      <c r="C209" s="26" t="s">
        <v>184</v>
      </c>
      <c r="D209" s="27">
        <f>SUM(E210:E220)</f>
        <v>1347.9159999999999</v>
      </c>
      <c r="E209" s="51"/>
      <c r="F209" s="27"/>
      <c r="G209" s="27"/>
      <c r="H209" s="27"/>
      <c r="I209" s="27"/>
      <c r="J209" s="28"/>
      <c r="K209" s="47"/>
    </row>
    <row r="210" spans="3:11" s="4" customFormat="1" ht="15.95" hidden="1" customHeight="1" x14ac:dyDescent="0.25">
      <c r="C210" s="7" t="s">
        <v>245</v>
      </c>
      <c r="D210" s="7"/>
      <c r="E210" s="8">
        <f t="shared" ref="E210:E220" si="12">I210*K210</f>
        <v>0</v>
      </c>
      <c r="F210" s="8">
        <v>1</v>
      </c>
      <c r="G210" s="8">
        <v>1</v>
      </c>
      <c r="H210" s="12"/>
      <c r="I210" s="8">
        <v>0</v>
      </c>
      <c r="J210" s="10" t="s">
        <v>112</v>
      </c>
      <c r="K210" s="30">
        <v>10.71</v>
      </c>
    </row>
    <row r="211" spans="3:11" s="4" customFormat="1" ht="15.95" hidden="1" customHeight="1" x14ac:dyDescent="0.25">
      <c r="C211" s="7" t="s">
        <v>244</v>
      </c>
      <c r="D211" s="7"/>
      <c r="E211" s="8">
        <f t="shared" si="12"/>
        <v>975.24</v>
      </c>
      <c r="F211" s="8">
        <v>1</v>
      </c>
      <c r="G211" s="8">
        <v>1</v>
      </c>
      <c r="H211" s="12"/>
      <c r="I211" s="8">
        <v>63</v>
      </c>
      <c r="J211" s="10" t="s">
        <v>112</v>
      </c>
      <c r="K211" s="30">
        <v>15.48</v>
      </c>
    </row>
    <row r="212" spans="3:11" s="4" customFormat="1" ht="15.95" hidden="1" customHeight="1" x14ac:dyDescent="0.25">
      <c r="C212" s="7" t="s">
        <v>5</v>
      </c>
      <c r="D212" s="7"/>
      <c r="E212" s="8">
        <f t="shared" si="12"/>
        <v>0</v>
      </c>
      <c r="F212" s="8">
        <v>1</v>
      </c>
      <c r="G212" s="8">
        <v>1</v>
      </c>
      <c r="H212" s="12"/>
      <c r="I212" s="8">
        <v>0</v>
      </c>
      <c r="J212" s="10" t="s">
        <v>112</v>
      </c>
      <c r="K212" s="30">
        <v>15.48</v>
      </c>
    </row>
    <row r="213" spans="3:11" s="4" customFormat="1" ht="15.95" hidden="1" customHeight="1" x14ac:dyDescent="0.25">
      <c r="C213" s="7" t="s">
        <v>192</v>
      </c>
      <c r="D213" s="7"/>
      <c r="E213" s="8">
        <f t="shared" si="12"/>
        <v>144.1</v>
      </c>
      <c r="F213" s="8">
        <v>1</v>
      </c>
      <c r="G213" s="8">
        <v>1</v>
      </c>
      <c r="H213" s="12"/>
      <c r="I213" s="8">
        <v>11</v>
      </c>
      <c r="J213" s="10" t="s">
        <v>112</v>
      </c>
      <c r="K213" s="30">
        <v>13.1</v>
      </c>
    </row>
    <row r="214" spans="3:11" s="4" customFormat="1" ht="15.95" hidden="1" customHeight="1" x14ac:dyDescent="0.25">
      <c r="C214" s="7" t="s">
        <v>260</v>
      </c>
      <c r="D214" s="7"/>
      <c r="E214" s="8">
        <f t="shared" si="12"/>
        <v>228.57599999999999</v>
      </c>
      <c r="F214" s="8">
        <v>1</v>
      </c>
      <c r="G214" s="8">
        <v>1</v>
      </c>
      <c r="H214" s="12"/>
      <c r="I214" s="8">
        <v>2.4</v>
      </c>
      <c r="J214" s="10" t="s">
        <v>112</v>
      </c>
      <c r="K214" s="30">
        <v>95.24</v>
      </c>
    </row>
    <row r="215" spans="3:11" s="4" customFormat="1" ht="15.95" hidden="1" customHeight="1" x14ac:dyDescent="0.25">
      <c r="C215" s="7" t="s">
        <v>261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112</v>
      </c>
      <c r="K215" s="30">
        <v>47.62</v>
      </c>
    </row>
    <row r="216" spans="3:11" s="4" customFormat="1" ht="15.95" hidden="1" customHeight="1" x14ac:dyDescent="0.25">
      <c r="C216" s="7" t="s">
        <v>72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35.71</v>
      </c>
    </row>
    <row r="217" spans="3:11" s="4" customFormat="1" ht="15.95" hidden="1" customHeight="1" x14ac:dyDescent="0.25">
      <c r="C217" s="7" t="s">
        <v>123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28.57</v>
      </c>
    </row>
    <row r="218" spans="3:11" s="4" customFormat="1" ht="15.95" hidden="1" customHeight="1" x14ac:dyDescent="0.25">
      <c r="C218" s="7" t="s">
        <v>53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112</v>
      </c>
      <c r="K218" s="30">
        <v>13.1</v>
      </c>
    </row>
    <row r="219" spans="3:11" s="4" customFormat="1" ht="15.95" hidden="1" customHeight="1" x14ac:dyDescent="0.25">
      <c r="C219" s="7" t="s">
        <v>246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11.9</v>
      </c>
    </row>
    <row r="220" spans="3:11" s="4" customFormat="1" ht="15.95" hidden="1" customHeight="1" x14ac:dyDescent="0.25">
      <c r="C220" s="7" t="s">
        <v>4</v>
      </c>
      <c r="D220" s="7"/>
      <c r="E220" s="8">
        <f t="shared" si="12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10.71</v>
      </c>
    </row>
    <row r="221" spans="3:11" s="4" customFormat="1" ht="15.95" customHeight="1" x14ac:dyDescent="0.25">
      <c r="C221" s="26" t="s">
        <v>183</v>
      </c>
      <c r="D221" s="27">
        <f>SUM(E222:E260)</f>
        <v>0</v>
      </c>
      <c r="E221" s="51"/>
      <c r="F221" s="27"/>
      <c r="G221" s="27"/>
      <c r="H221" s="27"/>
      <c r="I221" s="27"/>
      <c r="J221" s="28"/>
      <c r="K221" s="47"/>
    </row>
    <row r="222" spans="3:11" s="4" customFormat="1" ht="15.95" hidden="1" customHeight="1" x14ac:dyDescent="0.25">
      <c r="C222" s="7" t="s">
        <v>22</v>
      </c>
      <c r="D222" s="7"/>
      <c r="E222" s="8">
        <f t="shared" ref="E222:E260" si="13">I222*K222</f>
        <v>0</v>
      </c>
      <c r="F222" s="12">
        <v>1.5</v>
      </c>
      <c r="G222" s="12">
        <v>1</v>
      </c>
      <c r="H222" s="12">
        <v>1</v>
      </c>
      <c r="I222" s="8">
        <v>0</v>
      </c>
      <c r="J222" s="10" t="s">
        <v>167</v>
      </c>
      <c r="K222" s="30">
        <v>320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167</v>
      </c>
      <c r="K223" s="30">
        <v>210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167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167</v>
      </c>
      <c r="K225" s="30">
        <v>180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167</v>
      </c>
      <c r="K226" s="30">
        <v>110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167</v>
      </c>
      <c r="K227" s="30">
        <v>310</v>
      </c>
    </row>
    <row r="228" spans="3:11" s="4" customFormat="1" ht="15.95" hidden="1" customHeight="1" x14ac:dyDescent="0.25">
      <c r="C228" s="7" t="s">
        <v>219</v>
      </c>
      <c r="D228" s="7"/>
      <c r="E228" s="8">
        <f t="shared" si="13"/>
        <v>0</v>
      </c>
      <c r="F228" s="8"/>
      <c r="G228" s="8"/>
      <c r="H228" s="8"/>
      <c r="I228" s="8">
        <v>0</v>
      </c>
      <c r="J228" s="10" t="s">
        <v>167</v>
      </c>
      <c r="K228" s="30">
        <v>160</v>
      </c>
    </row>
    <row r="229" spans="3:11" s="4" customFormat="1" ht="15.95" hidden="1" customHeight="1" x14ac:dyDescent="0.25">
      <c r="C229" s="7" t="s">
        <v>60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167</v>
      </c>
      <c r="K229" s="30">
        <v>10</v>
      </c>
    </row>
    <row r="230" spans="3:11" s="4" customFormat="1" ht="15.95" hidden="1" customHeight="1" x14ac:dyDescent="0.25">
      <c r="C230" s="7" t="s">
        <v>223</v>
      </c>
      <c r="D230" s="7"/>
      <c r="E230" s="8">
        <f t="shared" si="13"/>
        <v>0</v>
      </c>
      <c r="F230" s="12"/>
      <c r="G230" s="12"/>
      <c r="H230" s="12"/>
      <c r="I230" s="8">
        <v>0</v>
      </c>
      <c r="J230" s="10" t="s">
        <v>167</v>
      </c>
      <c r="K230" s="30">
        <v>260</v>
      </c>
    </row>
    <row r="231" spans="3:11" s="4" customFormat="1" ht="15.95" hidden="1" customHeight="1" x14ac:dyDescent="0.25">
      <c r="C231" s="7" t="s">
        <v>3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167</v>
      </c>
      <c r="K231" s="30">
        <v>180</v>
      </c>
    </row>
    <row r="232" spans="3:11" s="4" customFormat="1" ht="15.95" hidden="1" customHeight="1" x14ac:dyDescent="0.25">
      <c r="C232" s="7" t="s">
        <v>2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167</v>
      </c>
      <c r="K232" s="30">
        <v>200</v>
      </c>
    </row>
    <row r="233" spans="3:11" s="4" customFormat="1" ht="15.95" hidden="1" customHeight="1" x14ac:dyDescent="0.25">
      <c r="C233" s="7" t="s">
        <v>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167</v>
      </c>
      <c r="K233" s="30">
        <v>220</v>
      </c>
    </row>
    <row r="234" spans="3:11" s="4" customFormat="1" ht="15.95" hidden="1" customHeight="1" x14ac:dyDescent="0.25">
      <c r="C234" s="7" t="s">
        <v>182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167</v>
      </c>
      <c r="K234" s="30">
        <v>220</v>
      </c>
    </row>
    <row r="235" spans="3:11" s="4" customFormat="1" ht="15.95" hidden="1" customHeight="1" x14ac:dyDescent="0.25">
      <c r="C235" s="7" t="s">
        <v>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167</v>
      </c>
      <c r="K235" s="30">
        <v>250</v>
      </c>
    </row>
    <row r="236" spans="3:11" s="4" customFormat="1" ht="15.95" hidden="1" customHeight="1" x14ac:dyDescent="0.25">
      <c r="C236" s="7" t="s">
        <v>211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167</v>
      </c>
      <c r="K236" s="30">
        <v>390</v>
      </c>
    </row>
    <row r="237" spans="3:11" s="4" customFormat="1" ht="15.95" hidden="1" customHeight="1" x14ac:dyDescent="0.25">
      <c r="C237" s="7" t="s">
        <v>237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167</v>
      </c>
      <c r="K237" s="30">
        <v>460</v>
      </c>
    </row>
    <row r="238" spans="3:11" s="4" customFormat="1" ht="15.95" hidden="1" customHeight="1" x14ac:dyDescent="0.25">
      <c r="C238" s="7" t="s">
        <v>212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167</v>
      </c>
      <c r="K238" s="30">
        <v>850</v>
      </c>
    </row>
    <row r="239" spans="3:11" s="4" customFormat="1" ht="15.95" hidden="1" customHeight="1" x14ac:dyDescent="0.25">
      <c r="C239" s="7" t="s">
        <v>188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167</v>
      </c>
      <c r="K239" s="30">
        <v>1400</v>
      </c>
    </row>
    <row r="240" spans="3:11" s="4" customFormat="1" ht="15.95" hidden="1" customHeight="1" x14ac:dyDescent="0.25">
      <c r="C240" s="7" t="s">
        <v>239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167</v>
      </c>
      <c r="K240" s="30">
        <v>360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167</v>
      </c>
      <c r="K241" s="30">
        <v>550</v>
      </c>
    </row>
    <row r="242" spans="3:11" s="4" customFormat="1" ht="15.95" hidden="1" customHeight="1" x14ac:dyDescent="0.25">
      <c r="C242" s="7" t="s">
        <v>243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167</v>
      </c>
      <c r="K242" s="30">
        <v>580</v>
      </c>
    </row>
    <row r="243" spans="3:11" s="4" customFormat="1" ht="15.95" hidden="1" customHeight="1" x14ac:dyDescent="0.25">
      <c r="C243" s="7" t="s">
        <v>235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167</v>
      </c>
      <c r="K243" s="30">
        <v>680</v>
      </c>
    </row>
    <row r="244" spans="3:11" s="4" customFormat="1" ht="15.95" hidden="1" customHeight="1" x14ac:dyDescent="0.25">
      <c r="C244" s="7" t="s">
        <v>240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167</v>
      </c>
      <c r="K244" s="30">
        <v>750</v>
      </c>
    </row>
    <row r="245" spans="3:11" s="4" customFormat="1" ht="15.95" hidden="1" customHeight="1" x14ac:dyDescent="0.25">
      <c r="C245" s="7" t="s">
        <v>236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167</v>
      </c>
      <c r="K245" s="30">
        <v>340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167</v>
      </c>
      <c r="K246" s="30">
        <v>160</v>
      </c>
    </row>
    <row r="247" spans="3:11" s="4" customFormat="1" ht="15.95" hidden="1" customHeight="1" x14ac:dyDescent="0.25">
      <c r="C247" s="7" t="s">
        <v>238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167</v>
      </c>
      <c r="K247" s="30">
        <v>130</v>
      </c>
    </row>
    <row r="248" spans="3:11" s="4" customFormat="1" ht="15.95" hidden="1" customHeight="1" x14ac:dyDescent="0.25">
      <c r="C248" s="7" t="s">
        <v>228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167</v>
      </c>
      <c r="K248" s="30">
        <v>130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167</v>
      </c>
      <c r="K249" s="30">
        <v>400</v>
      </c>
    </row>
    <row r="250" spans="3:11" s="4" customFormat="1" ht="15.95" hidden="1" customHeight="1" x14ac:dyDescent="0.25">
      <c r="C250" s="7" t="s">
        <v>226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167</v>
      </c>
      <c r="K250" s="30">
        <v>260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167</v>
      </c>
      <c r="K251" s="30">
        <v>180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167</v>
      </c>
      <c r="K252" s="30">
        <v>120</v>
      </c>
    </row>
    <row r="253" spans="3:11" s="4" customFormat="1" ht="15.95" hidden="1" customHeight="1" x14ac:dyDescent="0.25">
      <c r="C253" s="7" t="s">
        <v>234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167</v>
      </c>
      <c r="K253" s="30">
        <v>220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167</v>
      </c>
      <c r="K254" s="30">
        <v>230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230</v>
      </c>
      <c r="K255" s="30">
        <v>500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167</v>
      </c>
      <c r="K256" s="30">
        <v>180</v>
      </c>
    </row>
    <row r="257" spans="3:11" s="4" customFormat="1" ht="15.95" hidden="1" customHeight="1" x14ac:dyDescent="0.25">
      <c r="C257" s="7" t="s">
        <v>225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167</v>
      </c>
      <c r="K257" s="30">
        <v>260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167</v>
      </c>
      <c r="K258" s="30">
        <v>6500</v>
      </c>
    </row>
    <row r="259" spans="3:11" s="4" customFormat="1" ht="15.95" hidden="1" customHeight="1" x14ac:dyDescent="0.25">
      <c r="C259" s="7" t="s">
        <v>222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167</v>
      </c>
      <c r="K259" s="30">
        <v>8800</v>
      </c>
    </row>
    <row r="260" spans="3:11" s="4" customFormat="1" ht="15.95" hidden="1" customHeight="1" x14ac:dyDescent="0.25">
      <c r="C260" s="7" t="s">
        <v>221</v>
      </c>
      <c r="D260" s="7"/>
      <c r="E260" s="8">
        <f t="shared" si="13"/>
        <v>0</v>
      </c>
      <c r="F260" s="8"/>
      <c r="G260" s="8"/>
      <c r="H260" s="8"/>
      <c r="I260" s="8">
        <v>0</v>
      </c>
      <c r="J260" s="10" t="s">
        <v>167</v>
      </c>
      <c r="K260" s="30">
        <v>1050</v>
      </c>
    </row>
    <row r="261" spans="3:11" s="22" customFormat="1" ht="15.95" customHeight="1" x14ac:dyDescent="0.25">
      <c r="C261" s="32" t="s">
        <v>149</v>
      </c>
      <c r="D261" s="33">
        <f>SUM(E262)</f>
        <v>9500</v>
      </c>
      <c r="E261" s="34"/>
      <c r="F261" s="35"/>
      <c r="G261" s="35"/>
      <c r="H261" s="35"/>
      <c r="I261" s="35"/>
      <c r="J261" s="36"/>
      <c r="K261" s="49"/>
    </row>
    <row r="262" spans="3:11" s="22" customFormat="1" ht="15.95" hidden="1" customHeight="1" x14ac:dyDescent="0.25">
      <c r="C262" s="37"/>
      <c r="D262" s="38"/>
      <c r="E262" s="39">
        <f>K262*I262</f>
        <v>9500</v>
      </c>
      <c r="F262" s="24"/>
      <c r="G262" s="24"/>
      <c r="H262" s="24"/>
      <c r="I262" s="24">
        <v>1</v>
      </c>
      <c r="J262" s="25" t="s">
        <v>167</v>
      </c>
      <c r="K262" s="48">
        <v>9500</v>
      </c>
    </row>
    <row r="263" spans="3:11" s="22" customFormat="1" ht="15.95" customHeight="1" x14ac:dyDescent="0.25">
      <c r="C263" s="32" t="s">
        <v>147</v>
      </c>
      <c r="D263" s="33">
        <f>SUM(E264)</f>
        <v>2500</v>
      </c>
      <c r="E263" s="34"/>
      <c r="F263" s="40"/>
      <c r="G263" s="40"/>
      <c r="H263" s="40"/>
      <c r="I263" s="35"/>
      <c r="J263" s="36"/>
      <c r="K263" s="49"/>
    </row>
    <row r="264" spans="3:11" s="22" customFormat="1" ht="15.95" hidden="1" customHeight="1" x14ac:dyDescent="0.25">
      <c r="C264" s="37"/>
      <c r="D264" s="38"/>
      <c r="E264" s="39">
        <f>I264*K264</f>
        <v>2500</v>
      </c>
      <c r="F264" s="41"/>
      <c r="G264" s="41"/>
      <c r="H264" s="41"/>
      <c r="I264" s="24">
        <v>2</v>
      </c>
      <c r="J264" s="25" t="s">
        <v>150</v>
      </c>
      <c r="K264" s="48">
        <v>1250</v>
      </c>
    </row>
    <row r="265" spans="3:11" s="22" customFormat="1" ht="15.95" customHeight="1" x14ac:dyDescent="0.25">
      <c r="C265" s="32" t="s">
        <v>148</v>
      </c>
      <c r="D265" s="33">
        <f>SUM(E266)</f>
        <v>1500</v>
      </c>
      <c r="E265" s="34"/>
      <c r="F265" s="40"/>
      <c r="G265" s="40"/>
      <c r="H265" s="40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I266*K266</f>
        <v>1500</v>
      </c>
      <c r="F266" s="41"/>
      <c r="G266" s="41"/>
      <c r="H266" s="41"/>
      <c r="I266" s="24">
        <v>1</v>
      </c>
      <c r="J266" s="25" t="s">
        <v>167</v>
      </c>
      <c r="K266" s="48">
        <v>1500</v>
      </c>
    </row>
    <row r="267" spans="3:11" s="22" customFormat="1" ht="15.95" customHeight="1" x14ac:dyDescent="0.25">
      <c r="C267" s="32" t="s">
        <v>213</v>
      </c>
      <c r="D267" s="33">
        <f>SUM(E268)</f>
        <v>1200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1200</v>
      </c>
      <c r="F268" s="41"/>
      <c r="G268" s="41"/>
      <c r="H268" s="41"/>
      <c r="I268" s="24">
        <v>1</v>
      </c>
      <c r="J268" s="25" t="s">
        <v>167</v>
      </c>
      <c r="K268" s="48">
        <v>1200</v>
      </c>
    </row>
    <row r="269" spans="3:11" s="22" customFormat="1" ht="15.95" customHeight="1" x14ac:dyDescent="0.25">
      <c r="C269" s="32" t="s">
        <v>266</v>
      </c>
      <c r="D269" s="33">
        <f>SUM(E270)</f>
        <v>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 t="s">
        <v>265</v>
      </c>
      <c r="D270" s="38"/>
      <c r="E270" s="39">
        <f>I270*K270</f>
        <v>0</v>
      </c>
      <c r="F270" s="41"/>
      <c r="G270" s="41"/>
      <c r="H270" s="41"/>
      <c r="I270" s="24">
        <v>0</v>
      </c>
      <c r="J270" s="25" t="s">
        <v>167</v>
      </c>
      <c r="K270" s="48">
        <v>0</v>
      </c>
    </row>
    <row r="271" spans="3:11" ht="15.95" customHeight="1" thickBot="1" x14ac:dyDescent="0.3">
      <c r="C271" s="18" t="s">
        <v>58</v>
      </c>
      <c r="D271" s="14">
        <f>SUM(D2:D270)</f>
        <v>23518.226000000002</v>
      </c>
      <c r="E271" s="15"/>
      <c r="F271" s="53"/>
      <c r="G271" s="53"/>
      <c r="H271" s="53"/>
      <c r="I271" s="53"/>
      <c r="J271" s="53"/>
      <c r="K271" s="53"/>
    </row>
    <row r="272" spans="3:11" ht="15.95" customHeight="1" thickTop="1" x14ac:dyDescent="0.25"/>
  </sheetData>
  <autoFilter ref="C1:K271" xr:uid="{00000000-0009-0000-0000-000000000000}">
    <filterColumn colId="1">
      <customFilters>
        <customFilter operator="notEqual" val=" "/>
      </customFilters>
    </filterColumn>
  </autoFilter>
  <mergeCells count="1">
    <mergeCell ref="F271:K271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2025-09-01T13:44:44Z</dcterms:modified>
</cp:coreProperties>
</file>